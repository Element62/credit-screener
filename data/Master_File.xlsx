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 Local Folder\Credit Screenr\data\"/>
    </mc:Choice>
  </mc:AlternateContent>
  <xr:revisionPtr revIDLastSave="0" documentId="13_ncr:1_{67CF4641-D74F-4453-902A-B81E5B0DA340}" xr6:coauthVersionLast="47" xr6:coauthVersionMax="47" xr10:uidLastSave="{00000000-0000-0000-0000-000000000000}"/>
  <bookViews>
    <workbookView xWindow="7950" yWindow="2100" windowWidth="38970" windowHeight="18015" xr2:uid="{B95D47EB-7E0D-49CE-9D34-FF01726E66DD}"/>
  </bookViews>
  <sheets>
    <sheet name="master" sheetId="1" r:id="rId1"/>
    <sheet name="spread_px" sheetId="2" r:id="rId2"/>
    <sheet name="52w_px" sheetId="3" r:id="rId3"/>
    <sheet name="holding" sheetId="4" r:id="rId4"/>
    <sheet name="industry_analyst" sheetId="7" r:id="rId5"/>
  </sheets>
  <definedNames>
    <definedName name="_xlnm._FilterDatabase" localSheetId="2" hidden="1">'52w_px'!$A$1:$F$1032</definedName>
    <definedName name="_xlnm._FilterDatabase" localSheetId="3" hidden="1">holding!$A$1:$B$361</definedName>
    <definedName name="_xlnm._FilterDatabase" localSheetId="0" hidden="1">master!$A$1:$AA$1329</definedName>
    <definedName name="_xlnm._FilterDatabase" localSheetId="1" hidden="1">spread_px!$A$1:$H$3679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5" i="1" l="1" a="1"/>
  <c r="AA185" i="1"/>
  <c r="AA1288" i="1" a="1"/>
  <c r="AA1288" i="1"/>
  <c r="AA1267" i="1" a="1"/>
  <c r="AA1267" i="1"/>
  <c r="AA1281" i="1" a="1"/>
  <c r="AA1281" i="1"/>
  <c r="AA580" i="1" a="1"/>
  <c r="AA580" i="1"/>
  <c r="AA1210" i="1" a="1"/>
  <c r="AA1210" i="1"/>
  <c r="AA592" i="1" a="1"/>
  <c r="AA592" i="1"/>
  <c r="AA644" i="1" a="1"/>
  <c r="AA644" i="1"/>
  <c r="AA42" i="1" a="1"/>
  <c r="AA42" i="1"/>
  <c r="AA794" i="1" a="1"/>
  <c r="AA794" i="1"/>
  <c r="AA769" i="1" a="1"/>
  <c r="AA769" i="1"/>
  <c r="AA281" i="1" a="1"/>
  <c r="AA281" i="1"/>
  <c r="AA404" i="1" a="1"/>
  <c r="AA404" i="1"/>
  <c r="AA401" i="1" a="1"/>
  <c r="AA401" i="1"/>
  <c r="AA845" i="1" a="1"/>
  <c r="AA845" i="1"/>
  <c r="AA532" i="1" a="1"/>
  <c r="AA532" i="1"/>
  <c r="AA990" i="1" a="1"/>
  <c r="AA990" i="1"/>
  <c r="AA643" i="1" a="1"/>
  <c r="AA643" i="1"/>
  <c r="AA860" i="1" a="1"/>
  <c r="AA860" i="1"/>
  <c r="AA614" i="1" a="1"/>
  <c r="AA614" i="1"/>
  <c r="AA1236" i="1" a="1"/>
  <c r="AA1236" i="1"/>
  <c r="AA921" i="1" a="1"/>
  <c r="AA921" i="1"/>
  <c r="AA96" i="1" a="1"/>
  <c r="AA96" i="1"/>
  <c r="AA494" i="1" a="1"/>
  <c r="AA494" i="1"/>
  <c r="AA348" i="1" a="1"/>
  <c r="AA348" i="1"/>
  <c r="AA918" i="1" a="1"/>
  <c r="AA918" i="1"/>
  <c r="AA815" i="1" a="1"/>
  <c r="AA815" i="1"/>
  <c r="AA1206" i="1" a="1"/>
  <c r="AA1206" i="1"/>
  <c r="AA573" i="1" a="1"/>
  <c r="AA573" i="1"/>
  <c r="AA1024" i="1" a="1"/>
  <c r="AA1024" i="1"/>
  <c r="AA258" i="1" a="1"/>
  <c r="AA258" i="1"/>
  <c r="AA307" i="1" a="1"/>
  <c r="AA307" i="1"/>
  <c r="AA933" i="1" a="1"/>
  <c r="AA933" i="1"/>
  <c r="AA1280" i="1" a="1"/>
  <c r="AA1280" i="1"/>
  <c r="AA1227" i="1" a="1"/>
  <c r="AA1227" i="1"/>
  <c r="AA135" i="1" a="1"/>
  <c r="AA135" i="1"/>
  <c r="AA1096" i="1" a="1"/>
  <c r="AA1096" i="1"/>
  <c r="AA683" i="1" a="1"/>
  <c r="AA683" i="1"/>
  <c r="AA862" i="1" a="1"/>
  <c r="AA862" i="1"/>
  <c r="AA1160" i="1" a="1"/>
  <c r="AA1160" i="1"/>
  <c r="AA587" i="1" a="1"/>
  <c r="AA587" i="1"/>
  <c r="AA122" i="1" a="1"/>
  <c r="AA122" i="1"/>
  <c r="AA780" i="1" a="1"/>
  <c r="AA780" i="1"/>
  <c r="AA184" i="1" a="1"/>
  <c r="AA184" i="1"/>
  <c r="AA291" i="1" a="1"/>
  <c r="AA291" i="1"/>
  <c r="AA586" i="1" a="1"/>
  <c r="AA586" i="1"/>
  <c r="AA672" i="1" a="1"/>
  <c r="AA672" i="1"/>
  <c r="AA1121" i="1" a="1"/>
  <c r="AA1121" i="1"/>
  <c r="AA1153" i="1" a="1"/>
  <c r="AA1153" i="1"/>
  <c r="AA1103" i="1" a="1"/>
  <c r="AA1103" i="1"/>
  <c r="AA1166" i="1" a="1"/>
  <c r="AA1166" i="1"/>
  <c r="AA1328" i="1" a="1"/>
  <c r="AA1328" i="1"/>
  <c r="AA1060" i="1" a="1"/>
  <c r="AA1060" i="1"/>
  <c r="AA24" i="1" a="1"/>
  <c r="AA24" i="1"/>
  <c r="AA957" i="1" a="1"/>
  <c r="AA957" i="1"/>
  <c r="AA701" i="1" a="1"/>
  <c r="AA701" i="1"/>
  <c r="AA1287" i="1" a="1"/>
  <c r="AA1287" i="1"/>
  <c r="AA613" i="1" a="1"/>
  <c r="AA613" i="1"/>
  <c r="AA1192" i="1" a="1"/>
  <c r="AA1192" i="1"/>
  <c r="AA562" i="1" a="1"/>
  <c r="AA562" i="1"/>
  <c r="AA172" i="1" a="1"/>
  <c r="AA172" i="1"/>
  <c r="AA753" i="1" a="1"/>
  <c r="AA753" i="1"/>
  <c r="AA841" i="1" a="1"/>
  <c r="AA841" i="1"/>
  <c r="AA482" i="1" a="1"/>
  <c r="AA482" i="1"/>
  <c r="AA544" i="1" a="1"/>
  <c r="AA544" i="1"/>
  <c r="AA1202" i="1" a="1"/>
  <c r="AA1202" i="1"/>
  <c r="AA305" i="1" a="1"/>
  <c r="AA305" i="1"/>
  <c r="AA825" i="1" a="1"/>
  <c r="AA825" i="1"/>
  <c r="AA129" i="1" a="1"/>
  <c r="AA129" i="1"/>
  <c r="AA531" i="1" a="1"/>
  <c r="AA531" i="1"/>
  <c r="AA1091" i="1" a="1"/>
  <c r="AA1091" i="1"/>
  <c r="AA479" i="1" a="1"/>
  <c r="AA479" i="1"/>
  <c r="AA1149" i="1" a="1"/>
  <c r="AA1149" i="1"/>
  <c r="AA359" i="1" a="1"/>
  <c r="AA359" i="1"/>
  <c r="AA895" i="1" a="1"/>
  <c r="AA895" i="1"/>
  <c r="AA80" i="1" a="1"/>
  <c r="AA80" i="1"/>
  <c r="AA1196" i="1" a="1"/>
  <c r="AA1196" i="1"/>
  <c r="AA28" i="1" a="1"/>
  <c r="AA28" i="1"/>
  <c r="AA1189" i="1" a="1"/>
  <c r="AA1189" i="1"/>
  <c r="AA886" i="1" a="1"/>
  <c r="AA886" i="1"/>
  <c r="AA818" i="1" a="1"/>
  <c r="AA818" i="1"/>
  <c r="AA1209" i="1" a="1"/>
  <c r="AA1209" i="1"/>
  <c r="AA1104" i="1" a="1"/>
  <c r="AA1104" i="1"/>
  <c r="AA699" i="1" a="1"/>
  <c r="AA699" i="1"/>
  <c r="AA585" i="1" a="1"/>
  <c r="AA585" i="1"/>
  <c r="AA943" i="1" a="1"/>
  <c r="AA943" i="1"/>
  <c r="AA1025" i="1" a="1"/>
  <c r="AA1025" i="1"/>
  <c r="AA466" i="1" a="1"/>
  <c r="AA466" i="1"/>
  <c r="AA625" i="1" a="1"/>
  <c r="AA625" i="1"/>
  <c r="AA627" i="1" a="1"/>
  <c r="AA627" i="1"/>
  <c r="AA137" i="1" a="1"/>
  <c r="AA137" i="1"/>
  <c r="AA457" i="1" a="1"/>
  <c r="AA457" i="1"/>
  <c r="AA857" i="1" a="1"/>
  <c r="AA857" i="1"/>
  <c r="AA1094" i="1" a="1"/>
  <c r="AA1094" i="1"/>
  <c r="AA952" i="1" a="1"/>
  <c r="AA952" i="1"/>
  <c r="AA107" i="1" a="1"/>
  <c r="AA107" i="1"/>
  <c r="AA919" i="1" a="1"/>
  <c r="AA919" i="1"/>
  <c r="AA966" i="1" a="1"/>
  <c r="AA966" i="1"/>
  <c r="AA1254" i="1" a="1"/>
  <c r="AA1254" i="1"/>
  <c r="AA369" i="1" a="1"/>
  <c r="AA369" i="1"/>
  <c r="AA139" i="1" a="1"/>
  <c r="AA139" i="1"/>
  <c r="AA70" i="1" a="1"/>
  <c r="AA70" i="1"/>
  <c r="AA1300" i="1" a="1"/>
  <c r="AA1300" i="1"/>
  <c r="AA911" i="1" a="1"/>
  <c r="AA911" i="1"/>
  <c r="AA942" i="1" a="1"/>
  <c r="AA942" i="1"/>
  <c r="AA1141" i="1" a="1"/>
  <c r="AA1141" i="1"/>
  <c r="AA465" i="1" a="1"/>
  <c r="AA465" i="1"/>
  <c r="AA1077" i="1" a="1"/>
  <c r="AA1077" i="1"/>
  <c r="AA849" i="1" a="1"/>
  <c r="AA849" i="1"/>
  <c r="AA46" i="1" a="1"/>
  <c r="AA46" i="1"/>
  <c r="AA569" i="1" a="1"/>
  <c r="AA569" i="1"/>
  <c r="AA290" i="1" a="1"/>
  <c r="AA290" i="1"/>
  <c r="AA695" i="1" a="1"/>
  <c r="AA695" i="1"/>
  <c r="AA1116" i="1" a="1"/>
  <c r="AA1116" i="1"/>
  <c r="AA1015" i="1" a="1"/>
  <c r="AA1015" i="1"/>
  <c r="AA1204" i="1" a="1"/>
  <c r="AA1204" i="1"/>
  <c r="AA392" i="1" a="1"/>
  <c r="AA392" i="1"/>
  <c r="AA218" i="1" a="1"/>
  <c r="AA218" i="1"/>
  <c r="AA489" i="1" a="1"/>
  <c r="AA489" i="1"/>
  <c r="AA97" i="1" a="1"/>
  <c r="AA97" i="1"/>
  <c r="AA416" i="1" a="1"/>
  <c r="AA416" i="1"/>
  <c r="AA1232" i="1" a="1"/>
  <c r="AA1232" i="1"/>
  <c r="AA1270" i="1" a="1"/>
  <c r="AA1270" i="1"/>
  <c r="AA1013" i="1" a="1"/>
  <c r="AA1013" i="1"/>
  <c r="AA256" i="1" a="1"/>
  <c r="AA256" i="1"/>
  <c r="AA313" i="1" a="1"/>
  <c r="AA313" i="1"/>
  <c r="AA376" i="1" a="1"/>
  <c r="AA376" i="1"/>
  <c r="AA968" i="1" a="1"/>
  <c r="AA968" i="1"/>
  <c r="AA945" i="1" a="1"/>
  <c r="AA945" i="1"/>
  <c r="AA295" i="1" a="1"/>
  <c r="AA295" i="1"/>
  <c r="AA593" i="1" a="1"/>
  <c r="AA593" i="1"/>
  <c r="AA1248" i="1" a="1"/>
  <c r="AA1248" i="1"/>
  <c r="AA222" i="1" a="1"/>
  <c r="AA222" i="1"/>
  <c r="AA1171" i="1" a="1"/>
  <c r="AA1171" i="1"/>
  <c r="AA1143" i="1" a="1"/>
  <c r="AA1143" i="1"/>
  <c r="AA603" i="1" a="1"/>
  <c r="AA603" i="1"/>
  <c r="AA176" i="1" a="1"/>
  <c r="AA176" i="1"/>
  <c r="AA868" i="1" a="1"/>
  <c r="AA868" i="1"/>
  <c r="AA312" i="1" a="1"/>
  <c r="AA312" i="1"/>
  <c r="AA1293" i="1" a="1"/>
  <c r="AA1293" i="1"/>
  <c r="AA477" i="1" a="1"/>
  <c r="AA477" i="1"/>
  <c r="AA1120" i="1" a="1"/>
  <c r="AA1120" i="1"/>
  <c r="AA386" i="1" a="1"/>
  <c r="AA386" i="1"/>
  <c r="AA853" i="1" a="1"/>
  <c r="AA853" i="1"/>
  <c r="AA517" i="1" a="1"/>
  <c r="AA517" i="1"/>
  <c r="AA1067" i="1" a="1"/>
  <c r="AA1067" i="1"/>
  <c r="AA485" i="1" a="1"/>
  <c r="AA485" i="1"/>
  <c r="AA605" i="1" a="1"/>
  <c r="AA605" i="1"/>
  <c r="AA873" i="1" a="1"/>
  <c r="AA873" i="1"/>
  <c r="AA745" i="1" a="1"/>
  <c r="AA745" i="1"/>
  <c r="AA306" i="1" a="1"/>
  <c r="AA306" i="1"/>
  <c r="AA1056" i="1" a="1"/>
  <c r="AA1056" i="1"/>
  <c r="AA1208" i="1" a="1"/>
  <c r="AA1208" i="1"/>
  <c r="AA343" i="1" a="1"/>
  <c r="AA343" i="1"/>
  <c r="AA480" i="1" a="1"/>
  <c r="AA480" i="1"/>
  <c r="AA1249" i="1" a="1"/>
  <c r="AA1249" i="1"/>
  <c r="AA100" i="1" a="1"/>
  <c r="AA100" i="1"/>
  <c r="AA651" i="1" a="1"/>
  <c r="AA651" i="1"/>
  <c r="AA548" i="1" a="1"/>
  <c r="AA548" i="1"/>
  <c r="AA412" i="1" a="1"/>
  <c r="AA412" i="1"/>
  <c r="AA297" i="1" a="1"/>
  <c r="AA297" i="1"/>
  <c r="AA499" i="1" a="1"/>
  <c r="AA499" i="1"/>
  <c r="AA865" i="1" a="1"/>
  <c r="AA865" i="1"/>
  <c r="AA232" i="1" a="1"/>
  <c r="AA232" i="1"/>
  <c r="AA953" i="1" a="1"/>
  <c r="AA953" i="1"/>
  <c r="AA724" i="1" a="1"/>
  <c r="AA724" i="1"/>
  <c r="AA737" i="1" a="1"/>
  <c r="AA737" i="1"/>
  <c r="AA711" i="1" a="1"/>
  <c r="AA711" i="1"/>
  <c r="AA219" i="1" a="1"/>
  <c r="AA219" i="1"/>
  <c r="AA546" i="1" a="1"/>
  <c r="AA546" i="1"/>
  <c r="AA633" i="1" a="1"/>
  <c r="AA633" i="1"/>
  <c r="AA910" i="1" a="1"/>
  <c r="AA910" i="1"/>
  <c r="AA265" i="1" a="1"/>
  <c r="AA265" i="1"/>
  <c r="AA913" i="1" a="1"/>
  <c r="AA913" i="1"/>
  <c r="AA956" i="1" a="1"/>
  <c r="AA956" i="1"/>
  <c r="AA1185" i="1" a="1"/>
  <c r="AA1185" i="1"/>
  <c r="AA221" i="1" a="1"/>
  <c r="AA221" i="1"/>
  <c r="AA840" i="1" a="1"/>
  <c r="AA840" i="1"/>
  <c r="AA102" i="1" a="1"/>
  <c r="AA102" i="1"/>
  <c r="AA237" i="1" a="1"/>
  <c r="AA237" i="1"/>
  <c r="AA999" i="1" a="1"/>
  <c r="AA999" i="1"/>
  <c r="AA1111" i="1" a="1"/>
  <c r="AA1111" i="1"/>
  <c r="AA470" i="1" a="1"/>
  <c r="AA470" i="1"/>
  <c r="AA1230" i="1" a="1"/>
  <c r="AA1230" i="1"/>
  <c r="AA590" i="1" a="1"/>
  <c r="AA590" i="1"/>
  <c r="AA998" i="1" a="1"/>
  <c r="AA998" i="1"/>
  <c r="AA1033" i="1" a="1"/>
  <c r="AA1033" i="1"/>
  <c r="AA362" i="1" a="1"/>
  <c r="AA362" i="1"/>
  <c r="AA666" i="1" a="1"/>
  <c r="AA666" i="1"/>
  <c r="AA86" i="1" a="1"/>
  <c r="AA86" i="1"/>
  <c r="AA600" i="1" a="1"/>
  <c r="AA600" i="1"/>
  <c r="AA1144" i="1" a="1"/>
  <c r="AA1144" i="1"/>
  <c r="AA530" i="1" a="1"/>
  <c r="AA530" i="1"/>
  <c r="AA381" i="1" a="1"/>
  <c r="AA381" i="1"/>
  <c r="AA1118" i="1" a="1"/>
  <c r="AA1118" i="1"/>
  <c r="AA884" i="1" a="1"/>
  <c r="AA884" i="1"/>
  <c r="AA668" i="1" a="1"/>
  <c r="AA668" i="1"/>
  <c r="AA495" i="1" a="1"/>
  <c r="AA495" i="1"/>
  <c r="AA1115" i="1" a="1"/>
  <c r="AA1115" i="1"/>
  <c r="AA1105" i="1" a="1"/>
  <c r="AA1105" i="1"/>
  <c r="AA217" i="1" a="1"/>
  <c r="AA217" i="1"/>
  <c r="AA507" i="1" a="1"/>
  <c r="AA507" i="1"/>
  <c r="AA249" i="1" a="1"/>
  <c r="AA249" i="1"/>
  <c r="AA846" i="1" a="1"/>
  <c r="AA846" i="1"/>
  <c r="AA215" i="1" a="1"/>
  <c r="AA215" i="1"/>
  <c r="AA551" i="1" a="1"/>
  <c r="AA551" i="1"/>
  <c r="AA183" i="1" a="1"/>
  <c r="AA183" i="1"/>
  <c r="AA6" i="1" a="1"/>
  <c r="AA6" i="1"/>
  <c r="AA969" i="1" a="1"/>
  <c r="AA969" i="1"/>
  <c r="AA411" i="1" a="1"/>
  <c r="AA411" i="1"/>
  <c r="AA195" i="1" a="1"/>
  <c r="AA195" i="1"/>
  <c r="AA684" i="1" a="1"/>
  <c r="AA684" i="1"/>
  <c r="AA498" i="1" a="1"/>
  <c r="AA498" i="1"/>
  <c r="AA246" i="1" a="1"/>
  <c r="AA246" i="1"/>
  <c r="AA278" i="1" a="1"/>
  <c r="AA278" i="1"/>
  <c r="AA383" i="1" a="1"/>
  <c r="AA383" i="1"/>
  <c r="AA450" i="1" a="1"/>
  <c r="AA450" i="1"/>
  <c r="AA758" i="1" a="1"/>
  <c r="AA758" i="1"/>
  <c r="AA22" i="1" a="1"/>
  <c r="AA22" i="1"/>
  <c r="AA819" i="1" a="1"/>
  <c r="AA819" i="1"/>
  <c r="AA182" i="1" a="1"/>
  <c r="AA182" i="1"/>
  <c r="AA91" i="1" a="1"/>
  <c r="AA91" i="1"/>
  <c r="AA686" i="1" a="1"/>
  <c r="AA686" i="1"/>
  <c r="AA982" i="1" a="1"/>
  <c r="AA982" i="1"/>
  <c r="AA950" i="1" a="1"/>
  <c r="AA950" i="1"/>
  <c r="AA1031" i="1" a="1"/>
  <c r="AA1031" i="1"/>
  <c r="AA1080" i="1" a="1"/>
  <c r="AA1080" i="1"/>
  <c r="AA471" i="1" a="1"/>
  <c r="AA471" i="1"/>
  <c r="AA152" i="1" a="1"/>
  <c r="AA152" i="1"/>
  <c r="AA996" i="1" a="1"/>
  <c r="AA996" i="1"/>
  <c r="AA1276" i="1" a="1"/>
  <c r="AA1276" i="1"/>
  <c r="AA51" i="1" a="1"/>
  <c r="AA51" i="1"/>
  <c r="AA190" i="1" a="1"/>
  <c r="AA190" i="1"/>
  <c r="AA697" i="1" a="1"/>
  <c r="AA697" i="1"/>
  <c r="AA802" i="1" a="1"/>
  <c r="AA802" i="1"/>
  <c r="AA209" i="1" a="1"/>
  <c r="AA209" i="1"/>
  <c r="AA742" i="1" a="1"/>
  <c r="AA742" i="1"/>
  <c r="AA770" i="1" a="1"/>
  <c r="AA770" i="1"/>
  <c r="AA501" i="1" a="1"/>
  <c r="AA501" i="1"/>
  <c r="AA1250" i="1" a="1"/>
  <c r="AA1250" i="1"/>
  <c r="AA98" i="1" a="1"/>
  <c r="AA98" i="1"/>
  <c r="AA788" i="1" a="1"/>
  <c r="AA788" i="1"/>
  <c r="AA1266" i="1" a="1"/>
  <c r="AA1266" i="1"/>
  <c r="AA827" i="1" a="1"/>
  <c r="AA827" i="1"/>
  <c r="AA366" i="1" a="1"/>
  <c r="AA366" i="1"/>
  <c r="AA750" i="1" a="1"/>
  <c r="AA750" i="1"/>
  <c r="AA216" i="1" a="1"/>
  <c r="AA216" i="1"/>
  <c r="AA277" i="1" a="1"/>
  <c r="AA277" i="1"/>
  <c r="AA334" i="1" a="1"/>
  <c r="AA334" i="1"/>
  <c r="AA850" i="1" a="1"/>
  <c r="AA850" i="1"/>
  <c r="AA647" i="1" a="1"/>
  <c r="AA647" i="1"/>
  <c r="AA691" i="1" a="1"/>
  <c r="AA691" i="1"/>
  <c r="AA1009" i="1" a="1"/>
  <c r="AA1009" i="1"/>
  <c r="AA1306" i="1" a="1"/>
  <c r="AA1306" i="1"/>
  <c r="AA403" i="1" a="1"/>
  <c r="AA403" i="1"/>
  <c r="AA464" i="1" a="1"/>
  <c r="AA464" i="1"/>
  <c r="AA179" i="1" a="1"/>
  <c r="AA179" i="1"/>
  <c r="AA254" i="1" a="1"/>
  <c r="AA254" i="1"/>
  <c r="AA331" i="1" a="1"/>
  <c r="AA331" i="1"/>
  <c r="AA582" i="1" a="1"/>
  <c r="AA582" i="1"/>
  <c r="AA177" i="1" a="1"/>
  <c r="AA177" i="1"/>
  <c r="AA789" i="1" a="1"/>
  <c r="AA789" i="1"/>
  <c r="AA1245" i="1" a="1"/>
  <c r="AA1245" i="1"/>
  <c r="AA1028" i="1" a="1"/>
  <c r="AA1028" i="1"/>
  <c r="AA1043" i="1" a="1"/>
  <c r="AA1043" i="1"/>
  <c r="AA1151" i="1" a="1"/>
  <c r="AA1151" i="1"/>
  <c r="AA45" i="1" a="1"/>
  <c r="AA45" i="1"/>
  <c r="AA143" i="1" a="1"/>
  <c r="AA143" i="1"/>
  <c r="AA377" i="1" a="1"/>
  <c r="AA377" i="1"/>
  <c r="AA936" i="1" a="1"/>
  <c r="AA936" i="1"/>
  <c r="AA50" i="1" a="1"/>
  <c r="AA50" i="1"/>
  <c r="AA655" i="1" a="1"/>
  <c r="AA655" i="1"/>
  <c r="AA669" i="1" a="1"/>
  <c r="AA669" i="1"/>
  <c r="AA462" i="1" a="1"/>
  <c r="AA462" i="1"/>
  <c r="AA1070" i="1" a="1"/>
  <c r="AA1070" i="1"/>
  <c r="AA425" i="1" a="1"/>
  <c r="AA425" i="1"/>
  <c r="AA1147" i="1" a="1"/>
  <c r="AA1147" i="1"/>
  <c r="AA263" i="1" a="1"/>
  <c r="AA263" i="1"/>
  <c r="AA821" i="1" a="1"/>
  <c r="AA821" i="1"/>
  <c r="AA848" i="1" a="1"/>
  <c r="AA848" i="1"/>
  <c r="AA538" i="1" a="1"/>
  <c r="AA538" i="1"/>
  <c r="AA1156" i="1" a="1"/>
  <c r="AA1156" i="1"/>
  <c r="AA1097" i="1" a="1"/>
  <c r="AA1097" i="1"/>
  <c r="AA892" i="1" a="1"/>
  <c r="AA892" i="1"/>
  <c r="AA1137" i="1" a="1"/>
  <c r="AA1137" i="1"/>
  <c r="AA541" i="1" a="1"/>
  <c r="AA541" i="1"/>
  <c r="AA535" i="1" a="1"/>
  <c r="AA535" i="1"/>
  <c r="AA508" i="1" a="1"/>
  <c r="AA508" i="1"/>
  <c r="AA782" i="1" a="1"/>
  <c r="AA782" i="1"/>
  <c r="AA1213" i="1" a="1"/>
  <c r="AA1213" i="1"/>
  <c r="AA1219" i="1" a="1"/>
  <c r="AA1219" i="1"/>
  <c r="AA560" i="1" a="1"/>
  <c r="AA560" i="1"/>
  <c r="AA636" i="1" a="1"/>
  <c r="AA636" i="1"/>
  <c r="AA905" i="1" a="1"/>
  <c r="AA905" i="1"/>
  <c r="AA454" i="1" a="1"/>
  <c r="AA454" i="1"/>
  <c r="AA355" i="1" a="1"/>
  <c r="AA355" i="1"/>
  <c r="AA843" i="1" a="1"/>
  <c r="AA843" i="1"/>
  <c r="AA975" i="1" a="1"/>
  <c r="AA975" i="1"/>
  <c r="AA197" i="1" a="1"/>
  <c r="AA197" i="1"/>
  <c r="AA874" i="1" a="1"/>
  <c r="AA874" i="1"/>
  <c r="AA570" i="1" a="1"/>
  <c r="AA570" i="1"/>
  <c r="AA646" i="1" a="1"/>
  <c r="AA646" i="1"/>
  <c r="AA656" i="1" a="1"/>
  <c r="AA656" i="1"/>
  <c r="AA1026" i="1" a="1"/>
  <c r="AA1026" i="1"/>
  <c r="AA178" i="1" a="1"/>
  <c r="AA178" i="1"/>
  <c r="AA521" i="1" a="1"/>
  <c r="AA521" i="1"/>
  <c r="AA779" i="1" a="1"/>
  <c r="AA779" i="1"/>
  <c r="AA923" i="1" a="1"/>
  <c r="AA923" i="1"/>
  <c r="AA92" i="1" a="1"/>
  <c r="AA92" i="1"/>
  <c r="AA308" i="1" a="1"/>
  <c r="AA308" i="1"/>
  <c r="AA433" i="1" a="1"/>
  <c r="AA433" i="1"/>
  <c r="AA106" i="1" a="1"/>
  <c r="AA106" i="1"/>
  <c r="AA1311" i="1" a="1"/>
  <c r="AA1311" i="1"/>
  <c r="AA837" i="1" a="1"/>
  <c r="AA837" i="1"/>
  <c r="AA700" i="1" a="1"/>
  <c r="AA700" i="1"/>
  <c r="AA606" i="1" a="1"/>
  <c r="AA606" i="1"/>
  <c r="AA624" i="1" a="1"/>
  <c r="AA624" i="1"/>
  <c r="AA239" i="1" a="1"/>
  <c r="AA239" i="1"/>
  <c r="AA989" i="1" a="1"/>
  <c r="AA989" i="1"/>
  <c r="AA77" i="1" a="1"/>
  <c r="AA77" i="1"/>
  <c r="AA793" i="1" a="1"/>
  <c r="AA793" i="1"/>
  <c r="AA257" i="1" a="1"/>
  <c r="AA257" i="1"/>
  <c r="AA631" i="1" a="1"/>
  <c r="AA631" i="1"/>
  <c r="AA927" i="1" a="1"/>
  <c r="AA927" i="1"/>
  <c r="AA556" i="1" a="1"/>
  <c r="AA556" i="1"/>
  <c r="AA839" i="1" a="1"/>
  <c r="AA839" i="1"/>
  <c r="AA1073" i="1" a="1"/>
  <c r="AA1073" i="1"/>
  <c r="AA844" i="1" a="1"/>
  <c r="AA844" i="1"/>
  <c r="AA820" i="1" a="1"/>
  <c r="AA820" i="1"/>
  <c r="AA1036" i="1" a="1"/>
  <c r="AA1036" i="1"/>
  <c r="AA338" i="1" a="1"/>
  <c r="AA338" i="1"/>
  <c r="AA722" i="1" a="1"/>
  <c r="AA722" i="1"/>
  <c r="AA1124" i="1" a="1"/>
  <c r="AA1124" i="1"/>
  <c r="AA228" i="1" a="1"/>
  <c r="AA228" i="1"/>
  <c r="AA131" i="1" a="1"/>
  <c r="AA131" i="1"/>
  <c r="AA164" i="1" a="1"/>
  <c r="AA164" i="1"/>
  <c r="AA486" i="1" a="1"/>
  <c r="AA486" i="1"/>
  <c r="AA3" i="1" a="1"/>
  <c r="AA3" i="1"/>
  <c r="AA33" i="1" a="1"/>
  <c r="AA33" i="1"/>
  <c r="AA296" i="1" a="1"/>
  <c r="AA296" i="1"/>
  <c r="AA418" i="1" a="1"/>
  <c r="AA418" i="1"/>
  <c r="AA220" i="1" a="1"/>
  <c r="AA220" i="1"/>
  <c r="AA1237" i="1" a="1"/>
  <c r="AA1237" i="1"/>
  <c r="AA1050" i="1" a="1"/>
  <c r="AA1050" i="1"/>
  <c r="AA679" i="1" a="1"/>
  <c r="AA679" i="1"/>
  <c r="AA803" i="1" a="1"/>
  <c r="AA803" i="1"/>
  <c r="AA748" i="1" a="1"/>
  <c r="AA748" i="1"/>
  <c r="AA972" i="1" a="1"/>
  <c r="AA972" i="1"/>
  <c r="AA140" i="1" a="1"/>
  <c r="AA140" i="1"/>
  <c r="AA1200" i="1" a="1"/>
  <c r="AA1200" i="1"/>
  <c r="AA805" i="1" a="1"/>
  <c r="AA805" i="1"/>
  <c r="AA333" i="1" a="1"/>
  <c r="AA333" i="1"/>
  <c r="AA676" i="1" a="1"/>
  <c r="AA676" i="1"/>
  <c r="AA194" i="1" a="1"/>
  <c r="AA194" i="1"/>
  <c r="AA5" i="1" a="1"/>
  <c r="AA5" i="1"/>
  <c r="AA964" i="1" a="1"/>
  <c r="AA964" i="1"/>
  <c r="AA119" i="1" a="1"/>
  <c r="AA119" i="1"/>
  <c r="AA1264" i="1" a="1"/>
  <c r="AA1264" i="1"/>
  <c r="AA99" i="1" a="1"/>
  <c r="AA99" i="1"/>
  <c r="AA378" i="1" a="1"/>
  <c r="AA378" i="1"/>
  <c r="AA448" i="1" a="1"/>
  <c r="AA448" i="1"/>
  <c r="AA549" i="1" a="1"/>
  <c r="AA549" i="1"/>
  <c r="AA1218" i="1" a="1"/>
  <c r="AA1218" i="1"/>
  <c r="AA963" i="1" a="1"/>
  <c r="AA963" i="1"/>
  <c r="AA224" i="1" a="1"/>
  <c r="AA224" i="1"/>
  <c r="AA110" i="1" a="1"/>
  <c r="AA110" i="1"/>
  <c r="AA186" i="1" a="1"/>
  <c r="AA186" i="1"/>
  <c r="AA325" i="1" a="1"/>
  <c r="AA325" i="1"/>
  <c r="AA439" i="1" a="1"/>
  <c r="AA439" i="1"/>
  <c r="AA1295" i="1" a="1"/>
  <c r="AA1295" i="1"/>
  <c r="AA904" i="1" a="1"/>
  <c r="AA904" i="1"/>
  <c r="AA166" i="1" a="1"/>
  <c r="AA166" i="1"/>
  <c r="AA242" i="1" a="1"/>
  <c r="AA242" i="1"/>
  <c r="AA741" i="1" a="1"/>
  <c r="AA741" i="1"/>
  <c r="AA798" i="1" a="1"/>
  <c r="AA798" i="1"/>
  <c r="AA1165" i="1" a="1"/>
  <c r="AA1165" i="1"/>
  <c r="AA931" i="1" a="1"/>
  <c r="AA931" i="1"/>
  <c r="AA113" i="1" a="1"/>
  <c r="AA113" i="1"/>
  <c r="AA396" i="1" a="1"/>
  <c r="AA396" i="1"/>
  <c r="AA268" i="1" a="1"/>
  <c r="AA268" i="1"/>
  <c r="AA619" i="1" a="1"/>
  <c r="AA619" i="1"/>
  <c r="AA1044" i="1" a="1"/>
  <c r="AA1044" i="1"/>
  <c r="AA761" i="1" a="1"/>
  <c r="AA761" i="1"/>
  <c r="AA1282" i="1" a="1"/>
  <c r="AA1282" i="1"/>
  <c r="AA824" i="1" a="1"/>
  <c r="AA824" i="1"/>
  <c r="AA1260" i="1" a="1"/>
  <c r="AA1260" i="1"/>
  <c r="AA1007" i="1" a="1"/>
  <c r="AA1007" i="1"/>
  <c r="AA267" i="1" a="1"/>
  <c r="AA267" i="1"/>
  <c r="AA516" i="1" a="1"/>
  <c r="AA516" i="1"/>
  <c r="AA746" i="1" a="1"/>
  <c r="AA746" i="1"/>
  <c r="AA1016" i="1" a="1"/>
  <c r="AA1016" i="1"/>
  <c r="AA924" i="1" a="1"/>
  <c r="AA924" i="1"/>
  <c r="AA493" i="1" a="1"/>
  <c r="AA493" i="1"/>
  <c r="AA354" i="1" a="1"/>
  <c r="AA354" i="1"/>
  <c r="AA1217" i="1" a="1"/>
  <c r="AA1217" i="1"/>
  <c r="AA796" i="1" a="1"/>
  <c r="AA796" i="1"/>
  <c r="AA393" i="1" a="1"/>
  <c r="AA393" i="1"/>
  <c r="AA460" i="1" a="1"/>
  <c r="AA460" i="1"/>
  <c r="AA1268" i="1" a="1"/>
  <c r="AA1268" i="1"/>
  <c r="AA869" i="1" a="1"/>
  <c r="AA869" i="1"/>
  <c r="AA615" i="1" a="1"/>
  <c r="AA615" i="1"/>
  <c r="AA1148" i="1" a="1"/>
  <c r="AA1148" i="1"/>
  <c r="AA1322" i="1" a="1"/>
  <c r="AA1322" i="1"/>
  <c r="AA786" i="1" a="1"/>
  <c r="AA786" i="1"/>
  <c r="AA772" i="1" a="1"/>
  <c r="AA772" i="1"/>
  <c r="AA336" i="1" a="1"/>
  <c r="AA336" i="1"/>
  <c r="AA980" i="1" a="1"/>
  <c r="AA980" i="1"/>
  <c r="AA342" i="1" a="1"/>
  <c r="AA342" i="1"/>
  <c r="AA1063" i="1" a="1"/>
  <c r="AA1063" i="1"/>
  <c r="AA1296" i="1" a="1"/>
  <c r="AA1296" i="1"/>
  <c r="AA1000" i="1" a="1"/>
  <c r="AA1000" i="1"/>
  <c r="AA284" i="1" a="1"/>
  <c r="AA284" i="1"/>
  <c r="AA1283" i="1" a="1"/>
  <c r="AA1283" i="1"/>
  <c r="AA941" i="1" a="1"/>
  <c r="AA941" i="1"/>
  <c r="AA210" i="1" a="1"/>
  <c r="AA210" i="1"/>
  <c r="AA130" i="1" a="1"/>
  <c r="AA130" i="1"/>
  <c r="AA616" i="1" a="1"/>
  <c r="AA616" i="1"/>
  <c r="AA879" i="1" a="1"/>
  <c r="AA879" i="1"/>
  <c r="AA332" i="1" a="1"/>
  <c r="AA332" i="1"/>
  <c r="AA310" i="1" a="1"/>
  <c r="AA310" i="1"/>
  <c r="AA596" i="1" a="1"/>
  <c r="AA596" i="1"/>
  <c r="AA402" i="1" a="1"/>
  <c r="AA402" i="1"/>
  <c r="AA773" i="1" a="1"/>
  <c r="AA773" i="1"/>
  <c r="AA1046" i="1" a="1"/>
  <c r="AA1046" i="1"/>
  <c r="AA986" i="1" a="1"/>
  <c r="AA986" i="1"/>
  <c r="AA109" i="1" a="1"/>
  <c r="AA109" i="1"/>
  <c r="AA60" i="1" a="1"/>
  <c r="AA60" i="1"/>
  <c r="AA193" i="1" a="1"/>
  <c r="AA193" i="1"/>
  <c r="AA259" i="1" a="1"/>
  <c r="AA259" i="1"/>
  <c r="AA505" i="1" a="1"/>
  <c r="AA505" i="1"/>
  <c r="AA134" i="1" a="1"/>
  <c r="AA134" i="1"/>
  <c r="AA445" i="1" a="1"/>
  <c r="AA445" i="1"/>
  <c r="AA283" i="1" a="1"/>
  <c r="AA283" i="1"/>
  <c r="AA181" i="1" a="1"/>
  <c r="AA181" i="1"/>
  <c r="AA872" i="1" a="1"/>
  <c r="AA872" i="1"/>
  <c r="AA161" i="1" a="1"/>
  <c r="AA161" i="1"/>
  <c r="AA537" i="1" a="1"/>
  <c r="AA537" i="1"/>
  <c r="AA1086" i="1" a="1"/>
  <c r="AA1086" i="1"/>
  <c r="AA1179" i="1" a="1"/>
  <c r="AA1179" i="1"/>
  <c r="AA914" i="1" a="1"/>
  <c r="AA914" i="1"/>
  <c r="AA72" i="1" a="1"/>
  <c r="AA72" i="1"/>
  <c r="AA148" i="1" a="1"/>
  <c r="AA148" i="1"/>
  <c r="AA572" i="1" a="1"/>
  <c r="AA572" i="1"/>
  <c r="AA1228" i="1" a="1"/>
  <c r="AA1228" i="1"/>
  <c r="AA1140" i="1" a="1"/>
  <c r="AA1140" i="1"/>
  <c r="AA1128" i="1" a="1"/>
  <c r="AA1128" i="1"/>
  <c r="AA863" i="1" a="1"/>
  <c r="AA863" i="1"/>
  <c r="AA524" i="1" a="1"/>
  <c r="AA524" i="1"/>
  <c r="AA1076" i="1" a="1"/>
  <c r="AA1076" i="1"/>
  <c r="AA1240" i="1" a="1"/>
  <c r="AA1240" i="1"/>
  <c r="AA468" i="1" a="1"/>
  <c r="AA468" i="1"/>
  <c r="AA132" i="1" a="1"/>
  <c r="AA132" i="1"/>
  <c r="AA1256" i="1" a="1"/>
  <c r="AA1256" i="1"/>
  <c r="AA1087" i="1" a="1"/>
  <c r="AA1087" i="1"/>
  <c r="AA322" i="1" a="1"/>
  <c r="AA322" i="1"/>
  <c r="AA349" i="1" a="1"/>
  <c r="AA349" i="1"/>
  <c r="AA149" i="1" a="1"/>
  <c r="AA149" i="1"/>
  <c r="AA594" i="1" a="1"/>
  <c r="AA594" i="1"/>
  <c r="AA440" i="1" a="1"/>
  <c r="AA440" i="1"/>
  <c r="AA59" i="1" a="1"/>
  <c r="AA59" i="1"/>
  <c r="AA328" i="1" a="1"/>
  <c r="AA328" i="1"/>
  <c r="AA173" i="1" a="1"/>
  <c r="AA173" i="1"/>
  <c r="AA52" i="1" a="1"/>
  <c r="AA52" i="1"/>
  <c r="AA1303" i="1" a="1"/>
  <c r="AA1303" i="1"/>
  <c r="AA1159" i="1" a="1"/>
  <c r="AA1159" i="1"/>
  <c r="AA276" i="1" a="1"/>
  <c r="AA276" i="1"/>
  <c r="AA144" i="1" a="1"/>
  <c r="AA144" i="1"/>
  <c r="AA757" i="1" a="1"/>
  <c r="AA757" i="1"/>
  <c r="AA871" i="1" a="1"/>
  <c r="AA871" i="1"/>
  <c r="AA1314" i="1" a="1"/>
  <c r="AA1314" i="1"/>
  <c r="AA1098" i="1" a="1"/>
  <c r="AA1098" i="1"/>
  <c r="AA169" i="1" a="1"/>
  <c r="AA169" i="1"/>
  <c r="AA1265" i="1" a="1"/>
  <c r="AA1265" i="1"/>
  <c r="AA791" i="1" a="1"/>
  <c r="AA791" i="1"/>
  <c r="AA1134" i="1" a="1"/>
  <c r="AA1134" i="1"/>
  <c r="AA429" i="1" a="1"/>
  <c r="AA429" i="1"/>
  <c r="AA811" i="1" a="1"/>
  <c r="AA811" i="1"/>
  <c r="AA828" i="1" a="1"/>
  <c r="AA828" i="1"/>
  <c r="AA384" i="1" a="1"/>
  <c r="AA384" i="1"/>
  <c r="AA422" i="1" a="1"/>
  <c r="AA422" i="1"/>
  <c r="AA459" i="1" a="1"/>
  <c r="AA459" i="1"/>
  <c r="AA754" i="1" a="1"/>
  <c r="AA754" i="1"/>
  <c r="AA555" i="1" a="1"/>
  <c r="AA555" i="1"/>
  <c r="AA817" i="1" a="1"/>
  <c r="AA817" i="1"/>
  <c r="AA1253" i="1" a="1"/>
  <c r="AA1253" i="1"/>
  <c r="AA983" i="1" a="1"/>
  <c r="AA983" i="1"/>
  <c r="AA1125" i="1" a="1"/>
  <c r="AA1125" i="1"/>
  <c r="AA877" i="1" a="1"/>
  <c r="AA877" i="1"/>
  <c r="AA1235" i="1" a="1"/>
  <c r="AA1235" i="1"/>
  <c r="AA361" i="1" a="1"/>
  <c r="AA361" i="1"/>
  <c r="AA146" i="1" a="1"/>
  <c r="AA146" i="1"/>
  <c r="AA1054" i="1" a="1"/>
  <c r="AA1054" i="1"/>
  <c r="AA1262" i="1" a="1"/>
  <c r="AA1262" i="1"/>
  <c r="AA890" i="1" a="1"/>
  <c r="AA890" i="1"/>
  <c r="AA1274" i="1" a="1"/>
  <c r="AA1274" i="1"/>
  <c r="AA1181" i="1" a="1"/>
  <c r="AA1181" i="1"/>
  <c r="AA32" i="1" a="1"/>
  <c r="AA32" i="1"/>
  <c r="AA611" i="1" a="1"/>
  <c r="AA611" i="1"/>
  <c r="AA621" i="1" a="1"/>
  <c r="AA621" i="1"/>
  <c r="AA299" i="1" a="1"/>
  <c r="AA299" i="1"/>
  <c r="AA128" i="1" a="1"/>
  <c r="AA128" i="1"/>
  <c r="AA1170" i="1" a="1"/>
  <c r="AA1170" i="1"/>
  <c r="AA248" i="1" a="1"/>
  <c r="AA248" i="1"/>
  <c r="AA515" i="1" a="1"/>
  <c r="AA515" i="1"/>
  <c r="AA34" i="1" a="1"/>
  <c r="AA34" i="1"/>
  <c r="AA202" i="1" a="1"/>
  <c r="AA202" i="1"/>
  <c r="AA1021" i="1" a="1"/>
  <c r="AA1021" i="1"/>
  <c r="AA847" i="1" a="1"/>
  <c r="AA847" i="1"/>
  <c r="AA26" i="1" a="1"/>
  <c r="AA26" i="1"/>
  <c r="AA363" i="1" a="1"/>
  <c r="AA363" i="1"/>
  <c r="AA81" i="1" a="1"/>
  <c r="AA81" i="1"/>
  <c r="AA318" i="1" a="1"/>
  <c r="AA318" i="1"/>
  <c r="AA1045" i="1" a="1"/>
  <c r="AA1045" i="1"/>
  <c r="AA473" i="1" a="1"/>
  <c r="AA473" i="1"/>
  <c r="AA1138" i="1" a="1"/>
  <c r="AA1138" i="1"/>
  <c r="AA1152" i="1" a="1"/>
  <c r="AA1152" i="1"/>
  <c r="AA626" i="1" a="1"/>
  <c r="AA626" i="1"/>
  <c r="AA1034" i="1" a="1"/>
  <c r="AA1034" i="1"/>
  <c r="AA929" i="1" a="1"/>
  <c r="AA929" i="1"/>
  <c r="AA690" i="1" a="1"/>
  <c r="AA690" i="1"/>
  <c r="AA38" i="1" a="1"/>
  <c r="AA38" i="1"/>
  <c r="AA428" i="1" a="1"/>
  <c r="AA428" i="1"/>
  <c r="AA744" i="1" a="1"/>
  <c r="AA744" i="1"/>
  <c r="AA497" i="1" a="1"/>
  <c r="AA497" i="1"/>
  <c r="AA623" i="1" a="1"/>
  <c r="AA623" i="1"/>
  <c r="AA808" i="1" a="1"/>
  <c r="AA808" i="1"/>
  <c r="AA329" i="1" a="1"/>
  <c r="AA329" i="1"/>
  <c r="AA715" i="1" a="1"/>
  <c r="AA715" i="1"/>
  <c r="AA1242" i="1" a="1"/>
  <c r="AA1242" i="1"/>
  <c r="AA725" i="1" a="1"/>
  <c r="AA725" i="1"/>
  <c r="AA153" i="1" a="1"/>
  <c r="AA153" i="1"/>
  <c r="AA79" i="1" a="1"/>
  <c r="AA79" i="1"/>
  <c r="AA1075" i="1" a="1"/>
  <c r="AA1075" i="1"/>
  <c r="AA540" i="1" a="1"/>
  <c r="AA540" i="1"/>
  <c r="AA739" i="1" a="1"/>
  <c r="AA739" i="1"/>
  <c r="AA1180" i="1" a="1"/>
  <c r="AA1180" i="1"/>
  <c r="AA995" i="1" a="1"/>
  <c r="AA995" i="1"/>
  <c r="AA1255" i="1" a="1"/>
  <c r="AA1255" i="1"/>
  <c r="AA455" i="1" a="1"/>
  <c r="AA455" i="1"/>
  <c r="AA488" i="1" a="1"/>
  <c r="AA488" i="1"/>
  <c r="AA387" i="1" a="1"/>
  <c r="AA387" i="1"/>
  <c r="AA61" i="1" a="1"/>
  <c r="AA61" i="1"/>
  <c r="AA807" i="1" a="1"/>
  <c r="AA807" i="1"/>
  <c r="AA640" i="1" a="1"/>
  <c r="AA640" i="1"/>
  <c r="AA751" i="1" a="1"/>
  <c r="AA751" i="1"/>
  <c r="AA974" i="1" a="1"/>
  <c r="AA974" i="1"/>
  <c r="AA1114" i="1" a="1"/>
  <c r="AA1114" i="1"/>
  <c r="AA340" i="1" a="1"/>
  <c r="AA340" i="1"/>
  <c r="AA1186" i="1" a="1"/>
  <c r="AA1186" i="1"/>
  <c r="AA21" i="1" a="1"/>
  <c r="AA21" i="1"/>
  <c r="AA806" i="1" a="1"/>
  <c r="AA806" i="1"/>
  <c r="AA882" i="1" a="1"/>
  <c r="AA882" i="1"/>
  <c r="AA309" i="1" a="1"/>
  <c r="AA309" i="1"/>
  <c r="AA111" i="1" a="1"/>
  <c r="AA111" i="1"/>
  <c r="AA437" i="1" a="1"/>
  <c r="AA437" i="1"/>
  <c r="AA1168" i="1" a="1"/>
  <c r="AA1168" i="1"/>
  <c r="AA1327" i="1" a="1"/>
  <c r="AA1327" i="1"/>
  <c r="AA901" i="1" a="1"/>
  <c r="AA901" i="1"/>
  <c r="AA909" i="1" a="1"/>
  <c r="AA909" i="1"/>
  <c r="AA1020" i="1" a="1"/>
  <c r="AA1020" i="1"/>
  <c r="AA648" i="1" a="1"/>
  <c r="AA648" i="1"/>
  <c r="AA293" i="1" a="1"/>
  <c r="AA293" i="1"/>
  <c r="AA664" i="1" a="1"/>
  <c r="AA664" i="1"/>
  <c r="AA83" i="1" a="1"/>
  <c r="AA83" i="1"/>
  <c r="AA502" i="1" a="1"/>
  <c r="AA502" i="1"/>
  <c r="AA37" i="1" a="1"/>
  <c r="AA37" i="1"/>
  <c r="AA934" i="1" a="1"/>
  <c r="AA934" i="1"/>
  <c r="AA442" i="1" a="1"/>
  <c r="AA442" i="1"/>
  <c r="AA1164" i="1" a="1"/>
  <c r="AA1164" i="1"/>
  <c r="AA204" i="1" a="1"/>
  <c r="AA204" i="1"/>
  <c r="AA311" i="1" a="1"/>
  <c r="AA311" i="1"/>
  <c r="AA449" i="1" a="1"/>
  <c r="AA449" i="1"/>
  <c r="AA395" i="1" a="1"/>
  <c r="AA395" i="1"/>
  <c r="AA89" i="1" a="1"/>
  <c r="AA89" i="1"/>
  <c r="AA1279" i="1" a="1"/>
  <c r="AA1279" i="1"/>
  <c r="AA405" i="1" a="1"/>
  <c r="AA405" i="1"/>
  <c r="AA294" i="1" a="1"/>
  <c r="AA294" i="1"/>
  <c r="AA136" i="1" a="1"/>
  <c r="AA136" i="1"/>
  <c r="AA1241" i="1" a="1"/>
  <c r="AA1241" i="1"/>
  <c r="AA878" i="1" a="1"/>
  <c r="AA878" i="1"/>
  <c r="AA1011" i="1" a="1"/>
  <c r="AA1011" i="1"/>
  <c r="AA834" i="1" a="1"/>
  <c r="AA834" i="1"/>
  <c r="AA792" i="1" a="1"/>
  <c r="AA792" i="1"/>
  <c r="AA599" i="1" a="1"/>
  <c r="AA599" i="1"/>
  <c r="AA475" i="1" a="1"/>
  <c r="AA475" i="1"/>
  <c r="AA347" i="1" a="1"/>
  <c r="AA347" i="1"/>
  <c r="AA729" i="1" a="1"/>
  <c r="AA729" i="1"/>
  <c r="AA156" i="1" a="1"/>
  <c r="AA156" i="1"/>
  <c r="AA8" i="1" a="1"/>
  <c r="AA8" i="1"/>
  <c r="AA55" i="1" a="1"/>
  <c r="AA55" i="1"/>
  <c r="AA567" i="1" a="1"/>
  <c r="AA567" i="1"/>
  <c r="AA948" i="1" a="1"/>
  <c r="AA948" i="1"/>
  <c r="AA864" i="1" a="1"/>
  <c r="AA864" i="1"/>
  <c r="AA870" i="1" a="1"/>
  <c r="AA870" i="1"/>
  <c r="AA78" i="1" a="1"/>
  <c r="AA78" i="1"/>
  <c r="AA151" i="1" a="1"/>
  <c r="AA151" i="1"/>
  <c r="AA160" i="1" a="1"/>
  <c r="AA160" i="1"/>
  <c r="AA303" i="1" a="1"/>
  <c r="AA303" i="1"/>
  <c r="AA1018" i="1" a="1"/>
  <c r="AA1018" i="1"/>
  <c r="AA304" i="1" a="1"/>
  <c r="AA304" i="1"/>
  <c r="AA18" i="1" a="1"/>
  <c r="AA18" i="1"/>
  <c r="AA20" i="1" a="1"/>
  <c r="AA20" i="1"/>
  <c r="AA756" i="1" a="1"/>
  <c r="AA756" i="1"/>
  <c r="AA954" i="1" a="1"/>
  <c r="AA954" i="1"/>
  <c r="AA208" i="1" a="1"/>
  <c r="AA208" i="1"/>
  <c r="AA907" i="1" a="1"/>
  <c r="AA907" i="1"/>
  <c r="AA504" i="1" a="1"/>
  <c r="AA504" i="1"/>
  <c r="AA1157" i="1" a="1"/>
  <c r="AA1157" i="1"/>
  <c r="AA171" i="1" a="1"/>
  <c r="AA171" i="1"/>
  <c r="AA212" i="1" a="1"/>
  <c r="AA212" i="1"/>
  <c r="AA618" i="1" a="1"/>
  <c r="AA618" i="1"/>
  <c r="AA881" i="1" a="1"/>
  <c r="AA881" i="1"/>
  <c r="AA912" i="1" a="1"/>
  <c r="AA912" i="1"/>
  <c r="AA235" i="1" a="1"/>
  <c r="AA235" i="1"/>
  <c r="AA490" i="1" a="1"/>
  <c r="AA490" i="1"/>
  <c r="AA138" i="1" a="1"/>
  <c r="AA138" i="1"/>
  <c r="AA855" i="1" a="1"/>
  <c r="AA855" i="1"/>
  <c r="AA444" i="1" a="1"/>
  <c r="AA444" i="1"/>
  <c r="AA71" i="1" a="1"/>
  <c r="AA71" i="1"/>
  <c r="AA1318" i="1" a="1"/>
  <c r="AA1318" i="1"/>
  <c r="AA609" i="1" a="1"/>
  <c r="AA609" i="1"/>
  <c r="AA200" i="1" a="1"/>
  <c r="AA200" i="1"/>
  <c r="AA226" i="1" a="1"/>
  <c r="AA226" i="1"/>
  <c r="AA413" i="1" a="1"/>
  <c r="AA413" i="1"/>
  <c r="AA1129" i="1" a="1"/>
  <c r="AA1129" i="1"/>
  <c r="AA1239" i="1" a="1"/>
  <c r="AA1239" i="1"/>
  <c r="AA189" i="1" a="1"/>
  <c r="AA189" i="1"/>
  <c r="AA287" i="1" a="1"/>
  <c r="AA287" i="1"/>
  <c r="AA1041" i="1" a="1"/>
  <c r="AA1041" i="1"/>
  <c r="AA1289" i="1" a="1"/>
  <c r="AA1289" i="1"/>
  <c r="AA85" i="1" a="1"/>
  <c r="AA85" i="1"/>
  <c r="AA408" i="1" a="1"/>
  <c r="AA408" i="1"/>
  <c r="AA289" i="1" a="1"/>
  <c r="AA289" i="1"/>
  <c r="AA522" i="1" a="1"/>
  <c r="AA522" i="1"/>
  <c r="AA632" i="1" a="1"/>
  <c r="AA632" i="1"/>
  <c r="AA1172" i="1" a="1"/>
  <c r="AA1172" i="1"/>
  <c r="AA141" i="1" a="1"/>
  <c r="AA141" i="1"/>
  <c r="AA1049" i="1" a="1"/>
  <c r="AA1049" i="1"/>
  <c r="AA114" i="1" a="1"/>
  <c r="AA114" i="1"/>
  <c r="AA14" i="1" a="1"/>
  <c r="AA14" i="1"/>
  <c r="AA660" i="1" a="1"/>
  <c r="AA660" i="1"/>
  <c r="AA47" i="1" a="1"/>
  <c r="AA47" i="1"/>
  <c r="AA519" i="1" a="1"/>
  <c r="AA519" i="1"/>
  <c r="AA629" i="1" a="1"/>
  <c r="AA629" i="1"/>
  <c r="AA542" i="1" a="1"/>
  <c r="AA542" i="1"/>
  <c r="AA35" i="1" a="1"/>
  <c r="AA35" i="1"/>
  <c r="AA735" i="1" a="1"/>
  <c r="AA735" i="1"/>
  <c r="AA554" i="1" a="1"/>
  <c r="AA554" i="1"/>
  <c r="AA474" i="1" a="1"/>
  <c r="AA474" i="1"/>
  <c r="AA469" i="1" a="1"/>
  <c r="AA469" i="1"/>
  <c r="AA958" i="1" a="1"/>
  <c r="AA958" i="1"/>
  <c r="AA105" i="1" a="1"/>
  <c r="AA105" i="1"/>
  <c r="AA225" i="1" a="1"/>
  <c r="AA225" i="1"/>
  <c r="AA1234" i="1" a="1"/>
  <c r="AA1234" i="1"/>
  <c r="AA240" i="1" a="1"/>
  <c r="AA240" i="1"/>
  <c r="AA335" i="1" a="1"/>
  <c r="AA335" i="1"/>
  <c r="AA833" i="1" a="1"/>
  <c r="AA833" i="1"/>
  <c r="AA755" i="1" a="1"/>
  <c r="AA755" i="1"/>
  <c r="AA706" i="1" a="1"/>
  <c r="AA706" i="1"/>
  <c r="AA710" i="1" a="1"/>
  <c r="AA710" i="1"/>
  <c r="AA1004" i="1" a="1"/>
  <c r="AA1004" i="1"/>
  <c r="AA1146" i="1" a="1"/>
  <c r="AA1146" i="1"/>
  <c r="AA188" i="1" a="1"/>
  <c r="AA188" i="1"/>
  <c r="AA566" i="1" a="1"/>
  <c r="AA566" i="1"/>
  <c r="AA887" i="1" a="1"/>
  <c r="AA887" i="1"/>
  <c r="AA861" i="1" a="1"/>
  <c r="AA861" i="1"/>
  <c r="AA16" i="1" a="1"/>
  <c r="AA16" i="1"/>
  <c r="AA703" i="1" a="1"/>
  <c r="AA703" i="1"/>
  <c r="AA630" i="1" a="1"/>
  <c r="AA630" i="1"/>
  <c r="AA1309" i="1" a="1"/>
  <c r="AA1309" i="1"/>
  <c r="AA988" i="1" a="1"/>
  <c r="AA988" i="1"/>
  <c r="AA441" i="1" a="1"/>
  <c r="AA441" i="1"/>
  <c r="AA1184" i="1" a="1"/>
  <c r="AA1184" i="1"/>
  <c r="AA500" i="1" a="1"/>
  <c r="AA500" i="1"/>
  <c r="AA351" i="1" a="1"/>
  <c r="AA351" i="1"/>
  <c r="AA1092" i="1" a="1"/>
  <c r="AA1092" i="1"/>
  <c r="AA581" i="1" a="1"/>
  <c r="AA581" i="1"/>
  <c r="AA1263" i="1" a="1"/>
  <c r="AA1263" i="1"/>
  <c r="AA399" i="1" a="1"/>
  <c r="AA399" i="1"/>
  <c r="AA126" i="1" a="1"/>
  <c r="AA126" i="1"/>
  <c r="AA19" i="1" a="1"/>
  <c r="AA19" i="1"/>
  <c r="AA174" i="1" a="1"/>
  <c r="AA174" i="1"/>
  <c r="AA1290" i="1" a="1"/>
  <c r="AA1290" i="1"/>
  <c r="AA234" i="1" a="1"/>
  <c r="AA234" i="1"/>
  <c r="AA1161" i="1" a="1"/>
  <c r="AA1161" i="1"/>
  <c r="AA288" i="1" a="1"/>
  <c r="AA288" i="1"/>
  <c r="AA925" i="1" a="1"/>
  <c r="AA925" i="1"/>
  <c r="AA1246" i="1" a="1"/>
  <c r="AA1246" i="1"/>
  <c r="AA688" i="1" a="1"/>
  <c r="AA688" i="1"/>
  <c r="AA117" i="1" a="1"/>
  <c r="AA117" i="1"/>
  <c r="AA984" i="1" a="1"/>
  <c r="AA984" i="1"/>
  <c r="AA509" i="1" a="1"/>
  <c r="AA509" i="1"/>
  <c r="AA588" i="1" a="1"/>
  <c r="AA588" i="1"/>
  <c r="AA920" i="1" a="1"/>
  <c r="AA920" i="1"/>
  <c r="AA1316" i="1" a="1"/>
  <c r="AA1316" i="1"/>
  <c r="AA783" i="1" a="1"/>
  <c r="AA783" i="1"/>
  <c r="AA1285" i="1" a="1"/>
  <c r="AA1285" i="1"/>
  <c r="AA69" i="1" a="1"/>
  <c r="AA69" i="1"/>
  <c r="AA1319" i="1" a="1"/>
  <c r="AA1319" i="1"/>
  <c r="AA766" i="1" a="1"/>
  <c r="AA766" i="1"/>
  <c r="AA279" i="1" a="1"/>
  <c r="AA279" i="1"/>
  <c r="AA574" i="1" a="1"/>
  <c r="AA574" i="1"/>
  <c r="AA341" i="1" a="1"/>
  <c r="AA341" i="1"/>
  <c r="AA852" i="1" a="1"/>
  <c r="AA852" i="1"/>
  <c r="AA1275" i="1" a="1"/>
  <c r="AA1275" i="1"/>
  <c r="AA372" i="1" a="1"/>
  <c r="AA372" i="1"/>
  <c r="AA689" i="1" a="1"/>
  <c r="AA689" i="1"/>
  <c r="AA859" i="1" a="1"/>
  <c r="AA859" i="1"/>
  <c r="AA1190" i="1" a="1"/>
  <c r="AA1190" i="1"/>
  <c r="AA707" i="1" a="1"/>
  <c r="AA707" i="1"/>
  <c r="AA27" i="1" a="1"/>
  <c r="AA27" i="1"/>
  <c r="AA483" i="1" a="1"/>
  <c r="AA483" i="1"/>
  <c r="AA1062" i="1" a="1"/>
  <c r="AA1062" i="1"/>
  <c r="AA1182" i="1" a="1"/>
  <c r="AA1182" i="1"/>
  <c r="AA154" i="1" a="1"/>
  <c r="AA154" i="1"/>
  <c r="AA103" i="1" a="1"/>
  <c r="AA103" i="1"/>
  <c r="AA1132" i="1" a="1"/>
  <c r="AA1132" i="1"/>
  <c r="AA1291" i="1" a="1"/>
  <c r="AA1291" i="1"/>
  <c r="AA579" i="1" a="1"/>
  <c r="AA579" i="1"/>
  <c r="AA1220" i="1" a="1"/>
  <c r="AA1220" i="1"/>
  <c r="AA713" i="1" a="1"/>
  <c r="AA713" i="1"/>
  <c r="AA1051" i="1" a="1"/>
  <c r="AA1051" i="1"/>
  <c r="AA1061" i="1" a="1"/>
  <c r="AA1061" i="1"/>
  <c r="AA511" i="1" a="1"/>
  <c r="AA511" i="1"/>
  <c r="AA317" i="1" a="1"/>
  <c r="AA317" i="1"/>
  <c r="AA407" i="1" a="1"/>
  <c r="AA407" i="1"/>
  <c r="AA371" i="1" a="1"/>
  <c r="AA371" i="1"/>
  <c r="AA170" i="1" a="1"/>
  <c r="AA170" i="1"/>
  <c r="AA1035" i="1" a="1"/>
  <c r="AA1035" i="1"/>
  <c r="AA716" i="1" a="1"/>
  <c r="AA716" i="1"/>
  <c r="AA889" i="1" a="1"/>
  <c r="AA889" i="1"/>
  <c r="AA75" i="1" a="1"/>
  <c r="AA75" i="1"/>
  <c r="AA367" i="1" a="1"/>
  <c r="AA367" i="1"/>
  <c r="AA928" i="1" a="1"/>
  <c r="AA928" i="1"/>
  <c r="AA491" i="1" a="1"/>
  <c r="AA491" i="1"/>
  <c r="AA922" i="1" a="1"/>
  <c r="AA922" i="1"/>
  <c r="AA785" i="1" a="1"/>
  <c r="AA785" i="1"/>
  <c r="AA236" i="1" a="1"/>
  <c r="AA236" i="1"/>
  <c r="AA607" i="1" a="1"/>
  <c r="AA607" i="1"/>
  <c r="AA595" i="1" a="1"/>
  <c r="AA595" i="1"/>
  <c r="AA628" i="1" a="1"/>
  <c r="AA628" i="1"/>
  <c r="AA1231" i="1" a="1"/>
  <c r="AA1231" i="1"/>
  <c r="AA665" i="1" a="1"/>
  <c r="AA665" i="1"/>
  <c r="AA1008" i="1" a="1"/>
  <c r="AA1008" i="1"/>
  <c r="AA266" i="1" a="1"/>
  <c r="AA266" i="1"/>
  <c r="AA1053" i="1" a="1"/>
  <c r="AA1053" i="1"/>
  <c r="AA93" i="1" a="1"/>
  <c r="AA93" i="1"/>
  <c r="AA353" i="1" a="1"/>
  <c r="AA353" i="1"/>
  <c r="AA951" i="1" a="1"/>
  <c r="AA951" i="1"/>
  <c r="AA1195" i="1" a="1"/>
  <c r="AA1195" i="1"/>
  <c r="AA944" i="1" a="1"/>
  <c r="AA944" i="1"/>
  <c r="AA810" i="1" a="1"/>
  <c r="AA810" i="1"/>
  <c r="AA48" i="1" a="1"/>
  <c r="AA48" i="1"/>
  <c r="AA698" i="1" a="1"/>
  <c r="AA698" i="1"/>
  <c r="AA1301" i="1" a="1"/>
  <c r="AA1301" i="1"/>
  <c r="AA1059" i="1" a="1"/>
  <c r="AA1059" i="1"/>
  <c r="AA721" i="1" a="1"/>
  <c r="AA721" i="1"/>
  <c r="AA1048" i="1" a="1"/>
  <c r="AA1048" i="1"/>
  <c r="AA836" i="1" a="1"/>
  <c r="AA836" i="1"/>
  <c r="AA526" i="1" a="1"/>
  <c r="AA526" i="1"/>
  <c r="AA534" i="1" a="1"/>
  <c r="AA534" i="1"/>
  <c r="AA374" i="1" a="1"/>
  <c r="AA374" i="1"/>
  <c r="AA1133" i="1" a="1"/>
  <c r="AA1133" i="1"/>
  <c r="AA25" i="1" a="1"/>
  <c r="AA25" i="1"/>
  <c r="AA269" i="1" a="1"/>
  <c r="AA269" i="1"/>
  <c r="AA835" i="1" a="1"/>
  <c r="AA835" i="1"/>
  <c r="AA456" i="1" a="1"/>
  <c r="AA456" i="1"/>
  <c r="AA382" i="1" a="1"/>
  <c r="AA382" i="1"/>
  <c r="AA657" i="1" a="1"/>
  <c r="AA657" i="1"/>
  <c r="AA1032" i="1" a="1"/>
  <c r="AA1032" i="1"/>
  <c r="AA961" i="1" a="1"/>
  <c r="AA961" i="1"/>
  <c r="AA53" i="1" a="1"/>
  <c r="AA53" i="1"/>
  <c r="AA512" i="1" a="1"/>
  <c r="AA512" i="1"/>
  <c r="AA432" i="1" a="1"/>
  <c r="AA432" i="1"/>
  <c r="AA1042" i="1" a="1"/>
  <c r="AA1042" i="1"/>
  <c r="AA533" i="1" a="1"/>
  <c r="AA533" i="1"/>
  <c r="AA121" i="1" a="1"/>
  <c r="AA121" i="1"/>
  <c r="AA365" i="1" a="1"/>
  <c r="AA365" i="1"/>
  <c r="AA207" i="1" a="1"/>
  <c r="AA207" i="1"/>
  <c r="AA29" i="1" a="1"/>
  <c r="AA29" i="1"/>
  <c r="AA981" i="1" a="1"/>
  <c r="AA981" i="1"/>
  <c r="AA1088" i="1" a="1"/>
  <c r="AA1088" i="1"/>
  <c r="AA1286" i="1" a="1"/>
  <c r="AA1286" i="1"/>
  <c r="AA205" i="1" a="1"/>
  <c r="AA205" i="1"/>
  <c r="AA1084" i="1" a="1"/>
  <c r="AA1084" i="1"/>
  <c r="AA740" i="1" a="1"/>
  <c r="AA740" i="1"/>
  <c r="AA663" i="1" a="1"/>
  <c r="AA663" i="1"/>
  <c r="AA1154" i="1" a="1"/>
  <c r="AA1154" i="1"/>
  <c r="AA1310" i="1" a="1"/>
  <c r="AA1310" i="1"/>
  <c r="AA373" i="1" a="1"/>
  <c r="AA373" i="1"/>
  <c r="AA550" i="1" a="1"/>
  <c r="AA550" i="1"/>
  <c r="AA584" i="1" a="1"/>
  <c r="AA584" i="1"/>
  <c r="AA1052" i="1" a="1"/>
  <c r="AA1052" i="1"/>
  <c r="AA1258" i="1" a="1"/>
  <c r="AA1258" i="1"/>
  <c r="AA9" i="1" a="1"/>
  <c r="AA9" i="1"/>
  <c r="AA496" i="1" a="1"/>
  <c r="AA496" i="1"/>
  <c r="AA159" i="1" a="1"/>
  <c r="AA159" i="1"/>
  <c r="AA400" i="1" a="1"/>
  <c r="AA400" i="1"/>
  <c r="AA1106" i="1" a="1"/>
  <c r="AA1106" i="1"/>
  <c r="AA380" i="1" a="1"/>
  <c r="AA380" i="1"/>
  <c r="AA876" i="1" a="1"/>
  <c r="AA876" i="1"/>
  <c r="AA390" i="1" a="1"/>
  <c r="AA390" i="1"/>
  <c r="AA252" i="1" a="1"/>
  <c r="AA252" i="1"/>
  <c r="AA723" i="1" a="1"/>
  <c r="AA723" i="1"/>
  <c r="AA620" i="1" a="1"/>
  <c r="AA620" i="1"/>
  <c r="AA858" i="1" a="1"/>
  <c r="AA858" i="1"/>
  <c r="AA1072" i="1" a="1"/>
  <c r="AA1072" i="1"/>
  <c r="AA1017" i="1" a="1"/>
  <c r="AA1017" i="1"/>
  <c r="AA57" i="1" a="1"/>
  <c r="AA57" i="1"/>
  <c r="AA1006" i="1" a="1"/>
  <c r="AA1006" i="1"/>
  <c r="AA949" i="1" a="1"/>
  <c r="AA949" i="1"/>
  <c r="AA273" i="1" a="1"/>
  <c r="AA273" i="1"/>
  <c r="AA203" i="1" a="1"/>
  <c r="AA203" i="1"/>
  <c r="AA1294" i="1" a="1"/>
  <c r="AA1294" i="1"/>
  <c r="AA44" i="1" a="1"/>
  <c r="AA44" i="1"/>
  <c r="AA1108" i="1" a="1"/>
  <c r="AA1108" i="1"/>
  <c r="AA123" i="1" a="1"/>
  <c r="AA123" i="1"/>
  <c r="AA264" i="1" a="1"/>
  <c r="AA264" i="1"/>
  <c r="AA1107" i="1" a="1"/>
  <c r="AA1107" i="1"/>
  <c r="AA674" i="1" a="1"/>
  <c r="AA674" i="1"/>
  <c r="AA298" i="1" a="1"/>
  <c r="AA298" i="1"/>
  <c r="AA406" i="1" a="1"/>
  <c r="AA406" i="1"/>
  <c r="AA520" i="1" a="1"/>
  <c r="AA520" i="1"/>
  <c r="AA1145" i="1" a="1"/>
  <c r="AA1145" i="1"/>
  <c r="AA893" i="1" a="1"/>
  <c r="AA893" i="1"/>
  <c r="AA612" i="1" a="1"/>
  <c r="AA612" i="1"/>
  <c r="AA838" i="1" a="1"/>
  <c r="AA838" i="1"/>
  <c r="AA790" i="1" a="1"/>
  <c r="AA790" i="1"/>
  <c r="AA610" i="1" a="1"/>
  <c r="AA610" i="1"/>
  <c r="AA510" i="1" a="1"/>
  <c r="AA510" i="1"/>
  <c r="AA1223" i="1" a="1"/>
  <c r="AA1223" i="1"/>
  <c r="AA1244" i="1" a="1"/>
  <c r="AA1244" i="1"/>
  <c r="AA935" i="1" a="1"/>
  <c r="AA935" i="1"/>
  <c r="AA673" i="1" a="1"/>
  <c r="AA673" i="1"/>
  <c r="AA316" i="1" a="1"/>
  <c r="AA316" i="1"/>
  <c r="AA601" i="1" a="1"/>
  <c r="AA601" i="1"/>
  <c r="AA319" i="1" a="1"/>
  <c r="AA319" i="1"/>
  <c r="AA125" i="1" a="1"/>
  <c r="AA125" i="1"/>
  <c r="AA436" i="1" a="1"/>
  <c r="AA436" i="1"/>
  <c r="AA227" i="1" a="1"/>
  <c r="AA227" i="1"/>
  <c r="AA891" i="1" a="1"/>
  <c r="AA891" i="1"/>
  <c r="AA946" i="1" a="1"/>
  <c r="AA946" i="1"/>
  <c r="AA738" i="1" a="1"/>
  <c r="AA738" i="1"/>
  <c r="AA1081" i="1" a="1"/>
  <c r="AA1081" i="1"/>
  <c r="AA867" i="1" a="1"/>
  <c r="AA867" i="1"/>
  <c r="AA642" i="1" a="1"/>
  <c r="AA642" i="1"/>
  <c r="AA115" i="1" a="1"/>
  <c r="AA115" i="1"/>
  <c r="AA175" i="1" a="1"/>
  <c r="AA175" i="1"/>
  <c r="AA453" i="1" a="1"/>
  <c r="AA453" i="1"/>
  <c r="AA409" i="1" a="1"/>
  <c r="AA409" i="1"/>
  <c r="AA155" i="1" a="1"/>
  <c r="AA155" i="1"/>
  <c r="AA734" i="1" a="1"/>
  <c r="AA734" i="1"/>
  <c r="AA350" i="1" a="1"/>
  <c r="AA350" i="1"/>
  <c r="AA1273" i="1" a="1"/>
  <c r="AA1273" i="1"/>
  <c r="AA58" i="1" a="1"/>
  <c r="AA58" i="1"/>
  <c r="AA423" i="1" a="1"/>
  <c r="AA423" i="1"/>
  <c r="AA1112" i="1" a="1"/>
  <c r="AA1112" i="1"/>
  <c r="AA771" i="1" a="1"/>
  <c r="AA771" i="1"/>
  <c r="AA1030" i="1" a="1"/>
  <c r="AA1030" i="1"/>
  <c r="AA1198" i="1" a="1"/>
  <c r="AA1198" i="1"/>
  <c r="AA447" i="1" a="1"/>
  <c r="AA447" i="1"/>
  <c r="AA162" i="1" a="1"/>
  <c r="AA162" i="1"/>
  <c r="AA1177" i="1" a="1"/>
  <c r="AA1177" i="1"/>
  <c r="AA1278" i="1" a="1"/>
  <c r="AA1278" i="1"/>
  <c r="AA198" i="1" a="1"/>
  <c r="AA198" i="1"/>
  <c r="AA822" i="1" a="1"/>
  <c r="AA822" i="1"/>
  <c r="AA1299" i="1" a="1"/>
  <c r="AA1299" i="1"/>
  <c r="AA1101" i="1" a="1"/>
  <c r="AA1101" i="1"/>
  <c r="AA718" i="1" a="1"/>
  <c r="AA718" i="1"/>
  <c r="AA1183" i="1" a="1"/>
  <c r="AA1183" i="1"/>
  <c r="AA56" i="1" a="1"/>
  <c r="AA56" i="1"/>
  <c r="AA17" i="1" a="1"/>
  <c r="AA17" i="1"/>
  <c r="AA443" i="1" a="1"/>
  <c r="AA443" i="1"/>
  <c r="AA1307" i="1" a="1"/>
  <c r="AA1307" i="1"/>
  <c r="AA1269" i="1" a="1"/>
  <c r="AA1269" i="1"/>
  <c r="AA243" i="1" a="1"/>
  <c r="AA243" i="1"/>
  <c r="AA1272" i="1" a="1"/>
  <c r="AA1272" i="1"/>
  <c r="AA1064" i="1" a="1"/>
  <c r="AA1064" i="1"/>
  <c r="AA597" i="1" a="1"/>
  <c r="AA597" i="1"/>
  <c r="AA187" i="1" a="1"/>
  <c r="AA187" i="1"/>
  <c r="AA719" i="1" a="1"/>
  <c r="AA719" i="1"/>
  <c r="AA1207" i="1" a="1"/>
  <c r="AA1207" i="1"/>
  <c r="AA1224" i="1" a="1"/>
  <c r="AA1224" i="1"/>
  <c r="AA1158" i="1" a="1"/>
  <c r="AA1158" i="1"/>
  <c r="AA214" i="1" a="1"/>
  <c r="AA214" i="1"/>
  <c r="AA731" i="1" a="1"/>
  <c r="AA731" i="1"/>
  <c r="AA1019" i="1" a="1"/>
  <c r="AA1019" i="1"/>
  <c r="AA1136" i="1" a="1"/>
  <c r="AA1136" i="1"/>
  <c r="AA797" i="1" a="1"/>
  <c r="AA797" i="1"/>
  <c r="AA262" i="1" a="1"/>
  <c r="AA262" i="1"/>
  <c r="AA1216" i="1" a="1"/>
  <c r="AA1216" i="1"/>
  <c r="AA705" i="1" a="1"/>
  <c r="AA705" i="1"/>
  <c r="AA358" i="1" a="1"/>
  <c r="AA358" i="1"/>
  <c r="AA591" i="1" a="1"/>
  <c r="AA591" i="1"/>
  <c r="AA940" i="1" a="1"/>
  <c r="AA940" i="1"/>
  <c r="AA158" i="1" a="1"/>
  <c r="AA158" i="1"/>
  <c r="AA112" i="1" a="1"/>
  <c r="AA112" i="1"/>
  <c r="AA730" i="1" a="1"/>
  <c r="AA730" i="1"/>
  <c r="AA23" i="1" a="1"/>
  <c r="AA23" i="1"/>
  <c r="AA880" i="1" a="1"/>
  <c r="AA880" i="1"/>
  <c r="AA896" i="1" a="1"/>
  <c r="AA896" i="1"/>
  <c r="AA150" i="1" a="1"/>
  <c r="AA150" i="1"/>
  <c r="AA617" i="1" a="1"/>
  <c r="AA617" i="1"/>
  <c r="AA678" i="1" a="1"/>
  <c r="AA678" i="1"/>
  <c r="AA15" i="1" a="1"/>
  <c r="AA15" i="1"/>
  <c r="AA1135" i="1" a="1"/>
  <c r="AA1135" i="1"/>
  <c r="AA1174" i="1" a="1"/>
  <c r="AA1174" i="1"/>
  <c r="AA514" i="1" a="1"/>
  <c r="AA514" i="1"/>
  <c r="AA421" i="1" a="1"/>
  <c r="AA421" i="1"/>
  <c r="AA795" i="1" a="1"/>
  <c r="AA795" i="1"/>
  <c r="AA352" i="1" a="1"/>
  <c r="AA352" i="1"/>
  <c r="AA900" i="1" a="1"/>
  <c r="AA900" i="1"/>
  <c r="AA31" i="1" a="1"/>
  <c r="AA31" i="1"/>
  <c r="AA682" i="1" a="1"/>
  <c r="AA682" i="1"/>
  <c r="AA446" i="1" a="1"/>
  <c r="AA446" i="1"/>
  <c r="AA300" i="1" a="1"/>
  <c r="AA300" i="1"/>
  <c r="AA831" i="1" a="1"/>
  <c r="AA831" i="1"/>
  <c r="AA778" i="1" a="1"/>
  <c r="AA778" i="1"/>
  <c r="AA552" i="1" a="1"/>
  <c r="AA552" i="1"/>
  <c r="AA64" i="1" a="1"/>
  <c r="AA64" i="1"/>
  <c r="AA1324" i="1" a="1"/>
  <c r="AA1324" i="1"/>
  <c r="AA314" i="1" a="1"/>
  <c r="AA314" i="1"/>
  <c r="AA518" i="1" a="1"/>
  <c r="AA518" i="1"/>
  <c r="AA1038" i="1" a="1"/>
  <c r="AA1038" i="1"/>
  <c r="AA578" i="1" a="1"/>
  <c r="AA578" i="1"/>
  <c r="AA1119" i="1" a="1"/>
  <c r="AA1119" i="1"/>
  <c r="AA434" i="1" a="1"/>
  <c r="AA434" i="1"/>
  <c r="AA1167" i="1" a="1"/>
  <c r="AA1167" i="1"/>
  <c r="AA971" i="1" a="1"/>
  <c r="AA971" i="1"/>
  <c r="AA1312" i="1" a="1"/>
  <c r="AA1312" i="1"/>
  <c r="AA747" i="1" a="1"/>
  <c r="AA747" i="1"/>
  <c r="AA823" i="1" a="1"/>
  <c r="AA823" i="1"/>
  <c r="AA255" i="1" a="1"/>
  <c r="AA255" i="1"/>
  <c r="AA206" i="1" a="1"/>
  <c r="AA206" i="1"/>
  <c r="AA1302" i="1" a="1"/>
  <c r="AA1302" i="1"/>
  <c r="AA124" i="1" a="1"/>
  <c r="AA124" i="1"/>
  <c r="AA1074" i="1" a="1"/>
  <c r="AA1074" i="1"/>
  <c r="AA1003" i="1" a="1"/>
  <c r="AA1003" i="1"/>
  <c r="AA1257" i="1" a="1"/>
  <c r="AA1257" i="1"/>
  <c r="AA419" i="1" a="1"/>
  <c r="AA419" i="1"/>
  <c r="AA1005" i="1" a="1"/>
  <c r="AA1005" i="1"/>
  <c r="AA649" i="1" a="1"/>
  <c r="AA649" i="1"/>
  <c r="AA513" i="1" a="1"/>
  <c r="AA513" i="1"/>
  <c r="AA658" i="1" a="1"/>
  <c r="AA658" i="1"/>
  <c r="AA883" i="1" a="1"/>
  <c r="AA883" i="1"/>
  <c r="AA66" i="1" a="1"/>
  <c r="AA66" i="1"/>
  <c r="AA571" i="1" a="1"/>
  <c r="AA571" i="1"/>
  <c r="AA749" i="1" a="1"/>
  <c r="AA749" i="1"/>
  <c r="AA302" i="1" a="1"/>
  <c r="AA302" i="1"/>
  <c r="AA142" i="1" a="1"/>
  <c r="AA142" i="1"/>
  <c r="AA622" i="1" a="1"/>
  <c r="AA622" i="1"/>
  <c r="AA199" i="1" a="1"/>
  <c r="AA199" i="1"/>
  <c r="AA938" i="1" a="1"/>
  <c r="AA938" i="1"/>
  <c r="AA191" i="1" a="1"/>
  <c r="AA191" i="1"/>
  <c r="AA577" i="1" a="1"/>
  <c r="AA577" i="1"/>
  <c r="AA897" i="1" a="1"/>
  <c r="AA897" i="1"/>
  <c r="AA696" i="1" a="1"/>
  <c r="AA696" i="1"/>
  <c r="AA1292" i="1" a="1"/>
  <c r="AA1292" i="1"/>
  <c r="AA285" i="1" a="1"/>
  <c r="AA285" i="1"/>
  <c r="AA145" i="1" a="1"/>
  <c r="AA145" i="1"/>
  <c r="AA233" i="1" a="1"/>
  <c r="AA233" i="1"/>
  <c r="AA967" i="1" a="1"/>
  <c r="AA967" i="1"/>
  <c r="AA1131" i="1" a="1"/>
  <c r="AA1131" i="1"/>
  <c r="AA245" i="1" a="1"/>
  <c r="AA245" i="1"/>
  <c r="AA506" i="1" a="1"/>
  <c r="AA506" i="1"/>
  <c r="AA787" i="1" a="1"/>
  <c r="AA787" i="1"/>
  <c r="AA1037" i="1" a="1"/>
  <c r="AA1037" i="1"/>
  <c r="AA346" i="1" a="1"/>
  <c r="AA346" i="1"/>
  <c r="AA379" i="1" a="1"/>
  <c r="AA379" i="1"/>
  <c r="AA814" i="1" a="1"/>
  <c r="AA814" i="1"/>
  <c r="AA1308" i="1" a="1"/>
  <c r="AA1308" i="1"/>
  <c r="AA563" i="1" a="1"/>
  <c r="AA563" i="1"/>
  <c r="AA1078" i="1" a="1"/>
  <c r="AA1078" i="1"/>
  <c r="AA1193" i="1" a="1"/>
  <c r="AA1193" i="1"/>
  <c r="AA1058" i="1" a="1"/>
  <c r="AA1058" i="1"/>
  <c r="AA1304" i="1" a="1"/>
  <c r="AA1304" i="1"/>
  <c r="AA1169" i="1" a="1"/>
  <c r="AA1169" i="1"/>
  <c r="AA702" i="1" a="1"/>
  <c r="AA702" i="1"/>
  <c r="AA917" i="1" a="1"/>
  <c r="AA917" i="1"/>
  <c r="AA356" i="1" a="1"/>
  <c r="AA356" i="1"/>
  <c r="AA885" i="1" a="1"/>
  <c r="AA885" i="1"/>
  <c r="AA638" i="1" a="1"/>
  <c r="AA638" i="1"/>
  <c r="AA955" i="1" a="1"/>
  <c r="AA955" i="1"/>
  <c r="AA1130" i="1" a="1"/>
  <c r="AA1130" i="1"/>
  <c r="AA991" i="1" a="1"/>
  <c r="AA991" i="1"/>
  <c r="AA94" i="1" a="1"/>
  <c r="AA94" i="1"/>
  <c r="AA1014" i="1" a="1"/>
  <c r="AA1014" i="1"/>
  <c r="AA84" i="1" a="1"/>
  <c r="AA84" i="1"/>
  <c r="AA545" i="1" a="1"/>
  <c r="AA545" i="1"/>
  <c r="AA301" i="1" a="1"/>
  <c r="AA301" i="1"/>
  <c r="AA260" i="1" a="1"/>
  <c r="AA260" i="1"/>
  <c r="AA1082" i="1" a="1"/>
  <c r="AA1082" i="1"/>
  <c r="AA732" i="1" a="1"/>
  <c r="AA732" i="1"/>
  <c r="AA280" i="1" a="1"/>
  <c r="AA280" i="1"/>
  <c r="AA1117" i="1" a="1"/>
  <c r="AA1117" i="1"/>
  <c r="AA781" i="1" a="1"/>
  <c r="AA781" i="1"/>
  <c r="AA832" i="1" a="1"/>
  <c r="AA832" i="1"/>
  <c r="AA1029" i="1" a="1"/>
  <c r="AA1029" i="1"/>
  <c r="AA978" i="1" a="1"/>
  <c r="AA978" i="1"/>
  <c r="AA39" i="1" a="1"/>
  <c r="AA39" i="1"/>
  <c r="AA763" i="1" a="1"/>
  <c r="AA763" i="1"/>
  <c r="AA527" i="1" a="1"/>
  <c r="AA527" i="1"/>
  <c r="AA271" i="1" a="1"/>
  <c r="AA271" i="1"/>
  <c r="AA714" i="1" a="1"/>
  <c r="AA714" i="1"/>
  <c r="AA315" i="1" a="1"/>
  <c r="AA315" i="1"/>
  <c r="AA856" i="1" a="1"/>
  <c r="AA856" i="1"/>
  <c r="AA576" i="1" a="1"/>
  <c r="AA576" i="1"/>
  <c r="AA370" i="1" a="1"/>
  <c r="AA370" i="1"/>
  <c r="AA959" i="1" a="1"/>
  <c r="AA959" i="1"/>
  <c r="AA1205" i="1" a="1"/>
  <c r="AA1205" i="1"/>
  <c r="AA101" i="1" a="1"/>
  <c r="AA101" i="1"/>
  <c r="AA894" i="1" a="1"/>
  <c r="AA894" i="1"/>
  <c r="AA1271" i="1" a="1"/>
  <c r="AA1271" i="1"/>
  <c r="AA976" i="1" a="1"/>
  <c r="AA976" i="1"/>
  <c r="AA1023" i="1" a="1"/>
  <c r="AA1023" i="1"/>
  <c r="AA561" i="1" a="1"/>
  <c r="AA561" i="1"/>
  <c r="AA321" i="1" a="1"/>
  <c r="AA321" i="1"/>
  <c r="AA435" i="1" a="1"/>
  <c r="AA435" i="1"/>
  <c r="AA1012" i="1" a="1"/>
  <c r="AA1012" i="1"/>
  <c r="AA1057" i="1" a="1"/>
  <c r="AA1057" i="1"/>
  <c r="AA1233" i="1" a="1"/>
  <c r="AA1233" i="1"/>
  <c r="AA250" i="1" a="1"/>
  <c r="AA250" i="1"/>
  <c r="AA809" i="1" a="1"/>
  <c r="AA809" i="1"/>
  <c r="AA95" i="1" a="1"/>
  <c r="AA95" i="1"/>
  <c r="AA528" i="1" a="1"/>
  <c r="AA528" i="1"/>
  <c r="AA1214" i="1" a="1"/>
  <c r="AA1214" i="1"/>
  <c r="AA320" i="1" a="1"/>
  <c r="AA320" i="1"/>
  <c r="AA760" i="1" a="1"/>
  <c r="AA760" i="1"/>
  <c r="AA1243" i="1" a="1"/>
  <c r="AA1243" i="1"/>
  <c r="AA1259" i="1" a="1"/>
  <c r="AA1259" i="1"/>
  <c r="AA41" i="1" a="1"/>
  <c r="AA41" i="1"/>
  <c r="AA196" i="1" a="1"/>
  <c r="AA196" i="1"/>
  <c r="AA717" i="1" a="1"/>
  <c r="AA717" i="1"/>
  <c r="AA274" i="1" a="1"/>
  <c r="AA274" i="1"/>
  <c r="AA54" i="1" a="1"/>
  <c r="AA54" i="1"/>
  <c r="AA1068" i="1" a="1"/>
  <c r="AA1068" i="1"/>
  <c r="AA330" i="1" a="1"/>
  <c r="AA330" i="1"/>
  <c r="AA389" i="1" a="1"/>
  <c r="AA389" i="1"/>
  <c r="AA1325" i="1" a="1"/>
  <c r="AA1325" i="1"/>
  <c r="AA244" i="1" a="1"/>
  <c r="AA244" i="1"/>
  <c r="AA180" i="1" a="1"/>
  <c r="AA180" i="1"/>
  <c r="AA43" i="1" a="1"/>
  <c r="AA43" i="1"/>
  <c r="AA1215" i="1" a="1"/>
  <c r="AA1215" i="1"/>
  <c r="AA1047" i="1" a="1"/>
  <c r="AA1047" i="1"/>
  <c r="AA903" i="1" a="1"/>
  <c r="AA903" i="1"/>
  <c r="AA339" i="1" a="1"/>
  <c r="AA339" i="1"/>
  <c r="AA547" i="1" a="1"/>
  <c r="AA547" i="1"/>
  <c r="AA430" i="1" a="1"/>
  <c r="AA430" i="1"/>
  <c r="AA1079" i="1" a="1"/>
  <c r="AA1079" i="1"/>
  <c r="AA1321" i="1" a="1"/>
  <c r="AA1321" i="1"/>
  <c r="AA426" i="1" a="1"/>
  <c r="AA426" i="1"/>
  <c r="AA344" i="1" a="1"/>
  <c r="AA344" i="1"/>
  <c r="AA1100" i="1" a="1"/>
  <c r="AA1100" i="1"/>
  <c r="AA712" i="1" a="1"/>
  <c r="AA712" i="1"/>
  <c r="AA752" i="1" a="1"/>
  <c r="AA752" i="1"/>
  <c r="AA167" i="1" a="1"/>
  <c r="AA167" i="1"/>
  <c r="AA108" i="1" a="1"/>
  <c r="AA108" i="1"/>
  <c r="AA830" i="1" a="1"/>
  <c r="AA830" i="1"/>
  <c r="AA564" i="1" a="1"/>
  <c r="AA564" i="1"/>
  <c r="AA650" i="1" a="1"/>
  <c r="AA650" i="1"/>
  <c r="AA1326" i="1" a="1"/>
  <c r="AA1326" i="1"/>
  <c r="AA685" i="1" a="1"/>
  <c r="AA685" i="1"/>
  <c r="AA261" i="1" a="1"/>
  <c r="AA261" i="1"/>
  <c r="AA1284" i="1" a="1"/>
  <c r="AA1284" i="1"/>
  <c r="AA1194" i="1" a="1"/>
  <c r="AA1194" i="1"/>
  <c r="AA1176" i="1" a="1"/>
  <c r="AA1176" i="1"/>
  <c r="AA1155" i="1" a="1"/>
  <c r="AA1155" i="1"/>
  <c r="AA36" i="1" a="1"/>
  <c r="AA36" i="1"/>
  <c r="AA1329" i="1" a="1"/>
  <c r="AA1329" i="1"/>
  <c r="AA247" i="1" a="1"/>
  <c r="AA247" i="1"/>
  <c r="AA543" i="1" a="1"/>
  <c r="AA543" i="1"/>
  <c r="AA165" i="1" a="1"/>
  <c r="AA165" i="1"/>
  <c r="AA415" i="1" a="1"/>
  <c r="AA415" i="1"/>
  <c r="AA653" i="1" a="1"/>
  <c r="AA653" i="1"/>
  <c r="AA467" i="1" a="1"/>
  <c r="AA467" i="1"/>
  <c r="AA1201" i="1" a="1"/>
  <c r="AA1201" i="1"/>
  <c r="AA1197" i="1" a="1"/>
  <c r="AA1197" i="1"/>
  <c r="AA939" i="1" a="1"/>
  <c r="AA939" i="1"/>
  <c r="AA417" i="1" a="1"/>
  <c r="AA417" i="1"/>
  <c r="AA1261" i="1" a="1"/>
  <c r="AA1261" i="1"/>
  <c r="AA728" i="1" a="1"/>
  <c r="AA728" i="1"/>
  <c r="AA557" i="1" a="1"/>
  <c r="AA557" i="1"/>
  <c r="AA360" i="1" a="1"/>
  <c r="AA360" i="1"/>
  <c r="AA40" i="1" a="1"/>
  <c r="AA40" i="1"/>
  <c r="AA1305" i="1" a="1"/>
  <c r="AA1305" i="1"/>
  <c r="AA812" i="1" a="1"/>
  <c r="AA812" i="1"/>
  <c r="AA1090" i="1" a="1"/>
  <c r="AA1090" i="1"/>
  <c r="AA238" i="1" a="1"/>
  <c r="AA238" i="1"/>
  <c r="AA476" i="1" a="1"/>
  <c r="AA476" i="1"/>
  <c r="AA1226" i="1" a="1"/>
  <c r="AA1226" i="1"/>
  <c r="AA345" i="1" a="1"/>
  <c r="AA345" i="1"/>
  <c r="AA438" i="1" a="1"/>
  <c r="AA438" i="1"/>
  <c r="AA652" i="1" a="1"/>
  <c r="AA652" i="1"/>
  <c r="AA645" i="1" a="1"/>
  <c r="AA645" i="1"/>
  <c r="AA192" i="1" a="1"/>
  <c r="AA192" i="1"/>
  <c r="AA223" i="1" a="1"/>
  <c r="AA223" i="1"/>
  <c r="AA368" i="1" a="1"/>
  <c r="AA368" i="1"/>
  <c r="AA1126" i="1" a="1"/>
  <c r="AA1126" i="1"/>
  <c r="AA424" i="1" a="1"/>
  <c r="AA424" i="1"/>
  <c r="AA282" i="1" a="1"/>
  <c r="AA282" i="1"/>
  <c r="AA937" i="1" a="1"/>
  <c r="AA937" i="1"/>
  <c r="AA397" i="1" a="1"/>
  <c r="AA397" i="1"/>
  <c r="AA915" i="1" a="1"/>
  <c r="AA915" i="1"/>
  <c r="AA767" i="1" a="1"/>
  <c r="AA767" i="1"/>
  <c r="AA687" i="1" a="1"/>
  <c r="AA687" i="1"/>
  <c r="AA926" i="1" a="1"/>
  <c r="AA926" i="1"/>
  <c r="AA1040" i="1" a="1"/>
  <c r="AA1040" i="1"/>
  <c r="AA487" i="1" a="1"/>
  <c r="AA487" i="1"/>
  <c r="AA1238" i="1" a="1"/>
  <c r="AA1238" i="1"/>
  <c r="AA565" i="1" a="1"/>
  <c r="AA565" i="1"/>
  <c r="AA539" i="1" a="1"/>
  <c r="AA539" i="1"/>
  <c r="AA804" i="1" a="1"/>
  <c r="AA804" i="1"/>
  <c r="AA1001" i="1" a="1"/>
  <c r="AA1001" i="1"/>
  <c r="AA888" i="1" a="1"/>
  <c r="AA888" i="1"/>
  <c r="AA1085" i="1" a="1"/>
  <c r="AA1085" i="1"/>
  <c r="AA799" i="1" a="1"/>
  <c r="AA799" i="1"/>
  <c r="AA478" i="1" a="1"/>
  <c r="AA478" i="1"/>
  <c r="AA670" i="1" a="1"/>
  <c r="AA670" i="1"/>
  <c r="AA76" i="1" a="1"/>
  <c r="AA76" i="1"/>
  <c r="AA229" i="1" a="1"/>
  <c r="AA229" i="1"/>
  <c r="AA777" i="1" a="1"/>
  <c r="AA777" i="1"/>
  <c r="AA391" i="1" a="1"/>
  <c r="AA391" i="1"/>
  <c r="AA327" i="1" a="1"/>
  <c r="AA327" i="1"/>
  <c r="AA1010" i="1" a="1"/>
  <c r="AA1010" i="1"/>
  <c r="AA30" i="1" a="1"/>
  <c r="AA30" i="1"/>
  <c r="AA1297" i="1" a="1"/>
  <c r="AA1297" i="1"/>
  <c r="AA1187" i="1" a="1"/>
  <c r="AA1187" i="1"/>
  <c r="AA147" i="1" a="1"/>
  <c r="AA147" i="1"/>
  <c r="AA1083" i="1" a="1"/>
  <c r="AA1083" i="1"/>
  <c r="AA270" i="1" a="1"/>
  <c r="AA270" i="1"/>
  <c r="AA133" i="1" a="1"/>
  <c r="AA133" i="1"/>
  <c r="AA414" i="1" a="1"/>
  <c r="AA414" i="1"/>
  <c r="AA902" i="1" a="1"/>
  <c r="AA902" i="1"/>
  <c r="AA1162" i="1" a="1"/>
  <c r="AA1162" i="1"/>
  <c r="AA388" i="1" a="1"/>
  <c r="AA388" i="1"/>
  <c r="AA63" i="1" a="1"/>
  <c r="AA63" i="1"/>
  <c r="AA1095" i="1" a="1"/>
  <c r="AA1095" i="1"/>
  <c r="AA784" i="1" a="1"/>
  <c r="AA784" i="1"/>
  <c r="AA680" i="1" a="1"/>
  <c r="AA680" i="1"/>
  <c r="AA947" i="1" a="1"/>
  <c r="AA947" i="1"/>
  <c r="AA410" i="1" a="1"/>
  <c r="AA410" i="1"/>
  <c r="AA659" i="1" a="1"/>
  <c r="AA659" i="1"/>
  <c r="AA608" i="1" a="1"/>
  <c r="AA608" i="1"/>
  <c r="AA11" i="1" a="1"/>
  <c r="AA11" i="1"/>
  <c r="AA813" i="1" a="1"/>
  <c r="AA813" i="1"/>
  <c r="AA906" i="1" a="1"/>
  <c r="AA906" i="1"/>
  <c r="AA62" i="1" a="1"/>
  <c r="AA62" i="1"/>
  <c r="AA1277" i="1" a="1"/>
  <c r="AA1277" i="1"/>
  <c r="AA1109" i="1" a="1"/>
  <c r="AA1109" i="1"/>
  <c r="AA1093" i="1" a="1"/>
  <c r="AA1093" i="1"/>
  <c r="AA461" i="1" a="1"/>
  <c r="AA461" i="1"/>
  <c r="AA1315" i="1" a="1"/>
  <c r="AA1315" i="1"/>
  <c r="AA1122" i="1" a="1"/>
  <c r="AA1122" i="1"/>
  <c r="AA1225" i="1" a="1"/>
  <c r="AA1225" i="1"/>
  <c r="AA973" i="1" a="1"/>
  <c r="AA973" i="1"/>
  <c r="AA694" i="1" a="1"/>
  <c r="AA694" i="1"/>
  <c r="AA13" i="1" a="1"/>
  <c r="AA13" i="1"/>
  <c r="AA816" i="1" a="1"/>
  <c r="AA816" i="1"/>
  <c r="AA639" i="1" a="1"/>
  <c r="AA639" i="1"/>
  <c r="AA985" i="1" a="1"/>
  <c r="AA985" i="1"/>
  <c r="AA1221" i="1" a="1"/>
  <c r="AA1221" i="1"/>
  <c r="AA10" i="1" a="1"/>
  <c r="AA10" i="1"/>
  <c r="AA1102" i="1" a="1"/>
  <c r="AA1102" i="1"/>
  <c r="AA1247" i="1" a="1"/>
  <c r="AA1247" i="1"/>
  <c r="AA1150" i="1" a="1"/>
  <c r="AA1150" i="1"/>
  <c r="AA681" i="1" a="1"/>
  <c r="AA681" i="1"/>
  <c r="AA641" i="1" a="1"/>
  <c r="AA641" i="1"/>
  <c r="AA88" i="1" a="1"/>
  <c r="AA88" i="1"/>
  <c r="AA1002" i="1" a="1"/>
  <c r="AA1002" i="1"/>
  <c r="AA1142" i="1" a="1"/>
  <c r="AA1142" i="1"/>
  <c r="AA1178" i="1" a="1"/>
  <c r="AA1178" i="1"/>
  <c r="AA536" i="1" a="1"/>
  <c r="AA536" i="1"/>
  <c r="AA720" i="1" a="1"/>
  <c r="AA720" i="1"/>
  <c r="AA637" i="1" a="1"/>
  <c r="AA637" i="1"/>
  <c r="AA801" i="1" a="1"/>
  <c r="AA801" i="1"/>
  <c r="AA583" i="1" a="1"/>
  <c r="AA583" i="1"/>
  <c r="AA1313" i="1" a="1"/>
  <c r="AA1313" i="1"/>
  <c r="AA553" i="1" a="1"/>
  <c r="AA553" i="1"/>
  <c r="AA736" i="1" a="1"/>
  <c r="AA736" i="1"/>
  <c r="AA733" i="1" a="1"/>
  <c r="AA733" i="1"/>
  <c r="AA602" i="1" a="1"/>
  <c r="AA602" i="1"/>
  <c r="AA1139" i="1" a="1"/>
  <c r="AA1139" i="1"/>
  <c r="AA427" i="1" a="1"/>
  <c r="AA427" i="1"/>
  <c r="AA654" i="1" a="1"/>
  <c r="AA654" i="1"/>
  <c r="AA854" i="1" a="1"/>
  <c r="AA854" i="1"/>
  <c r="AA67" i="1" a="1"/>
  <c r="AA67" i="1"/>
  <c r="AA472" i="1" a="1"/>
  <c r="AA472" i="1"/>
  <c r="AA420" i="1" a="1"/>
  <c r="AA420" i="1"/>
  <c r="AA1099" i="1" a="1"/>
  <c r="AA1099" i="1"/>
  <c r="AA251" i="1" a="1"/>
  <c r="AA251" i="1"/>
  <c r="AA1199" i="1" a="1"/>
  <c r="AA1199" i="1"/>
  <c r="AA253" i="1" a="1"/>
  <c r="AA253" i="1"/>
  <c r="AA357" i="1" a="1"/>
  <c r="AA357" i="1"/>
  <c r="AA875" i="1" a="1"/>
  <c r="AA875" i="1"/>
  <c r="AA211" i="1" a="1"/>
  <c r="AA211" i="1"/>
  <c r="AA962" i="1" a="1"/>
  <c r="AA962" i="1"/>
  <c r="AA965" i="1" a="1"/>
  <c r="AA965" i="1"/>
  <c r="AA87" i="1" a="1"/>
  <c r="AA87" i="1"/>
  <c r="AA241" i="1" a="1"/>
  <c r="AA241" i="1"/>
  <c r="AA774" i="1" a="1"/>
  <c r="AA774" i="1"/>
  <c r="AA992" i="1" a="1"/>
  <c r="AA992" i="1"/>
  <c r="AA558" i="1" a="1"/>
  <c r="AA558" i="1"/>
  <c r="AA1173" i="1" a="1"/>
  <c r="AA1173" i="1"/>
  <c r="AA1203" i="1" a="1"/>
  <c r="AA1203" i="1"/>
  <c r="AA90" i="1" a="1"/>
  <c r="AA90" i="1"/>
  <c r="AA960" i="1" a="1"/>
  <c r="AA960" i="1"/>
  <c r="AA73" i="1" a="1"/>
  <c r="AA73" i="1"/>
  <c r="AA604" i="1" a="1"/>
  <c r="AA604" i="1"/>
  <c r="AA398" i="1" a="1"/>
  <c r="AA398" i="1"/>
  <c r="AA1175" i="1" a="1"/>
  <c r="AA1175" i="1"/>
  <c r="AA525" i="1" a="1"/>
  <c r="AA525" i="1"/>
  <c r="AA1229" i="1" a="1"/>
  <c r="AA1229" i="1"/>
  <c r="AA451" i="1" a="1"/>
  <c r="AA451" i="1"/>
  <c r="AA762" i="1" a="1"/>
  <c r="AA762" i="1"/>
  <c r="AA987" i="1" a="1"/>
  <c r="AA987" i="1"/>
  <c r="AA743" i="1" a="1"/>
  <c r="AA743" i="1"/>
  <c r="AA213" i="1" a="1"/>
  <c r="AA213" i="1"/>
  <c r="AA899" i="1" a="1"/>
  <c r="AA899" i="1"/>
  <c r="AA157" i="1" a="1"/>
  <c r="AA157" i="1"/>
  <c r="AA842" i="1" a="1"/>
  <c r="AA842" i="1"/>
  <c r="AA82" i="1" a="1"/>
  <c r="AA82" i="1"/>
  <c r="AA1320" i="1" a="1"/>
  <c r="AA1320" i="1"/>
  <c r="AA503" i="1" a="1"/>
  <c r="AA503" i="1"/>
  <c r="AA727" i="1" a="1"/>
  <c r="AA727" i="1"/>
  <c r="AA127" i="1" a="1"/>
  <c r="AA127" i="1"/>
  <c r="AA116" i="1" a="1"/>
  <c r="AA116" i="1"/>
  <c r="AA463" i="1" a="1"/>
  <c r="AA463" i="1"/>
  <c r="AA677" i="1" a="1"/>
  <c r="AA677" i="1"/>
  <c r="AA1071" i="1" a="1"/>
  <c r="AA1071" i="1"/>
  <c r="AA908" i="1" a="1"/>
  <c r="AA908" i="1"/>
  <c r="AA1251" i="1" a="1"/>
  <c r="AA1251" i="1"/>
  <c r="AA800" i="1" a="1"/>
  <c r="AA800" i="1"/>
  <c r="AA1065" i="1" a="1"/>
  <c r="AA1065" i="1"/>
  <c r="AA12" i="1" a="1"/>
  <c r="AA12" i="1"/>
  <c r="AA898" i="1" a="1"/>
  <c r="AA898" i="1"/>
  <c r="AA693" i="1" a="1"/>
  <c r="AA693" i="1"/>
  <c r="AA118" i="1" a="1"/>
  <c r="AA118" i="1"/>
  <c r="AA866" i="1" a="1"/>
  <c r="AA866" i="1"/>
  <c r="AA1191" i="1" a="1"/>
  <c r="AA1191" i="1"/>
  <c r="AA364" i="1" a="1"/>
  <c r="AA364" i="1"/>
  <c r="AA1222" i="1" a="1"/>
  <c r="AA1222" i="1"/>
  <c r="AA65" i="1" a="1"/>
  <c r="AA65" i="1"/>
  <c r="AA326" i="1" a="1"/>
  <c r="AA326" i="1"/>
  <c r="AA709" i="1" a="1"/>
  <c r="AA709" i="1"/>
  <c r="AA201" i="1" a="1"/>
  <c r="AA201" i="1"/>
  <c r="AA765" i="1" a="1"/>
  <c r="AA765" i="1"/>
  <c r="AA292" i="1" a="1"/>
  <c r="AA292" i="1"/>
  <c r="AA394" i="1" a="1"/>
  <c r="AA394" i="1"/>
  <c r="AA826" i="1" a="1"/>
  <c r="AA826" i="1"/>
  <c r="AA168" i="1" a="1"/>
  <c r="AA168" i="1"/>
  <c r="AA589" i="1" a="1"/>
  <c r="AA589" i="1"/>
  <c r="AA708" i="1" a="1"/>
  <c r="AA708" i="1"/>
  <c r="AA692" i="1" a="1"/>
  <c r="AA692" i="1"/>
  <c r="AA481" i="1" a="1"/>
  <c r="AA481" i="1"/>
  <c r="AA1188" i="1" a="1"/>
  <c r="AA1188" i="1"/>
  <c r="AA523" i="1" a="1"/>
  <c r="AA523" i="1"/>
  <c r="AA4" i="1" a="1"/>
  <c r="AA4" i="1"/>
  <c r="AA49" i="1" a="1"/>
  <c r="AA49" i="1"/>
  <c r="AA775" i="1" a="1"/>
  <c r="AA775" i="1"/>
  <c r="AA704" i="1" a="1"/>
  <c r="AA704" i="1"/>
  <c r="AA68" i="1" a="1"/>
  <c r="AA68" i="1"/>
  <c r="AA323" i="1" a="1"/>
  <c r="AA323" i="1"/>
  <c r="AA671" i="1" a="1"/>
  <c r="AA671" i="1"/>
  <c r="AA1066" i="1" a="1"/>
  <c r="AA1066" i="1"/>
  <c r="AA559" i="1" a="1"/>
  <c r="AA559" i="1"/>
  <c r="AA1252" i="1" a="1"/>
  <c r="AA1252" i="1"/>
  <c r="AA1055" i="1" a="1"/>
  <c r="AA1055" i="1"/>
  <c r="AA635" i="1" a="1"/>
  <c r="AA635" i="1"/>
  <c r="AA764" i="1" a="1"/>
  <c r="AA764" i="1"/>
  <c r="AA661" i="1" a="1"/>
  <c r="AA661" i="1"/>
  <c r="AA120" i="1" a="1"/>
  <c r="AA120" i="1"/>
  <c r="AA275" i="1" a="1"/>
  <c r="AA275" i="1"/>
  <c r="AA598" i="1" a="1"/>
  <c r="AA598" i="1"/>
  <c r="AA492" i="1" a="1"/>
  <c r="AA492" i="1"/>
  <c r="AA759" i="1" a="1"/>
  <c r="AA759" i="1"/>
  <c r="AA997" i="1" a="1"/>
  <c r="AA997" i="1"/>
  <c r="AA994" i="1" a="1"/>
  <c r="AA994" i="1"/>
  <c r="AA1039" i="1" a="1"/>
  <c r="AA1039" i="1"/>
  <c r="AA458" i="1" a="1"/>
  <c r="AA458" i="1"/>
  <c r="AA916" i="1" a="1"/>
  <c r="AA916" i="1"/>
  <c r="AA337" i="1" a="1"/>
  <c r="AA337" i="1"/>
  <c r="AA7" i="1" a="1"/>
  <c r="AA7" i="1"/>
  <c r="AA575" i="1" a="1"/>
  <c r="AA575" i="1"/>
  <c r="AA272" i="1" a="1"/>
  <c r="AA272" i="1"/>
  <c r="AA726" i="1" a="1"/>
  <c r="AA726" i="1"/>
  <c r="AA1123" i="1" a="1"/>
  <c r="AA1123" i="1"/>
  <c r="AA1211" i="1" a="1"/>
  <c r="AA1211" i="1"/>
  <c r="AA484" i="1" a="1"/>
  <c r="AA484" i="1"/>
  <c r="AA104" i="1" a="1"/>
  <c r="AA104" i="1"/>
  <c r="AA1298" i="1" a="1"/>
  <c r="AA1298" i="1"/>
  <c r="AA452" i="1" a="1"/>
  <c r="AA452" i="1"/>
  <c r="AA324" i="1" a="1"/>
  <c r="AA324" i="1"/>
  <c r="AA230" i="1" a="1"/>
  <c r="AA230" i="1"/>
  <c r="AA667" i="1" a="1"/>
  <c r="AA667" i="1"/>
  <c r="AA1069" i="1" a="1"/>
  <c r="AA1069" i="1"/>
  <c r="AA231" i="1" a="1"/>
  <c r="AA231" i="1"/>
  <c r="AA930" i="1" a="1"/>
  <c r="AA930" i="1"/>
  <c r="AA768" i="1" a="1"/>
  <c r="AA768" i="1"/>
  <c r="AA634" i="1" a="1"/>
  <c r="AA634" i="1"/>
  <c r="AA1027" i="1" a="1"/>
  <c r="AA1027" i="1"/>
  <c r="AA1317" i="1" a="1"/>
  <c r="AA1317" i="1"/>
  <c r="AA375" i="1" a="1"/>
  <c r="AA375" i="1"/>
  <c r="AA529" i="1" a="1"/>
  <c r="AA529" i="1"/>
  <c r="AA993" i="1" a="1"/>
  <c r="AA993" i="1"/>
  <c r="AA163" i="1" a="1"/>
  <c r="AA163" i="1"/>
  <c r="AA851" i="1" a="1"/>
  <c r="AA851" i="1"/>
  <c r="AA977" i="1" a="1"/>
  <c r="AA977" i="1"/>
  <c r="AA970" i="1" a="1"/>
  <c r="AA970" i="1"/>
  <c r="AA385" i="1" a="1"/>
  <c r="AA385" i="1"/>
  <c r="AA829" i="1" a="1"/>
  <c r="AA829" i="1"/>
  <c r="AA1022" i="1" a="1"/>
  <c r="AA1022" i="1"/>
  <c r="AA932" i="1" a="1"/>
  <c r="AA932" i="1"/>
  <c r="AA1323" i="1" a="1"/>
  <c r="AA1323" i="1"/>
  <c r="AA1113" i="1" a="1"/>
  <c r="AA1113" i="1"/>
  <c r="AA1127" i="1" a="1"/>
  <c r="AA1127" i="1"/>
  <c r="AA776" i="1" a="1"/>
  <c r="AA776" i="1"/>
  <c r="AA675" i="1" a="1"/>
  <c r="AA675" i="1"/>
  <c r="AA1163" i="1" a="1"/>
  <c r="AA1163" i="1"/>
  <c r="AA431" i="1" a="1"/>
  <c r="AA431" i="1"/>
  <c r="AA662" i="1" a="1"/>
  <c r="AA662" i="1"/>
  <c r="AA1089" i="1" a="1"/>
  <c r="AA1089" i="1"/>
  <c r="AA286" i="1" a="1"/>
  <c r="AA286" i="1"/>
  <c r="AA1212" i="1" a="1"/>
  <c r="AA1212" i="1"/>
  <c r="AA568" i="1" a="1"/>
  <c r="AA568" i="1"/>
  <c r="AA1110" i="1" a="1"/>
  <c r="AA1110" i="1"/>
  <c r="AA979" i="1" a="1"/>
  <c r="AA979" i="1"/>
  <c r="AA74" i="1" a="1"/>
  <c r="AA74" i="1"/>
  <c r="AA2" i="1" a="1"/>
  <c r="AA2" i="1" l="1"/>
  <c r="Z709" i="1" a="1"/>
  <c r="Z709" i="1" l="1"/>
  <c r="Z1258" i="1" a="1"/>
  <c r="Z1258" i="1"/>
  <c r="Z121" i="1" a="1"/>
  <c r="Z121" i="1"/>
  <c r="Z35" i="1" a="1"/>
  <c r="Z35" i="1"/>
  <c r="Z485" i="1" a="1"/>
  <c r="Z485" i="1"/>
  <c r="Z331" i="1" a="1"/>
  <c r="Z331" i="1"/>
  <c r="Z725" i="1" a="1"/>
  <c r="Z725" i="1"/>
  <c r="Z180" i="1" a="1"/>
  <c r="Z180" i="1"/>
  <c r="Z888" i="1" a="1"/>
  <c r="Z888" i="1"/>
  <c r="Z82" i="1" a="1"/>
  <c r="Z82" i="1"/>
  <c r="Z212" i="1" a="1"/>
  <c r="Z212" i="1"/>
  <c r="Z1183" i="1" a="1"/>
  <c r="Z1183" i="1"/>
  <c r="Z1229" i="1" a="1"/>
  <c r="Z1229" i="1"/>
  <c r="Z1049" i="1" a="1"/>
  <c r="Z1049" i="1"/>
  <c r="Z935" i="1" a="1"/>
  <c r="Z935" i="1"/>
  <c r="Z230" i="1" a="1"/>
  <c r="Z230" i="1"/>
  <c r="Z205" i="1" a="1"/>
  <c r="Z205" i="1"/>
  <c r="Z1038" i="1" a="1"/>
  <c r="Z1038" i="1"/>
  <c r="Z127" i="1" a="1"/>
  <c r="Z127" i="1"/>
  <c r="Z730" i="1" a="1"/>
  <c r="Z730" i="1"/>
  <c r="Z590" i="1" a="1"/>
  <c r="Z590" i="1"/>
  <c r="Z1193" i="1" a="1"/>
  <c r="Z1193" i="1"/>
  <c r="Z745" i="1" a="1"/>
  <c r="Z745" i="1"/>
  <c r="Z744" i="1" a="1"/>
  <c r="Z744" i="1"/>
  <c r="Z1236" i="1" a="1"/>
  <c r="Z1236" i="1"/>
  <c r="Z741" i="1" a="1"/>
  <c r="Z741" i="1"/>
  <c r="Z392" i="1" a="1"/>
  <c r="Z392" i="1"/>
  <c r="Z108" i="1" a="1"/>
  <c r="Z108" i="1"/>
  <c r="Z1162" i="1" a="1"/>
  <c r="Z1162" i="1"/>
  <c r="Z736" i="1" a="1"/>
  <c r="Z736" i="1"/>
  <c r="Z772" i="1" a="1"/>
  <c r="Z772" i="1"/>
  <c r="Z76" i="1" a="1"/>
  <c r="Z76" i="1"/>
  <c r="Z1319" i="1" a="1"/>
  <c r="Z1319" i="1"/>
  <c r="Z829" i="1" a="1"/>
  <c r="Z829" i="1"/>
  <c r="Z81" i="1" a="1"/>
  <c r="Z81" i="1"/>
  <c r="Z823" i="1" a="1"/>
  <c r="Z823" i="1"/>
  <c r="Z593" i="1" a="1"/>
  <c r="Z593" i="1"/>
  <c r="Z12" i="1" a="1"/>
  <c r="Z12" i="1"/>
  <c r="Z284" i="1" a="1"/>
  <c r="Z284" i="1"/>
  <c r="Z522" i="1" a="1"/>
  <c r="Z522" i="1"/>
  <c r="Z944" i="1" a="1"/>
  <c r="Z944" i="1"/>
  <c r="Z1146" i="1" a="1"/>
  <c r="Z1146" i="1"/>
  <c r="Z348" i="1" a="1"/>
  <c r="Z348" i="1"/>
  <c r="Z954" i="1" a="1"/>
  <c r="Z954" i="1"/>
  <c r="Z429" i="1" a="1"/>
  <c r="Z429" i="1"/>
  <c r="Z45" i="1" a="1"/>
  <c r="Z45" i="1"/>
  <c r="Z1200" i="1" a="1"/>
  <c r="Z1200" i="1"/>
  <c r="Z934" i="1" a="1"/>
  <c r="Z934" i="1"/>
  <c r="Z173" i="1" a="1"/>
  <c r="Z173" i="1"/>
  <c r="Z123" i="1" a="1"/>
  <c r="Z123" i="1"/>
  <c r="Z492" i="1" a="1"/>
  <c r="Z492" i="1"/>
  <c r="Z838" i="1" a="1"/>
  <c r="Z838" i="1"/>
  <c r="Z1188" i="1" a="1"/>
  <c r="Z1188" i="1"/>
  <c r="Z1181" i="1" a="1"/>
  <c r="Z1181" i="1"/>
  <c r="Z66" i="1" a="1"/>
  <c r="Z66" i="1"/>
  <c r="Z849" i="1" a="1"/>
  <c r="Z849" i="1"/>
  <c r="Z96" i="1" a="1"/>
  <c r="Z96" i="1"/>
  <c r="Z996" i="1" a="1"/>
  <c r="Z996" i="1"/>
  <c r="Z1147" i="1" a="1"/>
  <c r="Z1147" i="1"/>
  <c r="Z565" i="1" a="1"/>
  <c r="Z565" i="1"/>
  <c r="Z696" i="1" a="1"/>
  <c r="Z696" i="1"/>
  <c r="Z1081" i="1" a="1"/>
  <c r="Z1081" i="1"/>
  <c r="Z378" i="1" a="1"/>
  <c r="Z378" i="1"/>
  <c r="Z701" i="1" a="1"/>
  <c r="Z701" i="1"/>
  <c r="Z630" i="1" a="1"/>
  <c r="Z630" i="1"/>
  <c r="Z907" i="1" a="1"/>
  <c r="Z907" i="1"/>
  <c r="Z1235" i="1" a="1"/>
  <c r="Z1235" i="1"/>
  <c r="Z34" i="1" a="1"/>
  <c r="Z34" i="1"/>
  <c r="Z1159" i="1" a="1"/>
  <c r="Z1159" i="1"/>
  <c r="Z661" i="1" a="1"/>
  <c r="Z661" i="1"/>
  <c r="Z1227" i="1" a="1"/>
  <c r="Z1227" i="1"/>
  <c r="Z350" i="1" a="1"/>
  <c r="Z350" i="1"/>
  <c r="Z83" i="1" a="1"/>
  <c r="Z83" i="1"/>
  <c r="Z641" i="1" a="1"/>
  <c r="Z641" i="1"/>
  <c r="Z759" i="1" a="1"/>
  <c r="Z759" i="1"/>
  <c r="Z988" i="1" a="1"/>
  <c r="Z988" i="1"/>
  <c r="Z204" i="1" a="1"/>
  <c r="Z204" i="1"/>
  <c r="Z268" i="1" a="1"/>
  <c r="Z268" i="1"/>
  <c r="Z1001" i="1" a="1"/>
  <c r="Z1001" i="1"/>
  <c r="Z403" i="1" a="1"/>
  <c r="Z403" i="1"/>
  <c r="Z1065" i="1" a="1"/>
  <c r="Z1065" i="1"/>
  <c r="Z234" i="1" a="1"/>
  <c r="Z234" i="1"/>
  <c r="Z918" i="1" a="1"/>
  <c r="Z918" i="1"/>
  <c r="Z1310" i="1" a="1"/>
  <c r="Z1310" i="1"/>
  <c r="Z616" i="1" a="1"/>
  <c r="Z616" i="1"/>
  <c r="Z985" i="1" a="1"/>
  <c r="Z985" i="1"/>
  <c r="Z144" i="1" a="1"/>
  <c r="Z144" i="1"/>
  <c r="Z1098" i="1" a="1"/>
  <c r="Z1098" i="1"/>
  <c r="Z126" i="1" a="1"/>
  <c r="Z126" i="1"/>
  <c r="Z812" i="1" a="1"/>
  <c r="Z812" i="1"/>
  <c r="Z250" i="1" a="1"/>
  <c r="Z250" i="1"/>
  <c r="Z923" i="1" a="1"/>
  <c r="Z923" i="1"/>
  <c r="Z525" i="1" a="1"/>
  <c r="Z525" i="1"/>
  <c r="Z444" i="1" a="1"/>
  <c r="Z444" i="1"/>
  <c r="Z1052" i="1" a="1"/>
  <c r="Z1052" i="1"/>
  <c r="Z1008" i="1" a="1"/>
  <c r="Z1008" i="1"/>
  <c r="Z533" i="1" a="1"/>
  <c r="Z533" i="1"/>
  <c r="Z72" i="1" a="1"/>
  <c r="Z72" i="1"/>
  <c r="Z651" i="1" a="1"/>
  <c r="Z651" i="1"/>
  <c r="Z926" i="1" a="1"/>
  <c r="Z926" i="1"/>
  <c r="Z699" i="1" a="1"/>
  <c r="Z699" i="1"/>
  <c r="Z894" i="1" a="1"/>
  <c r="Z894" i="1"/>
  <c r="Z912" i="1" a="1"/>
  <c r="Z912" i="1"/>
  <c r="Z667" i="1" a="1"/>
  <c r="Z667" i="1"/>
  <c r="Z982" i="1" a="1"/>
  <c r="Z982" i="1"/>
  <c r="Z65" i="1" a="1"/>
  <c r="Z65" i="1"/>
  <c r="Z289" i="1" a="1"/>
  <c r="Z289" i="1"/>
  <c r="Z179" i="1" a="1"/>
  <c r="Z179" i="1"/>
  <c r="Z367" i="1" a="1"/>
  <c r="Z367" i="1"/>
  <c r="Z995" i="1" a="1"/>
  <c r="Z995" i="1"/>
  <c r="Z1073" i="1" a="1"/>
  <c r="Z1073" i="1"/>
  <c r="Z620" i="1" a="1"/>
  <c r="Z620" i="1"/>
  <c r="Z957" i="1" a="1"/>
  <c r="Z957" i="1"/>
  <c r="Z1199" i="1" a="1"/>
  <c r="Z1199" i="1"/>
  <c r="Z841" i="1" a="1"/>
  <c r="Z841" i="1"/>
  <c r="Z354" i="1" a="1"/>
  <c r="Z354" i="1"/>
  <c r="Z1300" i="1" a="1"/>
  <c r="Z1300" i="1"/>
  <c r="Z1174" i="1" a="1"/>
  <c r="Z1174" i="1"/>
  <c r="Z1325" i="1" a="1"/>
  <c r="Z1325" i="1"/>
  <c r="Z626" i="1" a="1"/>
  <c r="Z626" i="1"/>
  <c r="Z36" i="1" a="1"/>
  <c r="Z36" i="1"/>
  <c r="Z820" i="1" a="1"/>
  <c r="Z820" i="1"/>
  <c r="Z446" i="1" a="1"/>
  <c r="Z446" i="1"/>
  <c r="Z670" i="1" a="1"/>
  <c r="Z670" i="1"/>
  <c r="Z827" i="1" a="1"/>
  <c r="Z827" i="1"/>
  <c r="Z793" i="1" a="1"/>
  <c r="Z793" i="1"/>
  <c r="Z52" i="1" a="1"/>
  <c r="Z52" i="1"/>
  <c r="Z417" i="1" a="1"/>
  <c r="Z417" i="1"/>
  <c r="Z371" i="1" a="1"/>
  <c r="Z371" i="1"/>
  <c r="Z249" i="1" a="1"/>
  <c r="Z249" i="1"/>
  <c r="Z1248" i="1" a="1"/>
  <c r="Z1248" i="1"/>
  <c r="Z265" i="1" a="1"/>
  <c r="Z265" i="1"/>
  <c r="Z220" i="1" a="1"/>
  <c r="Z220" i="1"/>
  <c r="Z283" i="1" a="1"/>
  <c r="Z283" i="1"/>
  <c r="Z415" i="1" a="1"/>
  <c r="Z415" i="1"/>
  <c r="Z1250" i="1" a="1"/>
  <c r="Z1250" i="1"/>
  <c r="Z240" i="1" a="1"/>
  <c r="Z240" i="1"/>
  <c r="Z891" i="1" a="1"/>
  <c r="Z891" i="1"/>
  <c r="Z1204" i="1" a="1"/>
  <c r="Z1204" i="1"/>
  <c r="Z600" i="1" a="1"/>
  <c r="Z600" i="1"/>
  <c r="Z363" i="1" a="1"/>
  <c r="Z363" i="1"/>
  <c r="Z716" i="1" a="1"/>
  <c r="Z716" i="1"/>
  <c r="Z547" i="1" a="1"/>
  <c r="Z547" i="1"/>
  <c r="Z328" i="1" a="1"/>
  <c r="Z328" i="1"/>
  <c r="Z909" i="1" a="1"/>
  <c r="Z909" i="1"/>
  <c r="Z1103" i="1" a="1"/>
  <c r="Z1103" i="1"/>
  <c r="Z32" i="1" a="1"/>
  <c r="Z32" i="1"/>
  <c r="Z718" i="1" a="1"/>
  <c r="Z718" i="1"/>
  <c r="Z25" i="1" a="1"/>
  <c r="Z25" i="1"/>
  <c r="Z473" i="1" a="1"/>
  <c r="Z473" i="1"/>
  <c r="Z814" i="1" a="1"/>
  <c r="Z814" i="1"/>
  <c r="Z15" i="1" a="1"/>
  <c r="Z15" i="1"/>
  <c r="Z964" i="1" a="1"/>
  <c r="Z964" i="1"/>
  <c r="Z31" i="1" a="1"/>
  <c r="Z31" i="1"/>
  <c r="Z783" i="1" a="1"/>
  <c r="Z783" i="1"/>
  <c r="Z461" i="1" a="1"/>
  <c r="Z461" i="1"/>
  <c r="Z107" i="1" a="1"/>
  <c r="Z107" i="1"/>
  <c r="Z158" i="1" a="1"/>
  <c r="Z158" i="1"/>
  <c r="Z1120" i="1" a="1"/>
  <c r="Z1120" i="1"/>
  <c r="Z112" i="1" a="1"/>
  <c r="Z112" i="1"/>
  <c r="Z983" i="1" a="1"/>
  <c r="Z983" i="1"/>
  <c r="Z1089" i="1" a="1"/>
  <c r="Z1089" i="1"/>
  <c r="Z500" i="1" a="1"/>
  <c r="Z500" i="1"/>
  <c r="Z1191" i="1" a="1"/>
  <c r="Z1191" i="1"/>
  <c r="Z555" i="1" a="1"/>
  <c r="Z555" i="1"/>
  <c r="Z775" i="1" a="1"/>
  <c r="Z775" i="1"/>
  <c r="Z570" i="1" a="1"/>
  <c r="Z570" i="1"/>
  <c r="Z833" i="1" a="1"/>
  <c r="Z833" i="1"/>
  <c r="Z359" i="1" a="1"/>
  <c r="Z359" i="1"/>
  <c r="Z1123" i="1" a="1"/>
  <c r="Z1123" i="1"/>
  <c r="Z1152" i="1" a="1"/>
  <c r="Z1152" i="1"/>
  <c r="Z665" i="1" a="1"/>
  <c r="Z665" i="1"/>
  <c r="Z548" i="1" a="1"/>
  <c r="Z548" i="1"/>
  <c r="Z497" i="1" a="1"/>
  <c r="Z497" i="1"/>
  <c r="Z513" i="1" a="1"/>
  <c r="Z513" i="1"/>
  <c r="Z247" i="1" a="1"/>
  <c r="Z247" i="1"/>
  <c r="Z445" i="1" a="1"/>
  <c r="Z445" i="1"/>
  <c r="Z1328" i="1" a="1"/>
  <c r="Z1328" i="1"/>
  <c r="Z672" i="1" a="1"/>
  <c r="Z672" i="1"/>
  <c r="Z177" i="1" a="1"/>
  <c r="Z177" i="1"/>
  <c r="Z1278" i="1" a="1"/>
  <c r="Z1278" i="1"/>
  <c r="Z462" i="1" a="1"/>
  <c r="Z462" i="1"/>
  <c r="Z468" i="1" a="1"/>
  <c r="Z468" i="1"/>
  <c r="Z1075" i="1" a="1"/>
  <c r="Z1075" i="1"/>
  <c r="Z338" i="1" a="1"/>
  <c r="Z338" i="1"/>
  <c r="Z998" i="1" a="1"/>
  <c r="Z998" i="1"/>
  <c r="Z30" i="1" a="1"/>
  <c r="Z30" i="1"/>
  <c r="Z322" i="1" a="1"/>
  <c r="Z322" i="1"/>
  <c r="Z603" i="1" a="1"/>
  <c r="Z603" i="1"/>
  <c r="Z103" i="1" a="1"/>
  <c r="Z103" i="1"/>
  <c r="Z1099" i="1" a="1"/>
  <c r="Z1099" i="1"/>
  <c r="Z978" i="1" a="1"/>
  <c r="Z978" i="1"/>
  <c r="Z1275" i="1" a="1"/>
  <c r="Z1275" i="1"/>
  <c r="Z1170" i="1" a="1"/>
  <c r="Z1170" i="1"/>
  <c r="Z1078" i="1" a="1"/>
  <c r="Z1078" i="1"/>
  <c r="Z423" i="1" a="1"/>
  <c r="Z423" i="1"/>
  <c r="Z739" i="1" a="1"/>
  <c r="Z739" i="1"/>
  <c r="Z686" i="1" a="1"/>
  <c r="Z686" i="1"/>
  <c r="Z56" i="1" a="1"/>
  <c r="Z56" i="1"/>
  <c r="Z399" i="1" a="1"/>
  <c r="Z399" i="1"/>
  <c r="Z281" i="1" a="1"/>
  <c r="Z281" i="1"/>
  <c r="Z1266" i="1" a="1"/>
  <c r="Z1266" i="1"/>
  <c r="Z416" i="1" a="1"/>
  <c r="Z416" i="1"/>
  <c r="Z795" i="1" a="1"/>
  <c r="Z795" i="1"/>
  <c r="Z916" i="1" a="1"/>
  <c r="Z916" i="1"/>
  <c r="Z631" i="1" a="1"/>
  <c r="Z631" i="1"/>
  <c r="Z1272" i="1" a="1"/>
  <c r="Z1272" i="1"/>
  <c r="Z1143" i="1" a="1"/>
  <c r="Z1143" i="1"/>
  <c r="Z182" i="1" a="1"/>
  <c r="Z182" i="1"/>
  <c r="Z164" i="1" a="1"/>
  <c r="Z164" i="1"/>
  <c r="Z1271" i="1" a="1"/>
  <c r="Z1271" i="1"/>
  <c r="Z295" i="1" a="1"/>
  <c r="Z295" i="1"/>
  <c r="Z1215" i="1" a="1"/>
  <c r="Z1215" i="1"/>
  <c r="Z438" i="1" a="1"/>
  <c r="Z438" i="1"/>
  <c r="Z886" i="1" a="1"/>
  <c r="Z886" i="1"/>
  <c r="Z519" i="1" a="1"/>
  <c r="Z519" i="1"/>
  <c r="Z931" i="1" a="1"/>
  <c r="Z931" i="1"/>
  <c r="Z860" i="1" a="1"/>
  <c r="Z860" i="1"/>
  <c r="Z969" i="1" a="1"/>
  <c r="Z969" i="1"/>
  <c r="Z207" i="1" a="1"/>
  <c r="Z207" i="1"/>
  <c r="Z109" i="1" a="1"/>
  <c r="Z109" i="1"/>
  <c r="Z1173" i="1" a="1"/>
  <c r="Z1173" i="1"/>
  <c r="Z484" i="1" a="1"/>
  <c r="Z484" i="1"/>
  <c r="Z680" i="1" a="1"/>
  <c r="Z680" i="1"/>
  <c r="Z1072" i="1" a="1"/>
  <c r="Z1072" i="1"/>
  <c r="Z825" i="1" a="1"/>
  <c r="Z825" i="1"/>
  <c r="Z29" i="1" a="1"/>
  <c r="Z29" i="1"/>
  <c r="Z822" i="1" a="1"/>
  <c r="Z822" i="1"/>
  <c r="Z1090" i="1" a="1"/>
  <c r="Z1090" i="1"/>
  <c r="Z21" i="1" a="1"/>
  <c r="Z21" i="1"/>
  <c r="Z840" i="1" a="1"/>
  <c r="Z840" i="1"/>
  <c r="Z7" i="1" a="1"/>
  <c r="Z7" i="1"/>
  <c r="Z276" i="1" a="1"/>
  <c r="Z276" i="1"/>
  <c r="Z202" i="1" a="1"/>
  <c r="Z202" i="1"/>
  <c r="Z846" i="1" a="1"/>
  <c r="Z846" i="1"/>
  <c r="Z390" i="1" a="1"/>
  <c r="Z390" i="1"/>
  <c r="Z1141" i="1" a="1"/>
  <c r="Z1141" i="1"/>
  <c r="Z383" i="1" a="1"/>
  <c r="Z383" i="1"/>
  <c r="Z174" i="1" a="1"/>
  <c r="Z174" i="1"/>
  <c r="Z260" i="1" a="1"/>
  <c r="Z260" i="1"/>
  <c r="Z1084" i="1" a="1"/>
  <c r="Z1084" i="1"/>
  <c r="Z1288" i="1" a="1"/>
  <c r="Z1288" i="1"/>
  <c r="Z1179" i="1" a="1"/>
  <c r="Z1179" i="1"/>
  <c r="Z318" i="1" a="1"/>
  <c r="Z318" i="1"/>
  <c r="Z169" i="1" a="1"/>
  <c r="Z169" i="1"/>
  <c r="Z161" i="1" a="1"/>
  <c r="Z161" i="1"/>
  <c r="Z980" i="1" a="1"/>
  <c r="Z980" i="1"/>
  <c r="Z102" i="1" a="1"/>
  <c r="Z102" i="1"/>
  <c r="Z510" i="1" a="1"/>
  <c r="Z510" i="1"/>
  <c r="Z187" i="1" a="1"/>
  <c r="Z187" i="1"/>
  <c r="Z1184" i="1" a="1"/>
  <c r="Z1184" i="1"/>
  <c r="Z576" i="1" a="1"/>
  <c r="Z576" i="1"/>
  <c r="Z537" i="1" a="1"/>
  <c r="Z537" i="1"/>
  <c r="Z650" i="1" a="1"/>
  <c r="Z650" i="1"/>
  <c r="Z238" i="1" a="1"/>
  <c r="Z238" i="1"/>
  <c r="Z1313" i="1" a="1"/>
  <c r="Z1313" i="1"/>
  <c r="Z872" i="1" a="1"/>
  <c r="Z872" i="1"/>
  <c r="Z332" i="1" a="1"/>
  <c r="Z332" i="1"/>
  <c r="Z948" i="1" a="1"/>
  <c r="Z948" i="1"/>
  <c r="Z384" i="1" a="1"/>
  <c r="Z384" i="1"/>
  <c r="Z543" i="1" a="1"/>
  <c r="Z543" i="1"/>
  <c r="Z594" i="1" a="1"/>
  <c r="Z594" i="1"/>
  <c r="Z1223" i="1" a="1"/>
  <c r="Z1223" i="1"/>
  <c r="Z1164" i="1" a="1"/>
  <c r="Z1164" i="1"/>
  <c r="Z609" i="1" a="1"/>
  <c r="Z609" i="1"/>
  <c r="Z1044" i="1" a="1"/>
  <c r="Z1044" i="1"/>
  <c r="Z1121" i="1" a="1"/>
  <c r="Z1121" i="1"/>
  <c r="Z1196" i="1" a="1"/>
  <c r="Z1196" i="1"/>
  <c r="Z1256" i="1" a="1"/>
  <c r="Z1256" i="1"/>
  <c r="Z1267" i="1" a="1"/>
  <c r="Z1267" i="1"/>
  <c r="Z612" i="1" a="1"/>
  <c r="Z612" i="1"/>
  <c r="Z166" i="1" a="1"/>
  <c r="Z166" i="1"/>
  <c r="Z647" i="1" a="1"/>
  <c r="Z647" i="1"/>
  <c r="Z1327" i="1" a="1"/>
  <c r="Z1327" i="1"/>
  <c r="Z919" i="1" a="1"/>
  <c r="Z919" i="1"/>
  <c r="Z989" i="1" a="1"/>
  <c r="Z989" i="1"/>
  <c r="Z958" i="1" a="1"/>
  <c r="Z958" i="1"/>
  <c r="Z881" i="1" a="1"/>
  <c r="Z881" i="1"/>
  <c r="Z1153" i="1" a="1"/>
  <c r="Z1153" i="1"/>
  <c r="Z1016" i="1" a="1"/>
  <c r="Z1016" i="1"/>
  <c r="Z499" i="1" a="1"/>
  <c r="Z499" i="1"/>
  <c r="Z419" i="1" a="1"/>
  <c r="Z419" i="1"/>
  <c r="Z305" i="1" a="1"/>
  <c r="Z305" i="1"/>
  <c r="Z104" i="1" a="1"/>
  <c r="Z104" i="1"/>
  <c r="Z456" i="1" a="1"/>
  <c r="Z456" i="1"/>
  <c r="Z346" i="1" a="1"/>
  <c r="Z346" i="1"/>
  <c r="Z572" i="1" a="1"/>
  <c r="Z572" i="1"/>
  <c r="Z711" i="1" a="1"/>
  <c r="Z711" i="1"/>
  <c r="Z229" i="1" a="1"/>
  <c r="Z229" i="1"/>
  <c r="Z450" i="1" a="1"/>
  <c r="Z450" i="1"/>
  <c r="Z819" i="1" a="1"/>
  <c r="Z819" i="1"/>
  <c r="Z463" i="1" a="1"/>
  <c r="Z463" i="1"/>
  <c r="Z26" i="1" a="1"/>
  <c r="Z26" i="1"/>
  <c r="Z1144" i="1" a="1"/>
  <c r="Z1144" i="1"/>
  <c r="Z375" i="1" a="1"/>
  <c r="Z375" i="1"/>
  <c r="Z1226" i="1" a="1"/>
  <c r="Z1226" i="1"/>
  <c r="Z1280" i="1" a="1"/>
  <c r="Z1280" i="1"/>
  <c r="Z800" i="1" a="1"/>
  <c r="Z800" i="1"/>
  <c r="Z724" i="1" a="1"/>
  <c r="Z724" i="1"/>
  <c r="Z579" i="1" a="1"/>
  <c r="Z579" i="1"/>
  <c r="Z867" i="1" a="1"/>
  <c r="Z867" i="1"/>
  <c r="Z968" i="1" a="1"/>
  <c r="Z968" i="1"/>
  <c r="Z162" i="1" a="1"/>
  <c r="Z162" i="1"/>
  <c r="Z588" i="1" a="1"/>
  <c r="Z588" i="1"/>
  <c r="Z224" i="1" a="1"/>
  <c r="Z224" i="1"/>
  <c r="Z73" i="1" a="1"/>
  <c r="Z73" i="1"/>
  <c r="Z690" i="1" a="1"/>
  <c r="Z690" i="1"/>
  <c r="Z267" i="1" a="1"/>
  <c r="Z267" i="1"/>
  <c r="Z143" i="1" a="1"/>
  <c r="Z143" i="1"/>
  <c r="Z960" i="1" a="1"/>
  <c r="Z960" i="1"/>
  <c r="Z707" i="1" a="1"/>
  <c r="Z707" i="1"/>
  <c r="Z956" i="1" a="1"/>
  <c r="Z956" i="1"/>
  <c r="Z385" i="1" a="1"/>
  <c r="Z385" i="1"/>
  <c r="Z1237" i="1" a="1"/>
  <c r="Z1237" i="1"/>
  <c r="Z197" i="1" a="1"/>
  <c r="Z197" i="1"/>
  <c r="Z875" i="1" a="1"/>
  <c r="Z875" i="1"/>
  <c r="Z760" i="1" a="1"/>
  <c r="Z760" i="1"/>
  <c r="Z17" i="1" a="1"/>
  <c r="Z17" i="1"/>
  <c r="Z1114" i="1" a="1"/>
  <c r="Z1114" i="1"/>
  <c r="Z1168" i="1" a="1"/>
  <c r="Z1168" i="1"/>
  <c r="Z606" i="1" a="1"/>
  <c r="Z606" i="1"/>
  <c r="Z1074" i="1" a="1"/>
  <c r="Z1074" i="1"/>
  <c r="Z714" i="1" a="1"/>
  <c r="Z714" i="1"/>
  <c r="Z597" i="1" a="1"/>
  <c r="Z597" i="1"/>
  <c r="Z146" i="1" a="1"/>
  <c r="Z146" i="1"/>
  <c r="Z413" i="1" a="1"/>
  <c r="Z413" i="1"/>
  <c r="Z436" i="1" a="1"/>
  <c r="Z436" i="1"/>
  <c r="Z380" i="1" a="1"/>
  <c r="Z380" i="1"/>
  <c r="Z1110" i="1" a="1"/>
  <c r="Z1110" i="1"/>
  <c r="Z566" i="1" a="1"/>
  <c r="Z566" i="1"/>
  <c r="Z936" i="1" a="1"/>
  <c r="Z936" i="1"/>
  <c r="Z1219" i="1" a="1"/>
  <c r="Z1219" i="1"/>
  <c r="Z1022" i="1" a="1"/>
  <c r="Z1022" i="1"/>
  <c r="Z857" i="1" a="1"/>
  <c r="Z857" i="1"/>
  <c r="Z615" i="1" a="1"/>
  <c r="Z615" i="1"/>
  <c r="Z22" i="1" a="1"/>
  <c r="Z22" i="1"/>
  <c r="Z581" i="1" a="1"/>
  <c r="Z581" i="1"/>
  <c r="Z1201" i="1" a="1"/>
  <c r="Z1201" i="1"/>
  <c r="Z60" i="1" a="1"/>
  <c r="Z60" i="1"/>
  <c r="Z516" i="1" a="1"/>
  <c r="Z516" i="1"/>
  <c r="Z1214" i="1" a="1"/>
  <c r="Z1214" i="1"/>
  <c r="Z859" i="1" a="1"/>
  <c r="Z859" i="1"/>
  <c r="Z560" i="1" a="1"/>
  <c r="Z560" i="1"/>
  <c r="Z1260" i="1" a="1"/>
  <c r="Z1260" i="1"/>
  <c r="Z259" i="1" a="1"/>
  <c r="Z259" i="1"/>
  <c r="Z949" i="1" a="1"/>
  <c r="Z949" i="1"/>
  <c r="Z27" i="1" a="1"/>
  <c r="Z27" i="1"/>
  <c r="Z1030" i="1" a="1"/>
  <c r="Z1030" i="1"/>
  <c r="Z341" i="1" a="1"/>
  <c r="Z341" i="1"/>
  <c r="Z439" i="1" a="1"/>
  <c r="Z439" i="1"/>
  <c r="Z278" i="1" a="1"/>
  <c r="Z278" i="1"/>
  <c r="Z561" i="1" a="1"/>
  <c r="Z561" i="1"/>
  <c r="Z130" i="1" a="1"/>
  <c r="Z130" i="1"/>
  <c r="Z869" i="1" a="1"/>
  <c r="Z869" i="1"/>
  <c r="Z953" i="1" a="1"/>
  <c r="Z953" i="1"/>
  <c r="Z562" i="1" a="1"/>
  <c r="Z562" i="1"/>
  <c r="Z191" i="1" a="1"/>
  <c r="Z191" i="1"/>
  <c r="Z810" i="1" a="1"/>
  <c r="Z810" i="1"/>
  <c r="Z811" i="1" a="1"/>
  <c r="Z811" i="1"/>
  <c r="Z1321" i="1" a="1"/>
  <c r="Z1321" i="1"/>
  <c r="Z1161" i="1" a="1"/>
  <c r="Z1161" i="1"/>
  <c r="Z1045" i="1" a="1"/>
  <c r="Z1045" i="1"/>
  <c r="Z970" i="1" a="1"/>
  <c r="Z970" i="1"/>
  <c r="Z141" i="1" a="1"/>
  <c r="Z141" i="1"/>
  <c r="Z13" i="1" a="1"/>
  <c r="Z13" i="1"/>
  <c r="Z192" i="1" a="1"/>
  <c r="Z192" i="1"/>
  <c r="Z1243" i="1" a="1"/>
  <c r="Z1243" i="1"/>
  <c r="Z115" i="1" a="1"/>
  <c r="Z115" i="1"/>
  <c r="Z830" i="1" a="1"/>
  <c r="Z830" i="1"/>
  <c r="Z971" i="1" a="1"/>
  <c r="Z971" i="1"/>
  <c r="Z1263" i="1" a="1"/>
  <c r="Z1263" i="1"/>
  <c r="Z214" i="1" a="1"/>
  <c r="Z214" i="1"/>
  <c r="Z153" i="1" a="1"/>
  <c r="Z153" i="1"/>
  <c r="Z1133" i="1" a="1"/>
  <c r="Z1133" i="1"/>
  <c r="Z395" i="1" a="1"/>
  <c r="Z395" i="1"/>
  <c r="Z1039" i="1" a="1"/>
  <c r="Z1039" i="1"/>
  <c r="Z657" i="1" a="1"/>
  <c r="Z657" i="1"/>
  <c r="Z389" i="1" a="1"/>
  <c r="Z389" i="1"/>
  <c r="Z502" i="1" a="1"/>
  <c r="Z502" i="1"/>
  <c r="Z79" i="1" a="1"/>
  <c r="Z79" i="1"/>
  <c r="Z807" i="1" a="1"/>
  <c r="Z807" i="1"/>
  <c r="Z1241" i="1" a="1"/>
  <c r="Z1241" i="1"/>
  <c r="Z900" i="1" a="1"/>
  <c r="Z900" i="1"/>
  <c r="Z695" i="1" a="1"/>
  <c r="Z695" i="1"/>
  <c r="Z646" i="1" a="1"/>
  <c r="Z646" i="1"/>
  <c r="Z986" i="1" a="1"/>
  <c r="Z986" i="1"/>
  <c r="Z1059" i="1" a="1"/>
  <c r="Z1059" i="1"/>
  <c r="Z282" i="1" a="1"/>
  <c r="Z282" i="1"/>
  <c r="Z1105" i="1" a="1"/>
  <c r="Z1105" i="1"/>
  <c r="Z515" i="1" a="1"/>
  <c r="Z515" i="1"/>
  <c r="Z1165" i="1" a="1"/>
  <c r="Z1165" i="1"/>
  <c r="Z114" i="1" a="1"/>
  <c r="Z114" i="1"/>
  <c r="Z208" i="1" a="1"/>
  <c r="Z208" i="1"/>
  <c r="Z850" i="1" a="1"/>
  <c r="Z850" i="1"/>
  <c r="Z1158" i="1" a="1"/>
  <c r="Z1158" i="1"/>
  <c r="Z1302" i="1" a="1"/>
  <c r="Z1302" i="1"/>
  <c r="Z767" i="1" a="1"/>
  <c r="Z767" i="1"/>
  <c r="Z658" i="1" a="1"/>
  <c r="Z658" i="1"/>
  <c r="Z523" i="1" a="1"/>
  <c r="Z523" i="1"/>
  <c r="Z369" i="1" a="1"/>
  <c r="Z369" i="1"/>
  <c r="Z564" i="1" a="1"/>
  <c r="Z564" i="1"/>
  <c r="Z1255" i="1" a="1"/>
  <c r="Z1255" i="1"/>
  <c r="Z1092" i="1" a="1"/>
  <c r="Z1092" i="1"/>
  <c r="Z669" i="1" a="1"/>
  <c r="Z669" i="1"/>
  <c r="Z698" i="1" a="1"/>
  <c r="Z698" i="1"/>
  <c r="Z1245" i="1" a="1"/>
  <c r="Z1245" i="1"/>
  <c r="Z898" i="1" a="1"/>
  <c r="Z898" i="1"/>
  <c r="Z700" i="1" a="1"/>
  <c r="Z700" i="1"/>
  <c r="Z1246" i="1" a="1"/>
  <c r="Z1246" i="1"/>
  <c r="Z654" i="1" a="1"/>
  <c r="Z654" i="1"/>
  <c r="Z577" i="1" a="1"/>
  <c r="Z577" i="1"/>
  <c r="Z1054" i="1" a="1"/>
  <c r="Z1054" i="1"/>
  <c r="Z655" i="1" a="1"/>
  <c r="Z655" i="1"/>
  <c r="Z407" i="1" a="1"/>
  <c r="Z407" i="1"/>
  <c r="Z381" i="1" a="1"/>
  <c r="Z381" i="1"/>
  <c r="Z428" i="1" a="1"/>
  <c r="Z428" i="1"/>
  <c r="Z80" i="1" a="1"/>
  <c r="Z80" i="1"/>
  <c r="Z454" i="1" a="1"/>
  <c r="Z454" i="1"/>
  <c r="Z634" i="1" a="1"/>
  <c r="Z634" i="1"/>
  <c r="Z540" i="1" a="1"/>
  <c r="Z540" i="1"/>
  <c r="Z1033" i="1" a="1"/>
  <c r="Z1033" i="1"/>
  <c r="Z1007" i="1" a="1"/>
  <c r="Z1007" i="1"/>
  <c r="Z1222" i="1" a="1"/>
  <c r="Z1222" i="1"/>
  <c r="Z636" i="1" a="1"/>
  <c r="Z636" i="1"/>
  <c r="Z437" i="1" a="1"/>
  <c r="Z437" i="1"/>
  <c r="Z1180" i="1" a="1"/>
  <c r="Z1180" i="1"/>
  <c r="Z877" i="1" a="1"/>
  <c r="Z877" i="1"/>
  <c r="Z575" i="1" a="1"/>
  <c r="Z575" i="1"/>
  <c r="Z269" i="1" a="1"/>
  <c r="Z269" i="1"/>
  <c r="Z1128" i="1" a="1"/>
  <c r="Z1128" i="1"/>
  <c r="Z766" i="1" a="1"/>
  <c r="Z766" i="1"/>
  <c r="Z285" i="1" a="1"/>
  <c r="Z285" i="1"/>
  <c r="Z868" i="1" a="1"/>
  <c r="Z868" i="1"/>
  <c r="Z1252" i="1" a="1"/>
  <c r="Z1252" i="1"/>
  <c r="Z24" i="1" a="1"/>
  <c r="Z24" i="1"/>
  <c r="Z217" i="1" a="1"/>
  <c r="Z217" i="1"/>
  <c r="Z1197" i="1" a="1"/>
  <c r="Z1197" i="1"/>
  <c r="Z1031" i="1" a="1"/>
  <c r="Z1031" i="1"/>
  <c r="Z373" i="1" a="1"/>
  <c r="Z373" i="1"/>
  <c r="Z11" i="1" a="1"/>
  <c r="Z11" i="1"/>
  <c r="Z1046" i="1" a="1"/>
  <c r="Z1046" i="1"/>
  <c r="Z397" i="1" a="1"/>
  <c r="Z397" i="1"/>
  <c r="Z1225" i="1" a="1"/>
  <c r="Z1225" i="1"/>
  <c r="Z679" i="1" a="1"/>
  <c r="Z679" i="1"/>
  <c r="Z315" i="1" a="1"/>
  <c r="Z315" i="1"/>
  <c r="Z1282" i="1" a="1"/>
  <c r="Z1282" i="1"/>
  <c r="Z938" i="1" a="1"/>
  <c r="Z938" i="1"/>
  <c r="Z356" i="1" a="1"/>
  <c r="Z356" i="1"/>
  <c r="Z1086" i="1" a="1"/>
  <c r="Z1086" i="1"/>
  <c r="Z49" i="1" a="1"/>
  <c r="Z49" i="1"/>
  <c r="Z379" i="1" a="1"/>
  <c r="Z379" i="1"/>
  <c r="Z890" i="1" a="1"/>
  <c r="Z890" i="1"/>
  <c r="Z1166" i="1" a="1"/>
  <c r="Z1166" i="1"/>
  <c r="Z1015" i="1" a="1"/>
  <c r="Z1015" i="1"/>
  <c r="Z316" i="1" a="1"/>
  <c r="Z316" i="1"/>
  <c r="Z848" i="1" a="1"/>
  <c r="Z848" i="1"/>
  <c r="Z1102" i="1" a="1"/>
  <c r="Z1102" i="1"/>
  <c r="Z231" i="1" a="1"/>
  <c r="Z231" i="1"/>
  <c r="Z150" i="1" a="1"/>
  <c r="Z150" i="1"/>
  <c r="Z475" i="1" a="1"/>
  <c r="Z475" i="1"/>
  <c r="Z181" i="1" a="1"/>
  <c r="Z181" i="1"/>
  <c r="Z4" i="1" a="1"/>
  <c r="Z4" i="1"/>
  <c r="Z128" i="1" a="1"/>
  <c r="Z128" i="1"/>
  <c r="Z1169" i="1" a="1"/>
  <c r="Z1169" i="1"/>
  <c r="Z999" i="1" a="1"/>
  <c r="Z999" i="1"/>
  <c r="Z1285" i="1" a="1"/>
  <c r="Z1285" i="1"/>
  <c r="Z605" i="1" a="1"/>
  <c r="Z605" i="1"/>
  <c r="Z1206" i="1" a="1"/>
  <c r="Z1206" i="1"/>
  <c r="Z298" i="1" a="1"/>
  <c r="Z298" i="1"/>
  <c r="Z186" i="1" a="1"/>
  <c r="Z186" i="1"/>
  <c r="Z584" i="1" a="1"/>
  <c r="Z584" i="1"/>
  <c r="Z412" i="1" a="1"/>
  <c r="Z412" i="1"/>
  <c r="Z664" i="1" a="1"/>
  <c r="Z664" i="1"/>
  <c r="Z1021" i="1" a="1"/>
  <c r="Z1021" i="1"/>
  <c r="Z940" i="1" a="1"/>
  <c r="Z940" i="1"/>
  <c r="Z871" i="1" a="1"/>
  <c r="Z871" i="1"/>
  <c r="Z1140" i="1" a="1"/>
  <c r="Z1140" i="1"/>
  <c r="Z551" i="1" a="1"/>
  <c r="Z551" i="1"/>
  <c r="Z836" i="1" a="1"/>
  <c r="Z836" i="1"/>
  <c r="Z755" i="1" a="1"/>
  <c r="Z755" i="1"/>
  <c r="Z785" i="1" a="1"/>
  <c r="Z785" i="1"/>
  <c r="Z405" i="1" a="1"/>
  <c r="Z405" i="1"/>
  <c r="Z23" i="1" a="1"/>
  <c r="Z23" i="1"/>
  <c r="Z340" i="1" a="1"/>
  <c r="Z340" i="1"/>
  <c r="Z292" i="1" a="1"/>
  <c r="Z292" i="1"/>
  <c r="Z330" i="1" a="1"/>
  <c r="Z330" i="1"/>
  <c r="Z928" i="1" a="1"/>
  <c r="Z928" i="1"/>
  <c r="Z528" i="1" a="1"/>
  <c r="Z528" i="1"/>
  <c r="Z122" i="1" a="1"/>
  <c r="Z122" i="1"/>
  <c r="Z501" i="1" a="1"/>
  <c r="Z501" i="1"/>
  <c r="Z287" i="1" a="1"/>
  <c r="Z287" i="1"/>
  <c r="Z200" i="1" a="1"/>
  <c r="Z200" i="1"/>
  <c r="Z622" i="1" a="1"/>
  <c r="Z622" i="1"/>
  <c r="Z929" i="1" a="1"/>
  <c r="Z929" i="1"/>
  <c r="Z1037" i="1" a="1"/>
  <c r="Z1037" i="1"/>
  <c r="Z710" i="1" a="1"/>
  <c r="Z710" i="1"/>
  <c r="Z106" i="1" a="1"/>
  <c r="Z106" i="1"/>
  <c r="Z972" i="1" a="1"/>
  <c r="Z972" i="1"/>
  <c r="Z527" i="1" a="1"/>
  <c r="Z527" i="1"/>
  <c r="Z480" i="1" a="1"/>
  <c r="Z480" i="1"/>
  <c r="Z861" i="1" a="1"/>
  <c r="Z861" i="1"/>
  <c r="Z1157" i="1" a="1"/>
  <c r="Z1157" i="1"/>
  <c r="Z74" i="1" a="1"/>
  <c r="Z74" i="1"/>
  <c r="Z1189" i="1" a="1"/>
  <c r="Z1189" i="1"/>
  <c r="Z147" i="1" a="1"/>
  <c r="Z147" i="1"/>
  <c r="Z482" i="1" a="1"/>
  <c r="Z482" i="1"/>
  <c r="Z342" i="1" a="1"/>
  <c r="Z342" i="1"/>
  <c r="Z195" i="1" a="1"/>
  <c r="Z195" i="1"/>
  <c r="Z738" i="1" a="1"/>
  <c r="Z738" i="1"/>
  <c r="Z270" i="1" a="1"/>
  <c r="Z270" i="1"/>
  <c r="Z879" i="1" a="1"/>
  <c r="Z879" i="1"/>
  <c r="Z358" i="1" a="1"/>
  <c r="Z358" i="1"/>
  <c r="Z512" i="1" a="1"/>
  <c r="Z512" i="1"/>
  <c r="Z903" i="1" a="1"/>
  <c r="Z903" i="1"/>
  <c r="Z906" i="1" a="1"/>
  <c r="Z906" i="1"/>
  <c r="Z442" i="1" a="1"/>
  <c r="Z442" i="1"/>
  <c r="Z787" i="1" a="1"/>
  <c r="Z787" i="1"/>
  <c r="Z1124" i="1" a="1"/>
  <c r="Z1124" i="1"/>
  <c r="Z274" i="1" a="1"/>
  <c r="Z274" i="1"/>
  <c r="Z170" i="1" a="1"/>
  <c r="Z170" i="1"/>
  <c r="Z1233" i="1" a="1"/>
  <c r="Z1233" i="1"/>
  <c r="Z64" i="1" a="1"/>
  <c r="Z64" i="1"/>
  <c r="Z258" i="1" a="1"/>
  <c r="Z258" i="1"/>
  <c r="Z625" i="1" a="1"/>
  <c r="Z625" i="1"/>
  <c r="Z1108" i="1" a="1"/>
  <c r="Z1108" i="1"/>
  <c r="Z309" i="1" a="1"/>
  <c r="Z309" i="1"/>
  <c r="Z965" i="1" a="1"/>
  <c r="Z965" i="1"/>
  <c r="Z1216" i="1" a="1"/>
  <c r="Z1216" i="1"/>
  <c r="Z503" i="1" a="1"/>
  <c r="Z503" i="1"/>
  <c r="Z246" i="1" a="1"/>
  <c r="Z246" i="1"/>
  <c r="Z1087" i="1" a="1"/>
  <c r="Z1087" i="1"/>
  <c r="Z882" i="1" a="1"/>
  <c r="Z882" i="1"/>
  <c r="Z132" i="1" a="1"/>
  <c r="Z132" i="1"/>
  <c r="Z831" i="1" a="1"/>
  <c r="Z831" i="1"/>
  <c r="Z826" i="1" a="1"/>
  <c r="Z826" i="1"/>
  <c r="Z656" i="1" a="1"/>
  <c r="Z656" i="1"/>
  <c r="Z1097" i="1" a="1"/>
  <c r="Z1097" i="1"/>
  <c r="Z235" i="1" a="1"/>
  <c r="Z235" i="1"/>
  <c r="Z151" i="1" a="1"/>
  <c r="Z151" i="1"/>
  <c r="Z950" i="1" a="1"/>
  <c r="Z950" i="1"/>
  <c r="Z216" i="1" a="1"/>
  <c r="Z216" i="1"/>
  <c r="Z145" i="1" a="1"/>
  <c r="Z145" i="1"/>
  <c r="Z815" i="1" a="1"/>
  <c r="Z815" i="1"/>
  <c r="Z643" i="1" a="1"/>
  <c r="Z643" i="1"/>
  <c r="Z218" i="1" a="1"/>
  <c r="Z218" i="1"/>
  <c r="Z1057" i="1" a="1"/>
  <c r="Z1057" i="1"/>
  <c r="Z645" i="1" a="1"/>
  <c r="Z645" i="1"/>
  <c r="Z535" i="1" a="1"/>
  <c r="Z535" i="1"/>
  <c r="Z175" i="1" a="1"/>
  <c r="Z175" i="1"/>
  <c r="Z124" i="1" a="1"/>
  <c r="Z124" i="1"/>
  <c r="Z131" i="1" a="1"/>
  <c r="Z131" i="1"/>
  <c r="Z472" i="1" a="1"/>
  <c r="Z472" i="1"/>
  <c r="Z210" i="1" a="1"/>
  <c r="Z210" i="1"/>
  <c r="Z557" i="1" a="1"/>
  <c r="Z557" i="1"/>
  <c r="Z336" i="1" a="1"/>
  <c r="Z336" i="1"/>
  <c r="Z913" i="1" a="1"/>
  <c r="Z913" i="1"/>
  <c r="Z1150" i="1" a="1"/>
  <c r="Z1150" i="1"/>
  <c r="Z862" i="1" a="1"/>
  <c r="Z862" i="1"/>
  <c r="Z839" i="1" a="1"/>
  <c r="Z839" i="1"/>
  <c r="Z749" i="1" a="1"/>
  <c r="Z749" i="1"/>
  <c r="Z50" i="1" a="1"/>
  <c r="Z50" i="1"/>
  <c r="Z951" i="1" a="1"/>
  <c r="Z951" i="1"/>
  <c r="Z252" i="1" a="1"/>
  <c r="Z252" i="1"/>
  <c r="Z586" i="1" a="1"/>
  <c r="Z586" i="1"/>
  <c r="Z987" i="1" a="1"/>
  <c r="Z987" i="1"/>
  <c r="Z1314" i="1" a="1"/>
  <c r="Z1314" i="1"/>
  <c r="Z892" i="1" a="1"/>
  <c r="Z892" i="1"/>
  <c r="Z44" i="1" a="1"/>
  <c r="Z44" i="1"/>
  <c r="Z308" i="1" a="1"/>
  <c r="Z308" i="1"/>
  <c r="Z704" i="1" a="1"/>
  <c r="Z704" i="1"/>
  <c r="Z780" i="1" a="1"/>
  <c r="Z780" i="1"/>
  <c r="Z1277" i="1" a="1"/>
  <c r="Z1277" i="1"/>
  <c r="Z430" i="1" a="1"/>
  <c r="Z430" i="1"/>
  <c r="Z992" i="1" a="1"/>
  <c r="Z992" i="1"/>
  <c r="Z1023" i="1" a="1"/>
  <c r="Z1023" i="1"/>
  <c r="Z326" i="1" a="1"/>
  <c r="Z326" i="1"/>
  <c r="Z508" i="1" a="1"/>
  <c r="Z508" i="1"/>
  <c r="Z320" i="1" a="1"/>
  <c r="Z320" i="1"/>
  <c r="Z638" i="1" a="1"/>
  <c r="Z638" i="1"/>
  <c r="Z54" i="1" a="1"/>
  <c r="Z54" i="1"/>
  <c r="Z211" i="1" a="1"/>
  <c r="Z211" i="1"/>
  <c r="Z325" i="1" a="1"/>
  <c r="Z325" i="1"/>
  <c r="Z933" i="1" a="1"/>
  <c r="Z933" i="1"/>
  <c r="Z1295" i="1" a="1"/>
  <c r="Z1295" i="1"/>
  <c r="Z157" i="1" a="1"/>
  <c r="Z157" i="1"/>
  <c r="Z930" i="1" a="1"/>
  <c r="Z930" i="1"/>
  <c r="Z1306" i="1" a="1"/>
  <c r="Z1306" i="1"/>
  <c r="Z693" i="1" a="1"/>
  <c r="Z693" i="1"/>
  <c r="Z286" i="1" a="1"/>
  <c r="Z286" i="1"/>
  <c r="Z974" i="1" a="1"/>
  <c r="Z974" i="1"/>
  <c r="Z201" i="1" a="1"/>
  <c r="Z201" i="1"/>
  <c r="Z1079" i="1" a="1"/>
  <c r="Z1079" i="1"/>
  <c r="Z549" i="1" a="1"/>
  <c r="Z549" i="1"/>
  <c r="Z509" i="1" a="1"/>
  <c r="Z509" i="1"/>
  <c r="Z477" i="1" a="1"/>
  <c r="Z477" i="1"/>
  <c r="Z1279" i="1" a="1"/>
  <c r="Z1279" i="1"/>
  <c r="Z993" i="1" a="1"/>
  <c r="Z993" i="1"/>
  <c r="Z459" i="1" a="1"/>
  <c r="Z459" i="1"/>
  <c r="Z335" i="1" a="1"/>
  <c r="Z335" i="1"/>
  <c r="Z426" i="1" a="1"/>
  <c r="Z426" i="1"/>
  <c r="Z59" i="1" a="1"/>
  <c r="Z59" i="1"/>
  <c r="Z41" i="1" a="1"/>
  <c r="Z41" i="1"/>
  <c r="Z1160" i="1" a="1"/>
  <c r="Z1160" i="1"/>
  <c r="Z277" i="1" a="1"/>
  <c r="Z277" i="1"/>
  <c r="Z388" i="1" a="1"/>
  <c r="Z388" i="1"/>
  <c r="Z595" i="1" a="1"/>
  <c r="Z595" i="1"/>
  <c r="Z40" i="1" a="1"/>
  <c r="Z40" i="1"/>
  <c r="Z514" i="1" a="1"/>
  <c r="Z514" i="1"/>
  <c r="Z1228" i="1" a="1"/>
  <c r="Z1228" i="1"/>
  <c r="Z596" i="1" a="1"/>
  <c r="Z596" i="1"/>
  <c r="Z1095" i="1" a="1"/>
  <c r="Z1095" i="1"/>
  <c r="Z946" i="1" a="1"/>
  <c r="Z946" i="1"/>
  <c r="Z18" i="1" a="1"/>
  <c r="Z18" i="1"/>
  <c r="Z37" i="1" a="1"/>
  <c r="Z37" i="1"/>
  <c r="Z137" i="1" a="1"/>
  <c r="Z137" i="1"/>
  <c r="Z1172" i="1" a="1"/>
  <c r="Z1172" i="1"/>
  <c r="Z818" i="1" a="1"/>
  <c r="Z818" i="1"/>
  <c r="Z343" i="1" a="1"/>
  <c r="Z343" i="1"/>
  <c r="Z1000" i="1" a="1"/>
  <c r="Z1000" i="1"/>
  <c r="Z329" i="1" a="1"/>
  <c r="Z329" i="1"/>
  <c r="Z215" i="1" a="1"/>
  <c r="Z215" i="1"/>
  <c r="Z1066" i="1" a="1"/>
  <c r="Z1066" i="1"/>
  <c r="Z460" i="1" a="1"/>
  <c r="Z460" i="1"/>
  <c r="Z448" i="1" a="1"/>
  <c r="Z448" i="1"/>
  <c r="Z465" i="1" a="1"/>
  <c r="Z465" i="1"/>
  <c r="Z152" i="1" a="1"/>
  <c r="Z152" i="1"/>
  <c r="Z1060" i="1" a="1"/>
  <c r="Z1060" i="1"/>
  <c r="Z984" i="1" a="1"/>
  <c r="Z984" i="1"/>
  <c r="Z1202" i="1" a="1"/>
  <c r="Z1202" i="1"/>
  <c r="Z1309" i="1" a="1"/>
  <c r="Z1309" i="1"/>
  <c r="Z587" i="1" a="1"/>
  <c r="Z587" i="1"/>
  <c r="Z855" i="1" a="1"/>
  <c r="Z855" i="1"/>
  <c r="Z865" i="1" a="1"/>
  <c r="Z865" i="1"/>
  <c r="Z154" i="1" a="1"/>
  <c r="Z154" i="1"/>
  <c r="Z1082" i="1" a="1"/>
  <c r="Z1082" i="1"/>
  <c r="Z623" i="1" a="1"/>
  <c r="Z623" i="1"/>
  <c r="Z910" i="1" a="1"/>
  <c r="Z910" i="1"/>
  <c r="Z1101" i="1" a="1"/>
  <c r="Z1101" i="1"/>
  <c r="Z486" i="1" a="1"/>
  <c r="Z486" i="1"/>
  <c r="Z542" i="1" a="1"/>
  <c r="Z542" i="1"/>
  <c r="Z8" i="1" a="1"/>
  <c r="Z8" i="1"/>
  <c r="Z228" i="1" a="1"/>
  <c r="Z228" i="1"/>
  <c r="Z628" i="1" a="1"/>
  <c r="Z628" i="1"/>
  <c r="Z257" i="1" a="1"/>
  <c r="Z257" i="1"/>
  <c r="Z1154" i="1" a="1"/>
  <c r="Z1154" i="1"/>
  <c r="Z896" i="1" a="1"/>
  <c r="Z896" i="1"/>
  <c r="Z466" i="1" a="1"/>
  <c r="Z466" i="1"/>
  <c r="Z401" i="1" a="1"/>
  <c r="Z401" i="1"/>
  <c r="Z1040" i="1" a="1"/>
  <c r="Z1040" i="1"/>
  <c r="Z1004" i="1" a="1"/>
  <c r="Z1004" i="1"/>
  <c r="Z33" i="1" a="1"/>
  <c r="Z33" i="1"/>
  <c r="Z962" i="1" a="1"/>
  <c r="Z962" i="1"/>
  <c r="Z85" i="1" a="1"/>
  <c r="Z85" i="1"/>
  <c r="Z864" i="1" a="1"/>
  <c r="Z864" i="1"/>
  <c r="Z469" i="1" a="1"/>
  <c r="Z469" i="1"/>
  <c r="Z362" i="1" a="1"/>
  <c r="Z362" i="1"/>
  <c r="Z306" i="1" a="1"/>
  <c r="Z306" i="1"/>
  <c r="Z1067" i="1" a="1"/>
  <c r="Z1067" i="1"/>
  <c r="Z1051" i="1" a="1"/>
  <c r="Z1051" i="1"/>
  <c r="Z455" i="1" a="1"/>
  <c r="Z455" i="1"/>
  <c r="Z237" i="1" a="1"/>
  <c r="Z237" i="1"/>
  <c r="Z925" i="1" a="1"/>
  <c r="Z925" i="1"/>
  <c r="Z256" i="1" a="1"/>
  <c r="Z256" i="1"/>
  <c r="Z51" i="1" a="1"/>
  <c r="Z51" i="1"/>
  <c r="Z1118" i="1" a="1"/>
  <c r="Z1118" i="1"/>
  <c r="Z1329" i="1" a="1"/>
  <c r="Z1329" i="1"/>
  <c r="Z424" i="1" a="1"/>
  <c r="Z424" i="1"/>
  <c r="Z837" i="1" a="1"/>
  <c r="Z837" i="1"/>
  <c r="Z884" i="1" a="1"/>
  <c r="Z884" i="1"/>
  <c r="Z735" i="1" a="1"/>
  <c r="Z735" i="1"/>
  <c r="Z347" i="1" a="1"/>
  <c r="Z347" i="1"/>
  <c r="Z598" i="1" a="1"/>
  <c r="Z598" i="1"/>
  <c r="Z1301" i="1" a="1"/>
  <c r="Z1301" i="1"/>
  <c r="Z471" i="1" a="1"/>
  <c r="Z471" i="1"/>
  <c r="Z821" i="1" a="1"/>
  <c r="Z821" i="1"/>
  <c r="Z1318" i="1" a="1"/>
  <c r="Z1318" i="1"/>
  <c r="Z313" i="1" a="1"/>
  <c r="Z313" i="1"/>
  <c r="Z794" i="1" a="1"/>
  <c r="Z794" i="1"/>
  <c r="Z125" i="1" a="1"/>
  <c r="Z125" i="1"/>
  <c r="Z467" i="1" a="1"/>
  <c r="Z467" i="1"/>
  <c r="Z349" i="1" a="1"/>
  <c r="Z349" i="1"/>
  <c r="Z1055" i="1" a="1"/>
  <c r="Z1055" i="1"/>
  <c r="Z311" i="1" a="1"/>
  <c r="Z311" i="1"/>
  <c r="Z139" i="1" a="1"/>
  <c r="Z139" i="1"/>
  <c r="Z1071" i="1" a="1"/>
  <c r="Z1071" i="1"/>
  <c r="Z614" i="1" a="1"/>
  <c r="Z614" i="1"/>
  <c r="Z1063" i="1" a="1"/>
  <c r="Z1063" i="1"/>
  <c r="Z580" i="1" a="1"/>
  <c r="Z580" i="1"/>
  <c r="Z727" i="1" a="1"/>
  <c r="Z727" i="1"/>
  <c r="Z1003" i="1" a="1"/>
  <c r="Z1003" i="1"/>
  <c r="Z1020" i="1" a="1"/>
  <c r="Z1020" i="1"/>
  <c r="Z386" i="1" a="1"/>
  <c r="Z386" i="1"/>
  <c r="Z275" i="1" a="1"/>
  <c r="Z275" i="1"/>
  <c r="Z571" i="1" a="1"/>
  <c r="Z571" i="1"/>
  <c r="Z939" i="1" a="1"/>
  <c r="Z939" i="1"/>
  <c r="Z406" i="1" a="1"/>
  <c r="Z406" i="1"/>
  <c r="Z1293" i="1" a="1"/>
  <c r="Z1293" i="1"/>
  <c r="Z666" i="1" a="1"/>
  <c r="Z666" i="1"/>
  <c r="Z263" i="1" a="1"/>
  <c r="Z263" i="1"/>
  <c r="Z408" i="1" a="1"/>
  <c r="Z408" i="1"/>
  <c r="Z495" i="1" a="1"/>
  <c r="Z495" i="1"/>
  <c r="Z517" i="1" a="1"/>
  <c r="Z517" i="1"/>
  <c r="Z1011" i="1" a="1"/>
  <c r="Z1011" i="1"/>
  <c r="Z43" i="1" a="1"/>
  <c r="Z43" i="1"/>
  <c r="Z67" i="1" a="1"/>
  <c r="Z67" i="1"/>
  <c r="Z1058" i="1" a="1"/>
  <c r="Z1058" i="1"/>
  <c r="Z206" i="1" a="1"/>
  <c r="Z206" i="1"/>
  <c r="Z911" i="1" a="1"/>
  <c r="Z911" i="1"/>
  <c r="Z544" i="1" a="1"/>
  <c r="Z544" i="1"/>
  <c r="Z728" i="1" a="1"/>
  <c r="Z728" i="1"/>
  <c r="Z95" i="1" a="1"/>
  <c r="Z95" i="1"/>
  <c r="Z1119" i="1" a="1"/>
  <c r="Z1119" i="1"/>
  <c r="Z1064" i="1" a="1"/>
  <c r="Z1064" i="1"/>
  <c r="Z1203" i="1" a="1"/>
  <c r="Z1203" i="1"/>
  <c r="Z117" i="1" a="1"/>
  <c r="Z117" i="1"/>
  <c r="Z852" i="1" a="1"/>
  <c r="Z852" i="1"/>
  <c r="Z47" i="1" a="1"/>
  <c r="Z47" i="1"/>
  <c r="Z851" i="1" a="1"/>
  <c r="Z851" i="1"/>
  <c r="Z762" i="1" a="1"/>
  <c r="Z762" i="1"/>
  <c r="Z599" i="1" a="1"/>
  <c r="Z599" i="1"/>
  <c r="Z16" i="1" a="1"/>
  <c r="Z16" i="1"/>
  <c r="Z90" i="1" a="1"/>
  <c r="Z90" i="1"/>
  <c r="Z713" i="1" a="1"/>
  <c r="Z713" i="1"/>
  <c r="Z1210" i="1" a="1"/>
  <c r="Z1210" i="1"/>
  <c r="Z1207" i="1" a="1"/>
  <c r="Z1207" i="1"/>
  <c r="Z756" i="1" a="1"/>
  <c r="Z756" i="1"/>
  <c r="Z1265" i="1" a="1"/>
  <c r="Z1265" i="1"/>
  <c r="Z1012" i="1" a="1"/>
  <c r="Z1012" i="1"/>
  <c r="Z1195" i="1" a="1"/>
  <c r="Z1195" i="1"/>
  <c r="Z398" i="1" a="1"/>
  <c r="Z398" i="1"/>
  <c r="Z198" i="1" a="1"/>
  <c r="Z198" i="1"/>
  <c r="Z410" i="1" a="1"/>
  <c r="Z410" i="1"/>
  <c r="Z791" i="1" a="1"/>
  <c r="Z791" i="1"/>
  <c r="Z1305" i="1" a="1"/>
  <c r="Z1305" i="1"/>
  <c r="Z1113" i="1" a="1"/>
  <c r="Z1113" i="1"/>
  <c r="Z927" i="1" a="1"/>
  <c r="Z927" i="1"/>
  <c r="Z1096" i="1" a="1"/>
  <c r="Z1096" i="1"/>
  <c r="Z149" i="1" a="1"/>
  <c r="Z149" i="1"/>
  <c r="Z804" i="1" a="1"/>
  <c r="Z804" i="1"/>
  <c r="Z75" i="1" a="1"/>
  <c r="Z75" i="1"/>
  <c r="Z443" i="1" a="1"/>
  <c r="Z443" i="1"/>
  <c r="Z163" i="1" a="1"/>
  <c r="Z163" i="1"/>
  <c r="Z411" i="1" a="1"/>
  <c r="Z411" i="1"/>
  <c r="Z493" i="1" a="1"/>
  <c r="Z493" i="1"/>
  <c r="Z209" i="1" a="1"/>
  <c r="Z209" i="1"/>
  <c r="Z233" i="1" a="1"/>
  <c r="Z233" i="1"/>
  <c r="Z1005" i="1" a="1"/>
  <c r="Z1005" i="1"/>
  <c r="Z692" i="1" a="1"/>
  <c r="Z692" i="1"/>
  <c r="Z1002" i="1" a="1"/>
  <c r="Z1002" i="1"/>
  <c r="Z239" i="1" a="1"/>
  <c r="Z239" i="1"/>
  <c r="Z1251" i="1" a="1"/>
  <c r="Z1251" i="1"/>
  <c r="Z382" i="1" a="1"/>
  <c r="Z382" i="1"/>
  <c r="Z1297" i="1" a="1"/>
  <c r="Z1297" i="1"/>
  <c r="Z167" i="1" a="1"/>
  <c r="Z167" i="1"/>
  <c r="Z653" i="1" a="1"/>
  <c r="Z653" i="1"/>
  <c r="Z715" i="1" a="1"/>
  <c r="Z715" i="1"/>
  <c r="Z1268" i="1" a="1"/>
  <c r="Z1268" i="1"/>
  <c r="Z134" i="1" a="1"/>
  <c r="Z134" i="1"/>
  <c r="Z613" i="1" a="1"/>
  <c r="Z613" i="1"/>
  <c r="Z640" i="1" a="1"/>
  <c r="Z640" i="1"/>
  <c r="Z915" i="1" a="1"/>
  <c r="Z915" i="1"/>
  <c r="Z1111" i="1" a="1"/>
  <c r="Z1111" i="1"/>
  <c r="Z272" i="1" a="1"/>
  <c r="Z272" i="1"/>
  <c r="Z304" i="1" a="1"/>
  <c r="Z304" i="1"/>
  <c r="Z1036" i="1" a="1"/>
  <c r="Z1036" i="1"/>
  <c r="Z1048" i="1" a="1"/>
  <c r="Z1048" i="1"/>
  <c r="Z377" i="1" a="1"/>
  <c r="Z377" i="1"/>
  <c r="Z743" i="1" a="1"/>
  <c r="Z743" i="1"/>
  <c r="Z1026" i="1" a="1"/>
  <c r="Z1026" i="1"/>
  <c r="Z726" i="1" a="1"/>
  <c r="Z726" i="1"/>
  <c r="Z452" i="1" a="1"/>
  <c r="Z452" i="1"/>
  <c r="Z1296" i="1" a="1"/>
  <c r="Z1296" i="1"/>
  <c r="Z1262" i="1" a="1"/>
  <c r="Z1262" i="1"/>
  <c r="Z193" i="1" a="1"/>
  <c r="Z193" i="1"/>
  <c r="Z677" i="1" a="1"/>
  <c r="Z677" i="1"/>
  <c r="Z1137" i="1" a="1"/>
  <c r="Z1137" i="1"/>
  <c r="Z10" i="1" a="1"/>
  <c r="Z10" i="1"/>
  <c r="Z251" i="1" a="1"/>
  <c r="Z251" i="1"/>
  <c r="Z1234" i="1" a="1"/>
  <c r="Z1234" i="1"/>
  <c r="Z534" i="1" a="1"/>
  <c r="Z534" i="1"/>
  <c r="Z604" i="1" a="1"/>
  <c r="Z604" i="1"/>
  <c r="Z63" i="1" a="1"/>
  <c r="Z63" i="1"/>
  <c r="Z1304" i="1" a="1"/>
  <c r="Z1304" i="1"/>
  <c r="Z880" i="1" a="1"/>
  <c r="Z880" i="1"/>
  <c r="Z694" i="1" a="1"/>
  <c r="Z694" i="1"/>
  <c r="Z518" i="1" a="1"/>
  <c r="Z518" i="1"/>
  <c r="Z1315" i="1" a="1"/>
  <c r="Z1315" i="1"/>
  <c r="Z782" i="1" a="1"/>
  <c r="Z782" i="1"/>
  <c r="Z1148" i="1" a="1"/>
  <c r="Z1148" i="1"/>
  <c r="Z689" i="1" a="1"/>
  <c r="Z689" i="1"/>
  <c r="Z168" i="1" a="1"/>
  <c r="Z168" i="1"/>
  <c r="Z723" i="1" a="1"/>
  <c r="Z723" i="1"/>
  <c r="Z1270" i="1" a="1"/>
  <c r="Z1270" i="1"/>
  <c r="Z771" i="1" a="1"/>
  <c r="Z771" i="1"/>
  <c r="Z1013" i="1" a="1"/>
  <c r="Z1013" i="1"/>
  <c r="Z585" i="1" a="1"/>
  <c r="Z585" i="1"/>
  <c r="Z353" i="1" a="1"/>
  <c r="Z353" i="1"/>
  <c r="Z733" i="1" a="1"/>
  <c r="Z733" i="1"/>
  <c r="Z458" i="1" a="1"/>
  <c r="Z458" i="1"/>
  <c r="Z225" i="1" a="1"/>
  <c r="Z225" i="1"/>
  <c r="Z221" i="1" a="1"/>
  <c r="Z221" i="1"/>
  <c r="Z1126" i="1" a="1"/>
  <c r="Z1126" i="1"/>
  <c r="Z1276" i="1" a="1"/>
  <c r="Z1276" i="1"/>
  <c r="Z720" i="1" a="1"/>
  <c r="Z720" i="1"/>
  <c r="Z188" i="1" a="1"/>
  <c r="Z188" i="1"/>
  <c r="Z765" i="1" a="1"/>
  <c r="Z765" i="1"/>
  <c r="Z753" i="1" a="1"/>
  <c r="Z753" i="1"/>
  <c r="Z333" i="1" a="1"/>
  <c r="Z333" i="1"/>
  <c r="Z138" i="1" a="1"/>
  <c r="Z138" i="1"/>
  <c r="Z344" i="1" a="1"/>
  <c r="Z344" i="1"/>
  <c r="Z920" i="1" a="1"/>
  <c r="Z920" i="1"/>
  <c r="Z578" i="1" a="1"/>
  <c r="Z578" i="1"/>
  <c r="Z526" i="1" a="1"/>
  <c r="Z526" i="1"/>
  <c r="Z1017" i="1" a="1"/>
  <c r="Z1017" i="1"/>
  <c r="Z440" i="1" a="1"/>
  <c r="Z440" i="1"/>
  <c r="Z937" i="1" a="1"/>
  <c r="Z937" i="1"/>
  <c r="Z20" i="1" a="1"/>
  <c r="Z20" i="1"/>
  <c r="Z451" i="1" a="1"/>
  <c r="Z451" i="1"/>
  <c r="Z1076" i="1" a="1"/>
  <c r="Z1076" i="1"/>
  <c r="Z567" i="1" a="1"/>
  <c r="Z567" i="1"/>
  <c r="Z391" i="1" a="1"/>
  <c r="Z391" i="1"/>
  <c r="Z1077" i="1" a="1"/>
  <c r="Z1077" i="1"/>
  <c r="Z742" i="1" a="1"/>
  <c r="Z742" i="1"/>
  <c r="Z1232" i="1" a="1"/>
  <c r="Z1232" i="1"/>
  <c r="Z1117" i="1" a="1"/>
  <c r="Z1117" i="1"/>
  <c r="Z402" i="1" a="1"/>
  <c r="Z402" i="1"/>
  <c r="Z842" i="1" a="1"/>
  <c r="Z842" i="1"/>
  <c r="Z883" i="1" a="1"/>
  <c r="Z883" i="1"/>
  <c r="Z538" i="1" a="1"/>
  <c r="Z538" i="1"/>
  <c r="Z310" i="1" a="1"/>
  <c r="Z310" i="1"/>
  <c r="Z489" i="1" a="1"/>
  <c r="Z489" i="1"/>
  <c r="Z932" i="1" a="1"/>
  <c r="Z932" i="1"/>
  <c r="Z1014" i="1" a="1"/>
  <c r="Z1014" i="1"/>
  <c r="Z1269" i="1" a="1"/>
  <c r="Z1269" i="1"/>
  <c r="Z770" i="1" a="1"/>
  <c r="Z770" i="1"/>
  <c r="Z422" i="1" a="1"/>
  <c r="Z422" i="1"/>
  <c r="Z261" i="1" a="1"/>
  <c r="Z261" i="1"/>
  <c r="Z828" i="1" a="1"/>
  <c r="Z828" i="1"/>
  <c r="Z824" i="1" a="1"/>
  <c r="Z824" i="1"/>
  <c r="Z798" i="1" a="1"/>
  <c r="Z798" i="1"/>
  <c r="Z374" i="1" a="1"/>
  <c r="Z374" i="1"/>
  <c r="Z435" i="1" a="1"/>
  <c r="Z435" i="1"/>
  <c r="Z370" i="1" a="1"/>
  <c r="Z370" i="1"/>
  <c r="Z854" i="1" a="1"/>
  <c r="Z854" i="1"/>
  <c r="Z941" i="1" a="1"/>
  <c r="Z941" i="1"/>
  <c r="Z895" i="1" a="1"/>
  <c r="Z895" i="1"/>
  <c r="Z507" i="1" a="1"/>
  <c r="Z507" i="1"/>
  <c r="Z1249" i="1" a="1"/>
  <c r="Z1249" i="1"/>
  <c r="Z129" i="1" a="1"/>
  <c r="Z129" i="1"/>
  <c r="Z262" i="1" a="1"/>
  <c r="Z262" i="1"/>
  <c r="Z339" i="1" a="1"/>
  <c r="Z339" i="1"/>
  <c r="Z1056" i="1" a="1"/>
  <c r="Z1056" i="1"/>
  <c r="Z558" i="1" a="1"/>
  <c r="Z558" i="1"/>
  <c r="Z1068" i="1" a="1"/>
  <c r="Z1068" i="1"/>
  <c r="Z46" i="1" a="1"/>
  <c r="Z46" i="1"/>
  <c r="Z1182" i="1" a="1"/>
  <c r="Z1182" i="1"/>
  <c r="Z583" i="1" a="1"/>
  <c r="Z583" i="1"/>
  <c r="Z853" i="1" a="1"/>
  <c r="Z853" i="1"/>
  <c r="Z288" i="1" a="1"/>
  <c r="Z288" i="1"/>
  <c r="Z294" i="1" a="1"/>
  <c r="Z294" i="1"/>
  <c r="Z301" i="1" a="1"/>
  <c r="Z301" i="1"/>
  <c r="Z797" i="1" a="1"/>
  <c r="Z797" i="1"/>
  <c r="Z945" i="1" a="1"/>
  <c r="Z945" i="1"/>
  <c r="Z681" i="1" a="1"/>
  <c r="Z681" i="1"/>
  <c r="Z952" i="1" a="1"/>
  <c r="Z952" i="1"/>
  <c r="Z1247" i="1" a="1"/>
  <c r="Z1247" i="1"/>
  <c r="Z529" i="1" a="1"/>
  <c r="Z529" i="1"/>
  <c r="Z773" i="1" a="1"/>
  <c r="Z773" i="1"/>
  <c r="Z633" i="1" a="1"/>
  <c r="Z633" i="1"/>
  <c r="Z659" i="1" a="1"/>
  <c r="Z659" i="1"/>
  <c r="Z223" i="1" a="1"/>
  <c r="Z223" i="1"/>
  <c r="Z1167" i="1" a="1"/>
  <c r="Z1167" i="1"/>
  <c r="Z563" i="1" a="1"/>
  <c r="Z563" i="1"/>
  <c r="Z1028" i="1" a="1"/>
  <c r="Z1028" i="1"/>
  <c r="Z244" i="1" a="1"/>
  <c r="Z244" i="1"/>
  <c r="Z1171" i="1" a="1"/>
  <c r="Z1171" i="1"/>
  <c r="Z245" i="1" a="1"/>
  <c r="Z245" i="1"/>
  <c r="Z803" i="1" a="1"/>
  <c r="Z803" i="1"/>
  <c r="Z68" i="1" a="1"/>
  <c r="Z68" i="1"/>
  <c r="Z813" i="1" a="1"/>
  <c r="Z813" i="1"/>
  <c r="Z878" i="1" a="1"/>
  <c r="Z878" i="1"/>
  <c r="Z845" i="1" a="1"/>
  <c r="Z845" i="1"/>
  <c r="Z922" i="1" a="1"/>
  <c r="Z922" i="1"/>
  <c r="Z994" i="1" a="1"/>
  <c r="Z994" i="1"/>
  <c r="Z532" i="1" a="1"/>
  <c r="Z532" i="1"/>
  <c r="Z1018" i="1" a="1"/>
  <c r="Z1018" i="1"/>
  <c r="Z674" i="1" a="1"/>
  <c r="Z674" i="1"/>
  <c r="Z1211" i="1" a="1"/>
  <c r="Z1211" i="1"/>
  <c r="Z28" i="1" a="1"/>
  <c r="Z28" i="1"/>
  <c r="Z253" i="1" a="1"/>
  <c r="Z253" i="1"/>
  <c r="Z57" i="1" a="1"/>
  <c r="Z57" i="1"/>
  <c r="Z303" i="1" a="1"/>
  <c r="Z303" i="1"/>
  <c r="Z758" i="1" a="1"/>
  <c r="Z758" i="1"/>
  <c r="Z618" i="1" a="1"/>
  <c r="Z618" i="1"/>
  <c r="Z688" i="1" a="1"/>
  <c r="Z688" i="1"/>
  <c r="Z1261" i="1" a="1"/>
  <c r="Z1261" i="1"/>
  <c r="Z481" i="1" a="1"/>
  <c r="Z481" i="1"/>
  <c r="Z432" i="1" a="1"/>
  <c r="Z432" i="1"/>
  <c r="Z264" i="1" a="1"/>
  <c r="Z264" i="1"/>
  <c r="Z434" i="1" a="1"/>
  <c r="Z434" i="1"/>
  <c r="Z1006" i="1" a="1"/>
  <c r="Z1006" i="1"/>
  <c r="Z1259" i="1" a="1"/>
  <c r="Z1259" i="1"/>
  <c r="Z190" i="1" a="1"/>
  <c r="Z190" i="1"/>
  <c r="Z754" i="1" a="1"/>
  <c r="Z754" i="1"/>
  <c r="Z942" i="1" a="1"/>
  <c r="Z942" i="1"/>
  <c r="Z1047" i="1" a="1"/>
  <c r="Z1047" i="1"/>
  <c r="Z774" i="1" a="1"/>
  <c r="Z774" i="1"/>
  <c r="Z737" i="1" a="1"/>
  <c r="Z737" i="1"/>
  <c r="Z504" i="1" a="1"/>
  <c r="Z504" i="1"/>
  <c r="Z757" i="1" a="1"/>
  <c r="Z757" i="1"/>
  <c r="Z394" i="1" a="1"/>
  <c r="Z394" i="1"/>
  <c r="Z1043" i="1" a="1"/>
  <c r="Z1043" i="1"/>
  <c r="Z69" i="1" a="1"/>
  <c r="Z69" i="1"/>
  <c r="Z1221" i="1" a="1"/>
  <c r="Z1221" i="1"/>
  <c r="Z88" i="1" a="1"/>
  <c r="Z88" i="1"/>
  <c r="Z1244" i="1" a="1"/>
  <c r="Z1244" i="1"/>
  <c r="Z400" i="1" a="1"/>
  <c r="Z400" i="1"/>
  <c r="Z997" i="1" a="1"/>
  <c r="Z997" i="1"/>
  <c r="Z133" i="1" a="1"/>
  <c r="Z133" i="1"/>
  <c r="Z1322" i="1" a="1"/>
  <c r="Z1322" i="1"/>
  <c r="Z702" i="1" a="1"/>
  <c r="Z702" i="1"/>
  <c r="Z425" i="1" a="1"/>
  <c r="Z425" i="1"/>
  <c r="Z307" i="1" a="1"/>
  <c r="Z307" i="1"/>
  <c r="Z1125" i="1" a="1"/>
  <c r="Z1125" i="1"/>
  <c r="Z539" i="1" a="1"/>
  <c r="Z539" i="1"/>
  <c r="Z1061" i="1" a="1"/>
  <c r="Z1061" i="1"/>
  <c r="Z1112" i="1" a="1"/>
  <c r="Z1112" i="1"/>
  <c r="Z1287" i="1" a="1"/>
  <c r="Z1287" i="1"/>
  <c r="Z291" i="1" a="1"/>
  <c r="Z291" i="1"/>
  <c r="Z1294" i="1" a="1"/>
  <c r="Z1294" i="1"/>
  <c r="Z790" i="1" a="1"/>
  <c r="Z790" i="1"/>
  <c r="Z764" i="1" a="1"/>
  <c r="Z764" i="1"/>
  <c r="Z624" i="1" a="1"/>
  <c r="Z624" i="1"/>
  <c r="Z778" i="1" a="1"/>
  <c r="Z778" i="1"/>
  <c r="Z241" i="1" a="1"/>
  <c r="Z241" i="1"/>
  <c r="Z136" i="1" a="1"/>
  <c r="Z136" i="1"/>
  <c r="Z924" i="1" a="1"/>
  <c r="Z924" i="1"/>
  <c r="Z172" i="1" a="1"/>
  <c r="Z172" i="1"/>
  <c r="Z582" i="1" a="1"/>
  <c r="Z582" i="1"/>
  <c r="Z242" i="1" a="1"/>
  <c r="Z242" i="1"/>
  <c r="Z1212" i="1" a="1"/>
  <c r="Z1212" i="1"/>
  <c r="Z979" i="1" a="1"/>
  <c r="Z979" i="1"/>
  <c r="Z531" i="1" a="1"/>
  <c r="Z531" i="1"/>
  <c r="Z889" i="1" a="1"/>
  <c r="Z889" i="1"/>
  <c r="Z418" i="1" a="1"/>
  <c r="Z418" i="1"/>
  <c r="Z1224" i="1" a="1"/>
  <c r="Z1224" i="1"/>
  <c r="Z991" i="1" a="1"/>
  <c r="Z991" i="1"/>
  <c r="Z769" i="1" a="1"/>
  <c r="Z769" i="1"/>
  <c r="Z360" i="1" a="1"/>
  <c r="Z360" i="1"/>
  <c r="Z1308" i="1" a="1"/>
  <c r="Z1308" i="1"/>
  <c r="Z361" i="1" a="1"/>
  <c r="Z361" i="1"/>
  <c r="Z908" i="1" a="1"/>
  <c r="Z908" i="1"/>
  <c r="Z668" i="1" a="1"/>
  <c r="Z668" i="1"/>
  <c r="Z1070" i="1" a="1"/>
  <c r="Z1070" i="1"/>
  <c r="Z491" i="1" a="1"/>
  <c r="Z491" i="1"/>
  <c r="Z1155" i="1" a="1"/>
  <c r="Z1155" i="1"/>
  <c r="Z806" i="1" a="1"/>
  <c r="Z806" i="1"/>
  <c r="Z19" i="1" a="1"/>
  <c r="Z19" i="1"/>
  <c r="Z1135" i="1" a="1"/>
  <c r="Z1135" i="1"/>
  <c r="Z300" i="1" a="1"/>
  <c r="Z300" i="1"/>
  <c r="Z1142" i="1" a="1"/>
  <c r="Z1142" i="1"/>
  <c r="Z809" i="1" a="1"/>
  <c r="Z809" i="1"/>
  <c r="Z1326" i="1" a="1"/>
  <c r="Z1326" i="1"/>
  <c r="Z118" i="1" a="1"/>
  <c r="Z118" i="1"/>
  <c r="Z569" i="1" a="1"/>
  <c r="Z569" i="1"/>
  <c r="Z227" i="1" a="1"/>
  <c r="Z227" i="1"/>
  <c r="Z673" i="1" a="1"/>
  <c r="Z673" i="1"/>
  <c r="Z71" i="1" a="1"/>
  <c r="Z71" i="1"/>
  <c r="Z1132" i="1" a="1"/>
  <c r="Z1132" i="1"/>
  <c r="Z990" i="1" a="1"/>
  <c r="Z990" i="1"/>
  <c r="Z792" i="1" a="1"/>
  <c r="Z792" i="1"/>
  <c r="Z89" i="1" a="1"/>
  <c r="Z89" i="1"/>
  <c r="Z887" i="1" a="1"/>
  <c r="Z887" i="1"/>
  <c r="Z1127" i="1" a="1"/>
  <c r="Z1127" i="1"/>
  <c r="Z414" i="1" a="1"/>
  <c r="Z414" i="1"/>
  <c r="Z498" i="1" a="1"/>
  <c r="Z498" i="1"/>
  <c r="Z844" i="1" a="1"/>
  <c r="Z844" i="1"/>
  <c r="Z1094" i="1" a="1"/>
  <c r="Z1094" i="1"/>
  <c r="Z703" i="1" a="1"/>
  <c r="Z703" i="1"/>
  <c r="Z740" i="1" a="1"/>
  <c r="Z740" i="1"/>
  <c r="Z777" i="1" a="1"/>
  <c r="Z777" i="1"/>
  <c r="Z1041" i="1" a="1"/>
  <c r="Z1041" i="1"/>
  <c r="Z511" i="1" a="1"/>
  <c r="Z511" i="1"/>
  <c r="Z1032" i="1" a="1"/>
  <c r="Z1032" i="1"/>
  <c r="Z1053" i="1" a="1"/>
  <c r="Z1053" i="1"/>
  <c r="Z545" i="1" a="1"/>
  <c r="Z545" i="1"/>
  <c r="Z691" i="1" a="1"/>
  <c r="Z691" i="1"/>
  <c r="Z487" i="1" a="1"/>
  <c r="Z487" i="1"/>
  <c r="Z101" i="1" a="1"/>
  <c r="Z101" i="1"/>
  <c r="Z1176" i="1" a="1"/>
  <c r="Z1176" i="1"/>
  <c r="Z1009" i="1" a="1"/>
  <c r="Z1009" i="1"/>
  <c r="Z799" i="1" a="1"/>
  <c r="Z799" i="1"/>
  <c r="Z61" i="1" a="1"/>
  <c r="Z61" i="1"/>
  <c r="Z731" i="1" a="1"/>
  <c r="Z731" i="1"/>
  <c r="Z77" i="1" a="1"/>
  <c r="Z77" i="1"/>
  <c r="Z464" i="1" a="1"/>
  <c r="Z464" i="1"/>
  <c r="Z323" i="1" a="1"/>
  <c r="Z323" i="1"/>
  <c r="Z976" i="1" a="1"/>
  <c r="Z976" i="1"/>
  <c r="Z1238" i="1" a="1"/>
  <c r="Z1238" i="1"/>
  <c r="Z94" i="1" a="1"/>
  <c r="Z94" i="1"/>
  <c r="Z1088" i="1" a="1"/>
  <c r="Z1088" i="1"/>
  <c r="Z1156" i="1" a="1"/>
  <c r="Z1156" i="1"/>
  <c r="Z165" i="1" a="1"/>
  <c r="Z165" i="1"/>
  <c r="Z652" i="1" a="1"/>
  <c r="Z652" i="1"/>
  <c r="Z1139" i="1" a="1"/>
  <c r="Z1139" i="1"/>
  <c r="Z505" i="1" a="1"/>
  <c r="Z505" i="1"/>
  <c r="Z91" i="1" a="1"/>
  <c r="Z91" i="1"/>
  <c r="Z111" i="1" a="1"/>
  <c r="Z111" i="1"/>
  <c r="Z155" i="1" a="1"/>
  <c r="Z155" i="1"/>
  <c r="Z1177" i="1" a="1"/>
  <c r="Z1177" i="1"/>
  <c r="Z1289" i="1" a="1"/>
  <c r="Z1289" i="1"/>
  <c r="Z1231" i="1" a="1"/>
  <c r="Z1231" i="1"/>
  <c r="Z893" i="1" a="1"/>
  <c r="Z893" i="1"/>
  <c r="Z1312" i="1" a="1"/>
  <c r="Z1312" i="1"/>
  <c r="Z1240" i="1" a="1"/>
  <c r="Z1240" i="1"/>
  <c r="Z396" i="1" a="1"/>
  <c r="Z396" i="1"/>
  <c r="Z977" i="1" a="1"/>
  <c r="Z977" i="1"/>
  <c r="Z902" i="1" a="1"/>
  <c r="Z902" i="1"/>
  <c r="Z858" i="1" a="1"/>
  <c r="Z858" i="1"/>
  <c r="Z449" i="1" a="1"/>
  <c r="Z449" i="1"/>
  <c r="Z1027" i="1" a="1"/>
  <c r="Z1027" i="1"/>
  <c r="Z39" i="1" a="1"/>
  <c r="Z39" i="1"/>
  <c r="Z297" i="1" a="1"/>
  <c r="Z297" i="1"/>
  <c r="Z550" i="1" a="1"/>
  <c r="Z550" i="1"/>
  <c r="Z592" i="1" a="1"/>
  <c r="Z592" i="1"/>
  <c r="Z729" i="1" a="1"/>
  <c r="Z729" i="1"/>
  <c r="Z98" i="1" a="1"/>
  <c r="Z98" i="1"/>
  <c r="Z232" i="1" a="1"/>
  <c r="Z232" i="1"/>
  <c r="Z92" i="1" a="1"/>
  <c r="Z92" i="1"/>
  <c r="Z404" i="1" a="1"/>
  <c r="Z404" i="1"/>
  <c r="Z1284" i="1" a="1"/>
  <c r="Z1284" i="1"/>
  <c r="Z530" i="1" a="1"/>
  <c r="Z530" i="1"/>
  <c r="Z1104" i="1" a="1"/>
  <c r="Z1104" i="1"/>
  <c r="Z801" i="1" a="1"/>
  <c r="Z801" i="1"/>
  <c r="Z750" i="1" a="1"/>
  <c r="Z750" i="1"/>
  <c r="Z683" i="1" a="1"/>
  <c r="Z683" i="1"/>
  <c r="Z776" i="1" a="1"/>
  <c r="Z776" i="1"/>
  <c r="Z457" i="1" a="1"/>
  <c r="Z457" i="1"/>
  <c r="Z874" i="1" a="1"/>
  <c r="Z874" i="1"/>
  <c r="Z905" i="1" a="1"/>
  <c r="Z905" i="1"/>
  <c r="Z296" i="1" a="1"/>
  <c r="Z296" i="1"/>
  <c r="Z334" i="1" a="1"/>
  <c r="Z334" i="1"/>
  <c r="Z116" i="1" a="1"/>
  <c r="Z116" i="1"/>
  <c r="Z110" i="1" a="1"/>
  <c r="Z110" i="1"/>
  <c r="Z441" i="1" a="1"/>
  <c r="Z441" i="1"/>
  <c r="Z93" i="1" a="1"/>
  <c r="Z93" i="1"/>
  <c r="Z1131" i="1" a="1"/>
  <c r="Z1131" i="1"/>
  <c r="Z685" i="1" a="1"/>
  <c r="Z685" i="1"/>
  <c r="Z393" i="1" a="1"/>
  <c r="Z393" i="1"/>
  <c r="Z119" i="1" a="1"/>
  <c r="Z119" i="1"/>
  <c r="Z185" i="1" a="1"/>
  <c r="Z185" i="1"/>
  <c r="Z1100" i="1" a="1"/>
  <c r="Z1100" i="1"/>
  <c r="Z1106" i="1" a="1"/>
  <c r="Z1106" i="1"/>
  <c r="Z608" i="1" a="1"/>
  <c r="Z608" i="1"/>
  <c r="Z171" i="1" a="1"/>
  <c r="Z171" i="1"/>
  <c r="Z431" i="1" a="1"/>
  <c r="Z431" i="1"/>
  <c r="Z1042" i="1" a="1"/>
  <c r="Z1042" i="1"/>
  <c r="Z981" i="1" a="1"/>
  <c r="Z981" i="1"/>
  <c r="Z372" i="1" a="1"/>
  <c r="Z372" i="1"/>
  <c r="Z746" i="1" a="1"/>
  <c r="Z746" i="1"/>
  <c r="Z1109" i="1" a="1"/>
  <c r="Z1109" i="1"/>
  <c r="Z1307" i="1" a="1"/>
  <c r="Z1307" i="1"/>
  <c r="Z637" i="1" a="1"/>
  <c r="Z637" i="1"/>
  <c r="Z1145" i="1" a="1"/>
  <c r="Z1145" i="1"/>
  <c r="Z1091" i="1" a="1"/>
  <c r="Z1091" i="1"/>
  <c r="Z494" i="1" a="1"/>
  <c r="Z494" i="1"/>
  <c r="Z1024" i="1" a="1"/>
  <c r="Z1024" i="1"/>
  <c r="Z904" i="1" a="1"/>
  <c r="Z904" i="1"/>
  <c r="Z1129" i="1" a="1"/>
  <c r="Z1129" i="1"/>
  <c r="Z1281" i="1" a="1"/>
  <c r="Z1281" i="1"/>
  <c r="Z156" i="1" a="1"/>
  <c r="Z156" i="1"/>
  <c r="Z1130" i="1" a="1"/>
  <c r="Z1130" i="1"/>
  <c r="Z632" i="1" a="1"/>
  <c r="Z632" i="1"/>
  <c r="Z53" i="1" a="1"/>
  <c r="Z53" i="1"/>
  <c r="Z1218" i="1" a="1"/>
  <c r="Z1218" i="1"/>
  <c r="Z722" i="1" a="1"/>
  <c r="Z722" i="1"/>
  <c r="Z717" i="1" a="1"/>
  <c r="Z717" i="1"/>
  <c r="Z1178" i="1" a="1"/>
  <c r="Z1178" i="1"/>
  <c r="Z975" i="1" a="1"/>
  <c r="Z975" i="1"/>
  <c r="Z203" i="1" a="1"/>
  <c r="Z203" i="1"/>
  <c r="Z1186" i="1" a="1"/>
  <c r="Z1186" i="1"/>
  <c r="Z832" i="1" a="1"/>
  <c r="Z832" i="1"/>
  <c r="Z78" i="1" a="1"/>
  <c r="Z78" i="1"/>
  <c r="Z183" i="1" a="1"/>
  <c r="Z183" i="1"/>
  <c r="Z706" i="1" a="1"/>
  <c r="Z706" i="1"/>
  <c r="Z345" i="1" a="1"/>
  <c r="Z345" i="1"/>
  <c r="Z847" i="1" a="1"/>
  <c r="Z847" i="1"/>
  <c r="Z611" i="1" a="1"/>
  <c r="Z611" i="1"/>
  <c r="Z159" i="1" a="1"/>
  <c r="Z159" i="1"/>
  <c r="Z317" i="1" a="1"/>
  <c r="Z317" i="1"/>
  <c r="Z1185" i="1" a="1"/>
  <c r="Z1185" i="1"/>
  <c r="Z1134" i="1" a="1"/>
  <c r="Z1134" i="1"/>
  <c r="Z591" i="1" a="1"/>
  <c r="Z591" i="1"/>
  <c r="Z99" i="1" a="1"/>
  <c r="Z99" i="1"/>
  <c r="Z496" i="1" a="1"/>
  <c r="Z496" i="1"/>
  <c r="Z536" i="1" a="1"/>
  <c r="Z536" i="1"/>
  <c r="Z1149" i="1" a="1"/>
  <c r="Z1149" i="1"/>
  <c r="Z226" i="1" a="1"/>
  <c r="Z226" i="1"/>
  <c r="Z1324" i="1" a="1"/>
  <c r="Z1324" i="1"/>
  <c r="Z1136" i="1" a="1"/>
  <c r="Z1136" i="1"/>
  <c r="Z808" i="1" a="1"/>
  <c r="Z808" i="1"/>
  <c r="Z629" i="1" a="1"/>
  <c r="Z629" i="1"/>
  <c r="Z255" i="1" a="1"/>
  <c r="Z255" i="1"/>
  <c r="Z1069" i="1" a="1"/>
  <c r="Z1069" i="1"/>
  <c r="Z635" i="1" a="1"/>
  <c r="Z635" i="1"/>
  <c r="Z752" i="1" a="1"/>
  <c r="Z752" i="1"/>
  <c r="Z708" i="1" a="1"/>
  <c r="Z708" i="1"/>
  <c r="Z1138" i="1" a="1"/>
  <c r="Z1138" i="1"/>
  <c r="Z1035" i="1" a="1"/>
  <c r="Z1035" i="1"/>
  <c r="Z748" i="1" a="1"/>
  <c r="Z748" i="1"/>
  <c r="Z1198" i="1" a="1"/>
  <c r="Z1198" i="1"/>
  <c r="Z1239" i="1" a="1"/>
  <c r="Z1239" i="1"/>
  <c r="Z1208" i="1" a="1"/>
  <c r="Z1208" i="1"/>
  <c r="Z1230" i="1" a="1"/>
  <c r="Z1230" i="1"/>
  <c r="Z1311" i="1" a="1"/>
  <c r="Z1311" i="1"/>
  <c r="Z521" i="1" a="1"/>
  <c r="Z521" i="1"/>
  <c r="Z687" i="1" a="1"/>
  <c r="Z687" i="1"/>
  <c r="Z42" i="1" a="1"/>
  <c r="Z42" i="1"/>
  <c r="Z1116" i="1" a="1"/>
  <c r="Z1116" i="1"/>
  <c r="Z1122" i="1" a="1"/>
  <c r="Z1122" i="1"/>
  <c r="Z784" i="1" a="1"/>
  <c r="Z784" i="1"/>
  <c r="Z568" i="1" a="1"/>
  <c r="Z568" i="1"/>
  <c r="Z1093" i="1" a="1"/>
  <c r="Z1093" i="1"/>
  <c r="Z113" i="1" a="1"/>
  <c r="Z113" i="1"/>
  <c r="Z351" i="1" a="1"/>
  <c r="Z351" i="1"/>
  <c r="Z901" i="1" a="1"/>
  <c r="Z901" i="1"/>
  <c r="Z610" i="1" a="1"/>
  <c r="Z610" i="1"/>
  <c r="Z476" i="1" a="1"/>
  <c r="Z476" i="1"/>
  <c r="Z483" i="1" a="1"/>
  <c r="Z483" i="1"/>
  <c r="Z574" i="1" a="1"/>
  <c r="Z574" i="1"/>
  <c r="Z873" i="1" a="1"/>
  <c r="Z873" i="1"/>
  <c r="Z619" i="1" a="1"/>
  <c r="Z619" i="1"/>
  <c r="Z955" i="1" a="1"/>
  <c r="Z955" i="1"/>
  <c r="Z553" i="1" a="1"/>
  <c r="Z553" i="1"/>
  <c r="Z1062" i="1" a="1"/>
  <c r="Z1062" i="1"/>
  <c r="Z1303" i="1" a="1"/>
  <c r="Z1303" i="1"/>
  <c r="Z897" i="1" a="1"/>
  <c r="Z897" i="1"/>
  <c r="Z453" i="1" a="1"/>
  <c r="Z453" i="1"/>
  <c r="Z817" i="1" a="1"/>
  <c r="Z817" i="1"/>
  <c r="Z556" i="1" a="1"/>
  <c r="Z556" i="1"/>
  <c r="Z761" i="1" a="1"/>
  <c r="Z761" i="1"/>
  <c r="Z1242" i="1" a="1"/>
  <c r="Z1242" i="1"/>
  <c r="Z662" i="1" a="1"/>
  <c r="Z662" i="1"/>
  <c r="Z299" i="1" a="1"/>
  <c r="Z299" i="1"/>
  <c r="Z732" i="1" a="1"/>
  <c r="Z732" i="1"/>
  <c r="Z589" i="1" a="1"/>
  <c r="Z589" i="1"/>
  <c r="Z474" i="1" a="1"/>
  <c r="Z474" i="1"/>
  <c r="Z1205" i="1" a="1"/>
  <c r="Z1205" i="1"/>
  <c r="Z376" i="1" a="1"/>
  <c r="Z376" i="1"/>
  <c r="Z189" i="1" a="1"/>
  <c r="Z189" i="1"/>
  <c r="Z1320" i="1" a="1"/>
  <c r="Z1320" i="1"/>
  <c r="Z684" i="1" a="1"/>
  <c r="Z684" i="1"/>
  <c r="Z876" i="1" a="1"/>
  <c r="Z876" i="1"/>
  <c r="Z1292" i="1" a="1"/>
  <c r="Z1292" i="1"/>
  <c r="Z856" i="1" a="1"/>
  <c r="Z856" i="1"/>
  <c r="Z1083" i="1" a="1"/>
  <c r="Z1083" i="1"/>
  <c r="Z1253" i="1" a="1"/>
  <c r="Z1253" i="1"/>
  <c r="Z1217" i="1" a="1"/>
  <c r="Z1217" i="1"/>
  <c r="Z642" i="1" a="1"/>
  <c r="Z642" i="1"/>
  <c r="Z409" i="1" a="1"/>
  <c r="Z409" i="1"/>
  <c r="Z135" i="1" a="1"/>
  <c r="Z135" i="1"/>
  <c r="Z719" i="1" a="1"/>
  <c r="Z719" i="1"/>
  <c r="Z142" i="1" a="1"/>
  <c r="Z142" i="1"/>
  <c r="Z364" i="1" a="1"/>
  <c r="Z364" i="1"/>
  <c r="Z682" i="1" a="1"/>
  <c r="Z682" i="1"/>
  <c r="Z671" i="1" a="1"/>
  <c r="Z671" i="1"/>
  <c r="Z601" i="1" a="1"/>
  <c r="Z601" i="1"/>
  <c r="Z243" i="1" a="1"/>
  <c r="Z243" i="1"/>
  <c r="Z885" i="1" a="1"/>
  <c r="Z885" i="1"/>
  <c r="Z1187" i="1" a="1"/>
  <c r="Z1187" i="1"/>
  <c r="Z1274" i="1" a="1"/>
  <c r="Z1274" i="1"/>
  <c r="Z490" i="1" a="1"/>
  <c r="Z490" i="1"/>
  <c r="Z479" i="1" a="1"/>
  <c r="Z479" i="1"/>
  <c r="Z1029" i="1" a="1"/>
  <c r="Z1029" i="1"/>
  <c r="Z14" i="1" a="1"/>
  <c r="Z14" i="1"/>
  <c r="Z271" i="1" a="1"/>
  <c r="Z271" i="1"/>
  <c r="Z324" i="1" a="1"/>
  <c r="Z324" i="1"/>
  <c r="Z178" i="1" a="1"/>
  <c r="Z178" i="1"/>
  <c r="Z816" i="1" a="1"/>
  <c r="Z816" i="1"/>
  <c r="Z967" i="1" a="1"/>
  <c r="Z967" i="1"/>
  <c r="Z751" i="1" a="1"/>
  <c r="Z751" i="1"/>
  <c r="Z312" i="1" a="1"/>
  <c r="Z312" i="1"/>
  <c r="Z1290" i="1" a="1"/>
  <c r="Z1290" i="1"/>
  <c r="Z194" i="1" a="1"/>
  <c r="Z194" i="1"/>
  <c r="Z1080" i="1" a="1"/>
  <c r="Z1080" i="1"/>
  <c r="Z1316" i="1" a="1"/>
  <c r="Z1316" i="1"/>
  <c r="Z1257" i="1" a="1"/>
  <c r="Z1257" i="1"/>
  <c r="Z1213" i="1" a="1"/>
  <c r="Z1213" i="1"/>
  <c r="Z1298" i="1" a="1"/>
  <c r="Z1298" i="1"/>
  <c r="Z947" i="1" a="1"/>
  <c r="Z947" i="1"/>
  <c r="Z87" i="1" a="1"/>
  <c r="Z87" i="1"/>
  <c r="Z705" i="1" a="1"/>
  <c r="Z705" i="1"/>
  <c r="Z280" i="1" a="1"/>
  <c r="Z280" i="1"/>
  <c r="Z786" i="1" a="1"/>
  <c r="Z786" i="1"/>
  <c r="Z420" i="1" a="1"/>
  <c r="Z420" i="1"/>
  <c r="Z1299" i="1" a="1"/>
  <c r="Z1299" i="1"/>
  <c r="Z648" i="1" a="1"/>
  <c r="Z648" i="1"/>
  <c r="Z834" i="1" a="1"/>
  <c r="Z834" i="1"/>
  <c r="Z676" i="1" a="1"/>
  <c r="Z676" i="1"/>
  <c r="Z789" i="1" a="1"/>
  <c r="Z789" i="1"/>
  <c r="Z602" i="1" a="1"/>
  <c r="Z602" i="1"/>
  <c r="Z86" i="1" a="1"/>
  <c r="Z86" i="1"/>
  <c r="Z1025" i="1" a="1"/>
  <c r="Z1025" i="1"/>
  <c r="Z843" i="1" a="1"/>
  <c r="Z843" i="1"/>
  <c r="Z58" i="1" a="1"/>
  <c r="Z58" i="1"/>
  <c r="Z1273" i="1" a="1"/>
  <c r="Z1273" i="1"/>
  <c r="Z541" i="1" a="1"/>
  <c r="Z541" i="1"/>
  <c r="Z835" i="1" a="1"/>
  <c r="Z835" i="1"/>
  <c r="Z488" i="1" a="1"/>
  <c r="Z488" i="1"/>
  <c r="Z524" i="1" a="1"/>
  <c r="Z524" i="1"/>
  <c r="Z368" i="1" a="1"/>
  <c r="Z368" i="1"/>
  <c r="Z660" i="1" a="1"/>
  <c r="Z660" i="1"/>
  <c r="Z9" i="1" a="1"/>
  <c r="Z9" i="1"/>
  <c r="Z627" i="1" a="1"/>
  <c r="Z627" i="1"/>
  <c r="Z788" i="1" a="1"/>
  <c r="Z788" i="1"/>
  <c r="Z433" i="1" a="1"/>
  <c r="Z433" i="1"/>
  <c r="Z38" i="1" a="1"/>
  <c r="Z38" i="1"/>
  <c r="Z546" i="1" a="1"/>
  <c r="Z546" i="1"/>
  <c r="Z649" i="1" a="1"/>
  <c r="Z649" i="1"/>
  <c r="Z266" i="1" a="1"/>
  <c r="Z266" i="1"/>
  <c r="Z1175" i="1" a="1"/>
  <c r="Z1175" i="1"/>
  <c r="Z802" i="1" a="1"/>
  <c r="Z802" i="1"/>
  <c r="Z1107" i="1" a="1"/>
  <c r="Z1107" i="1"/>
  <c r="Z917" i="1" a="1"/>
  <c r="Z917" i="1"/>
  <c r="Z160" i="1" a="1"/>
  <c r="Z160" i="1"/>
  <c r="Z120" i="1" a="1"/>
  <c r="Z120" i="1"/>
  <c r="Z55" i="1" a="1"/>
  <c r="Z55" i="1"/>
  <c r="Z84" i="1" a="1"/>
  <c r="Z84" i="1"/>
  <c r="Z1283" i="1" a="1"/>
  <c r="Z1283" i="1"/>
  <c r="Z768" i="1" a="1"/>
  <c r="Z768" i="1"/>
  <c r="Z1220" i="1" a="1"/>
  <c r="Z1220" i="1"/>
  <c r="Z196" i="1" a="1"/>
  <c r="Z196" i="1"/>
  <c r="Z314" i="1" a="1"/>
  <c r="Z314" i="1"/>
  <c r="Z199" i="1" a="1"/>
  <c r="Z199" i="1"/>
  <c r="Z781" i="1" a="1"/>
  <c r="Z781" i="1"/>
  <c r="Z352" i="1" a="1"/>
  <c r="Z352" i="1"/>
  <c r="Z1192" i="1" a="1"/>
  <c r="Z1192" i="1"/>
  <c r="Z97" i="1" a="1"/>
  <c r="Z97" i="1"/>
  <c r="Z1151" i="1" a="1"/>
  <c r="Z1151" i="1"/>
  <c r="Z1190" i="1" a="1"/>
  <c r="Z1190" i="1"/>
  <c r="Z1194" i="1" a="1"/>
  <c r="Z1194" i="1"/>
  <c r="Z1019" i="1" a="1"/>
  <c r="Z1019" i="1"/>
  <c r="Z1115" i="1" a="1"/>
  <c r="Z1115" i="1"/>
  <c r="Z279" i="1" a="1"/>
  <c r="Z279" i="1"/>
  <c r="Z1323" i="1" a="1"/>
  <c r="Z1323" i="1"/>
  <c r="Z663" i="1" a="1"/>
  <c r="Z663" i="1"/>
  <c r="Z1317" i="1" a="1"/>
  <c r="Z1317" i="1"/>
  <c r="Z327" i="1" a="1"/>
  <c r="Z327" i="1"/>
  <c r="Z3" i="1" a="1"/>
  <c r="Z3" i="1"/>
  <c r="Z355" i="1" a="1"/>
  <c r="Z355" i="1"/>
  <c r="Z607" i="1" a="1"/>
  <c r="Z607" i="1"/>
  <c r="Z337" i="1" a="1"/>
  <c r="Z337" i="1"/>
  <c r="Z148" i="1" a="1"/>
  <c r="Z148" i="1"/>
  <c r="Z617" i="1" a="1"/>
  <c r="Z617" i="1"/>
  <c r="Z921" i="1" a="1"/>
  <c r="Z921" i="1"/>
  <c r="Z621" i="1" a="1"/>
  <c r="Z621" i="1"/>
  <c r="Z899" i="1" a="1"/>
  <c r="Z899" i="1"/>
  <c r="Z1010" i="1" a="1"/>
  <c r="Z1010" i="1"/>
  <c r="Z973" i="1" a="1"/>
  <c r="Z973" i="1"/>
  <c r="Z779" i="1" a="1"/>
  <c r="Z779" i="1"/>
  <c r="Z222" i="1" a="1"/>
  <c r="Z222" i="1"/>
  <c r="Z747" i="1" a="1"/>
  <c r="Z747" i="1"/>
  <c r="Z866" i="1" a="1"/>
  <c r="Z866" i="1"/>
  <c r="Z447" i="1" a="1"/>
  <c r="Z447" i="1"/>
  <c r="Z427" i="1" a="1"/>
  <c r="Z427" i="1"/>
  <c r="Z1034" i="1" a="1"/>
  <c r="Z1034" i="1"/>
  <c r="Z319" i="1" a="1"/>
  <c r="Z319" i="1"/>
  <c r="Z721" i="1" a="1"/>
  <c r="Z721" i="1"/>
  <c r="Z248" i="1" a="1"/>
  <c r="Z248" i="1"/>
  <c r="Z366" i="1" a="1"/>
  <c r="Z366" i="1"/>
  <c r="Z1254" i="1" a="1"/>
  <c r="Z1254" i="1"/>
  <c r="Z254" i="1" a="1"/>
  <c r="Z254" i="1"/>
  <c r="Z943" i="1" a="1"/>
  <c r="Z943" i="1"/>
  <c r="Z387" i="1" a="1"/>
  <c r="Z387" i="1"/>
  <c r="Z963" i="1" a="1"/>
  <c r="Z963" i="1"/>
  <c r="Z219" i="1" a="1"/>
  <c r="Z219" i="1"/>
  <c r="Z273" i="1" a="1"/>
  <c r="Z273" i="1"/>
  <c r="Z176" i="1" a="1"/>
  <c r="Z176" i="1"/>
  <c r="Z1050" i="1" a="1"/>
  <c r="Z1050" i="1"/>
  <c r="Z675" i="1" a="1"/>
  <c r="Z675" i="1"/>
  <c r="Z520" i="1" a="1"/>
  <c r="Z520" i="1"/>
  <c r="Z213" i="1" a="1"/>
  <c r="Z213" i="1"/>
  <c r="Z959" i="1" a="1"/>
  <c r="Z959" i="1"/>
  <c r="Z140" i="1" a="1"/>
  <c r="Z140" i="1"/>
  <c r="Z1209" i="1" a="1"/>
  <c r="Z1209" i="1"/>
  <c r="Z6" i="1" a="1"/>
  <c r="Z6" i="1"/>
  <c r="Z1085" i="1" a="1"/>
  <c r="Z1085" i="1"/>
  <c r="Z100" i="1" a="1"/>
  <c r="Z100" i="1"/>
  <c r="Z870" i="1" a="1"/>
  <c r="Z870" i="1"/>
  <c r="Z863" i="1" a="1"/>
  <c r="Z863" i="1"/>
  <c r="Z1264" i="1" a="1"/>
  <c r="Z1264" i="1"/>
  <c r="Z961" i="1" a="1"/>
  <c r="Z961" i="1"/>
  <c r="Z184" i="1" a="1"/>
  <c r="Z184" i="1"/>
  <c r="Z805" i="1" a="1"/>
  <c r="Z805" i="1"/>
  <c r="Z302" i="1" a="1"/>
  <c r="Z302" i="1"/>
  <c r="Z712" i="1" a="1"/>
  <c r="Z712" i="1"/>
  <c r="Z70" i="1" a="1"/>
  <c r="Z70" i="1"/>
  <c r="Z478" i="1" a="1"/>
  <c r="Z478" i="1"/>
  <c r="Z573" i="1" a="1"/>
  <c r="Z573" i="1"/>
  <c r="Z734" i="1" a="1"/>
  <c r="Z734" i="1"/>
  <c r="Z559" i="1" a="1"/>
  <c r="Z559" i="1"/>
  <c r="Z506" i="1" a="1"/>
  <c r="Z506" i="1"/>
  <c r="Z552" i="1" a="1"/>
  <c r="Z552" i="1"/>
  <c r="Z1291" i="1" a="1"/>
  <c r="Z1291" i="1"/>
  <c r="Z421" i="1" a="1"/>
  <c r="Z421" i="1"/>
  <c r="Z290" i="1" a="1"/>
  <c r="Z290" i="1"/>
  <c r="Z357" i="1" a="1"/>
  <c r="Z357" i="1"/>
  <c r="Z1163" i="1" a="1"/>
  <c r="Z1163" i="1"/>
  <c r="Z62" i="1" a="1"/>
  <c r="Z62" i="1"/>
  <c r="Z763" i="1" a="1"/>
  <c r="Z763" i="1"/>
  <c r="Z293" i="1" a="1"/>
  <c r="Z293" i="1"/>
  <c r="Z697" i="1" a="1"/>
  <c r="Z697" i="1"/>
  <c r="Z966" i="1" a="1"/>
  <c r="Z966" i="1"/>
  <c r="Z321" i="1" a="1"/>
  <c r="Z321" i="1"/>
  <c r="Z5" i="1" a="1"/>
  <c r="Z5" i="1"/>
  <c r="Z914" i="1" a="1"/>
  <c r="Z914" i="1"/>
  <c r="Z1286" i="1" a="1"/>
  <c r="Z1286" i="1"/>
  <c r="Z236" i="1" a="1"/>
  <c r="Z236" i="1"/>
  <c r="Z644" i="1" a="1"/>
  <c r="Z644" i="1"/>
  <c r="Z639" i="1" a="1"/>
  <c r="Z639" i="1"/>
  <c r="Z554" i="1" a="1"/>
  <c r="Z554" i="1"/>
  <c r="Z105" i="1" a="1"/>
  <c r="Z105" i="1"/>
  <c r="Z678" i="1" a="1"/>
  <c r="Z678" i="1"/>
  <c r="Z365" i="1" a="1"/>
  <c r="Z365" i="1"/>
  <c r="Z796" i="1" a="1"/>
  <c r="Z796" i="1"/>
  <c r="Z48" i="1" a="1"/>
  <c r="Z48" i="1"/>
  <c r="Z470" i="1" a="1"/>
  <c r="Z470" i="1"/>
  <c r="Z2" i="1" a="1"/>
  <c r="Z2" i="1" l="1"/>
  <c r="Y1327" i="1"/>
  <c r="Y400" i="1"/>
  <c r="Y963" i="1"/>
  <c r="Y325" i="1"/>
  <c r="Y1324" i="1"/>
  <c r="Y105" i="1"/>
  <c r="Y673" i="1"/>
  <c r="Y529" i="1"/>
  <c r="Y446" i="1"/>
  <c r="Y282" i="1"/>
  <c r="Y1224" i="1"/>
  <c r="Y1027" i="1"/>
  <c r="Y162" i="1"/>
  <c r="Y288" i="1"/>
  <c r="Y578" i="1"/>
  <c r="Y1082" i="1"/>
  <c r="Y579" i="1"/>
  <c r="Y276" i="1"/>
  <c r="Y609" i="1"/>
  <c r="Y1054" i="1"/>
  <c r="Y1318" i="1"/>
  <c r="Y178" i="1"/>
  <c r="Y790" i="1"/>
  <c r="Y593" i="1"/>
  <c r="Y1148" i="1"/>
  <c r="Y472" i="1"/>
  <c r="Y111" i="1"/>
  <c r="Y863" i="1"/>
  <c r="Y1035" i="1"/>
  <c r="Y636" i="1"/>
  <c r="Y615" i="1"/>
  <c r="Y1215" i="1"/>
  <c r="Y686" i="1"/>
  <c r="Y1117" i="1"/>
  <c r="Y1297" i="1"/>
  <c r="Y1067" i="1"/>
  <c r="Y961" i="1"/>
  <c r="Y738" i="1"/>
  <c r="Y367" i="1"/>
  <c r="Y42" i="1"/>
  <c r="Y623" i="1"/>
  <c r="Y1320" i="1"/>
  <c r="Y1020" i="1"/>
  <c r="Y1147" i="1"/>
  <c r="Y1115" i="1"/>
  <c r="Y1053" i="1"/>
  <c r="Y931" i="1"/>
  <c r="Y397" i="1"/>
  <c r="Y715" i="1"/>
  <c r="Y374" i="1"/>
  <c r="Y1023" i="1"/>
  <c r="Y927" i="1"/>
  <c r="Y534" i="1"/>
  <c r="Y10" i="1"/>
  <c r="Y240" i="1"/>
  <c r="Y794" i="1"/>
  <c r="Y995" i="1"/>
  <c r="Y557" i="1"/>
  <c r="Y1044" i="1"/>
  <c r="Y608" i="1"/>
  <c r="Y219" i="1"/>
  <c r="Y1235" i="1"/>
  <c r="Y1049" i="1"/>
  <c r="Y987" i="1"/>
  <c r="Y1006" i="1"/>
  <c r="Y60" i="1"/>
  <c r="Y1009" i="1"/>
  <c r="Y270" i="1"/>
  <c r="Y569" i="1"/>
  <c r="Y821" i="1"/>
  <c r="Y1294" i="1"/>
  <c r="Y841" i="1"/>
  <c r="Y77" i="1"/>
  <c r="Y741" i="1"/>
  <c r="Y492" i="1"/>
  <c r="Y1058" i="1"/>
  <c r="Y832" i="1"/>
  <c r="Y1091" i="1"/>
  <c r="Y951" i="1"/>
  <c r="Y272" i="1"/>
  <c r="Y541" i="1"/>
  <c r="Y687" i="1"/>
  <c r="Y1223" i="1"/>
  <c r="Y16" i="1"/>
  <c r="Y434" i="1"/>
  <c r="Y353" i="1"/>
  <c r="Y533" i="1"/>
  <c r="Y657" i="1"/>
  <c r="Y1017" i="1"/>
  <c r="Y629" i="1"/>
  <c r="Y222" i="1"/>
  <c r="Y163" i="1"/>
  <c r="Y1308" i="1"/>
  <c r="Y151" i="1"/>
  <c r="Y996" i="1"/>
  <c r="Y1169" i="1"/>
  <c r="Y324" i="1"/>
  <c r="Y1252" i="1"/>
  <c r="Y1138" i="1"/>
  <c r="Y1043" i="1"/>
  <c r="Y770" i="1"/>
  <c r="Y428" i="1"/>
  <c r="Y361" i="1"/>
  <c r="Y1321" i="1"/>
  <c r="Y981" i="1"/>
  <c r="Y1179" i="1"/>
  <c r="Y364" i="1"/>
  <c r="Y490" i="1"/>
  <c r="Y1060" i="1"/>
  <c r="Y952" i="1"/>
  <c r="Y542" i="1"/>
  <c r="Y606" i="1"/>
  <c r="Y1088" i="1"/>
  <c r="Y527" i="1"/>
  <c r="Y257" i="1"/>
  <c r="Y1072" i="1"/>
  <c r="Y332" i="1"/>
  <c r="Y1250" i="1"/>
  <c r="Y445" i="1"/>
  <c r="Y101" i="1"/>
  <c r="Y193" i="1"/>
  <c r="Y495" i="1"/>
  <c r="Y573" i="1"/>
  <c r="Y194" i="1"/>
  <c r="Y834" i="1"/>
  <c r="Y177" i="1"/>
  <c r="Y426" i="1"/>
  <c r="Y130" i="1"/>
  <c r="Y958" i="1"/>
  <c r="Y886" i="1"/>
  <c r="Y875" i="1"/>
  <c r="Y468" i="1"/>
  <c r="Y223" i="1"/>
  <c r="Y444" i="1"/>
  <c r="Y587" i="1"/>
  <c r="Y700" i="1"/>
  <c r="Y1153" i="1"/>
  <c r="Y901" i="1"/>
  <c r="Y34" i="1"/>
  <c r="Y805" i="1"/>
  <c r="Y86" i="1"/>
  <c r="Y535" i="1"/>
  <c r="Y74" i="1"/>
  <c r="Y822" i="1"/>
  <c r="Y613" i="1"/>
  <c r="Y735" i="1"/>
  <c r="Y23" i="1"/>
  <c r="Y645" i="1"/>
  <c r="Y614" i="1"/>
  <c r="Y290" i="1"/>
  <c r="Y244" i="1"/>
  <c r="Y894" i="1"/>
  <c r="Y798" i="1"/>
  <c r="Y164" i="1"/>
  <c r="Y662" i="1"/>
  <c r="Y266" i="1"/>
  <c r="Y1008" i="1"/>
  <c r="Y1267" i="1"/>
  <c r="Y118" i="1"/>
  <c r="Y762" i="1"/>
  <c r="Y210" i="1"/>
  <c r="Y642" i="1"/>
  <c r="Y801" i="1"/>
  <c r="Y1167" i="1"/>
  <c r="Y1077" i="1"/>
  <c r="Y814" i="1"/>
  <c r="Y286" i="1"/>
  <c r="Y704" i="1"/>
  <c r="Y830" i="1"/>
  <c r="Y87" i="1"/>
  <c r="Y9" i="1"/>
  <c r="Y764" i="1"/>
  <c r="Y726" i="1"/>
  <c r="Y819" i="1"/>
  <c r="Y449" i="1"/>
  <c r="Y1160" i="1"/>
  <c r="Y352" i="1"/>
  <c r="Y512" i="1"/>
  <c r="Y404" i="1"/>
  <c r="Y1242" i="1"/>
  <c r="Y816" i="1"/>
  <c r="Y1125" i="1"/>
  <c r="Y1322" i="1"/>
  <c r="Y1037" i="1"/>
  <c r="Y192" i="1"/>
  <c r="Y1129" i="1"/>
  <c r="Y751" i="1"/>
  <c r="Y866" i="1"/>
  <c r="Y284" i="1"/>
  <c r="Y810" i="1"/>
  <c r="Y1002" i="1"/>
  <c r="Y988" i="1"/>
  <c r="Y141" i="1"/>
  <c r="Y760" i="1"/>
  <c r="Y463" i="1"/>
  <c r="Y550" i="1"/>
  <c r="Y47" i="1"/>
  <c r="Y1001" i="1"/>
  <c r="Y758" i="1"/>
  <c r="Y803" i="1"/>
  <c r="Y1270" i="1"/>
  <c r="Y1198" i="1"/>
  <c r="Y703" i="1"/>
  <c r="Y482" i="1"/>
  <c r="Y478" i="1"/>
  <c r="Y980" i="1"/>
  <c r="Y773" i="1"/>
  <c r="Y617" i="1"/>
  <c r="Y1234" i="1"/>
  <c r="Y317" i="1"/>
  <c r="Y904" i="1"/>
  <c r="Y52" i="1"/>
  <c r="Y452" i="1"/>
  <c r="Y95" i="1"/>
  <c r="Y1073" i="1"/>
  <c r="Y275" i="1"/>
  <c r="Y466" i="1"/>
  <c r="Y652" i="1"/>
  <c r="Y205" i="1"/>
  <c r="Y835" i="1"/>
  <c r="Y589" i="1"/>
  <c r="Y1225" i="1"/>
  <c r="Y1059" i="1"/>
  <c r="Y1161" i="1"/>
  <c r="Y583" i="1"/>
  <c r="Y531" i="1"/>
  <c r="Y1217" i="1"/>
  <c r="Y37" i="1"/>
  <c r="Y109" i="1"/>
  <c r="Y1186" i="1"/>
  <c r="Y499" i="1"/>
  <c r="Y1145" i="1"/>
  <c r="Y745" i="1"/>
  <c r="Y394" i="1"/>
  <c r="Y1168" i="1"/>
  <c r="Y540" i="1"/>
  <c r="Y167" i="1"/>
  <c r="Y893" i="1"/>
  <c r="Y356" i="1"/>
  <c r="Y326" i="1"/>
  <c r="Y1132" i="1"/>
  <c r="Y181" i="1"/>
  <c r="Y456" i="1"/>
  <c r="Y983" i="1"/>
  <c r="Y714" i="1"/>
  <c r="Y215" i="1"/>
  <c r="Y585" i="1"/>
  <c r="Y854" i="1"/>
  <c r="Y632" i="1"/>
  <c r="Y390" i="1"/>
  <c r="Y1128" i="1"/>
  <c r="Y719" i="1"/>
  <c r="Y868" i="1"/>
  <c r="Y1028" i="1"/>
  <c r="Y1046" i="1"/>
  <c r="Y923" i="1"/>
  <c r="Y978" i="1"/>
  <c r="Y305" i="1"/>
  <c r="Y826" i="1"/>
  <c r="Y1159" i="1"/>
  <c r="Y485" i="1"/>
  <c r="Y945" i="1"/>
  <c r="Y1110" i="1"/>
  <c r="Y1199" i="1"/>
  <c r="Y1247" i="1"/>
  <c r="Y1140" i="1"/>
  <c r="Y505" i="1"/>
  <c r="Y339" i="1"/>
  <c r="Y76" i="1"/>
  <c r="Y936" i="1"/>
  <c r="Y1279" i="1"/>
  <c r="Y189" i="1"/>
  <c r="Y654" i="1"/>
  <c r="Y1272" i="1"/>
  <c r="Y329" i="1"/>
  <c r="Y350" i="1"/>
  <c r="Y774" i="1"/>
  <c r="Y36" i="1"/>
  <c r="Y664" i="1"/>
  <c r="Y165" i="1"/>
  <c r="Y78" i="1"/>
  <c r="Y379" i="1"/>
  <c r="Y115" i="1"/>
  <c r="Y488" i="1"/>
  <c r="Y856" i="1"/>
  <c r="Y580" i="1"/>
  <c r="Y378" i="1"/>
  <c r="Y744" i="1"/>
  <c r="Y297" i="1"/>
  <c r="Y1036" i="1"/>
  <c r="Y1118" i="1"/>
  <c r="Y1243" i="1"/>
  <c r="Y1266" i="1"/>
  <c r="Y949" i="1"/>
  <c r="Y98" i="1"/>
  <c r="Y846" i="1"/>
  <c r="Y864" i="1"/>
  <c r="Y209" i="1"/>
  <c r="Y862" i="1"/>
  <c r="Y653" i="1"/>
  <c r="Y638" i="1"/>
  <c r="Y1111" i="1"/>
  <c r="Y195" i="1"/>
  <c r="Y170" i="1"/>
  <c r="Y892" i="1"/>
  <c r="Y453" i="1"/>
  <c r="Y567" i="1"/>
  <c r="Y460" i="1"/>
  <c r="Y1281" i="1"/>
  <c r="Y1063" i="1"/>
  <c r="Y626" i="1"/>
  <c r="Y461" i="1"/>
  <c r="Y544" i="1"/>
  <c r="Y1039" i="1"/>
  <c r="Y647" i="1"/>
  <c r="Y1162" i="1"/>
  <c r="Y575" i="1"/>
  <c r="Y44" i="1"/>
  <c r="Y1260" i="1"/>
  <c r="Y1256" i="1"/>
  <c r="Y491" i="1"/>
  <c r="Y1133" i="1"/>
  <c r="Y40" i="1"/>
  <c r="Y103" i="1"/>
  <c r="Y740" i="1"/>
  <c r="Y421" i="1"/>
  <c r="Y903" i="1"/>
  <c r="Y1195" i="1"/>
  <c r="Y1218" i="1"/>
  <c r="Y676" i="1"/>
  <c r="Y69" i="1"/>
  <c r="Y1109" i="1"/>
  <c r="Y568" i="1"/>
  <c r="Y622" i="1"/>
  <c r="Y1085" i="1"/>
  <c r="Y256" i="1"/>
  <c r="Y1257" i="1"/>
  <c r="Y441" i="1"/>
  <c r="Y1249" i="1"/>
  <c r="Y624" i="1"/>
  <c r="Y545" i="1"/>
  <c r="Y905" i="1"/>
  <c r="Y710" i="1"/>
  <c r="Y1189" i="1"/>
  <c r="Y597" i="1"/>
  <c r="Y1236" i="1"/>
  <c r="Y438" i="1"/>
  <c r="Y462" i="1"/>
  <c r="Y968" i="1"/>
  <c r="Y1192" i="1"/>
  <c r="Y287" i="1"/>
  <c r="Y1030" i="1"/>
  <c r="Y381" i="1"/>
  <c r="Y928" i="1"/>
  <c r="Y116" i="1"/>
  <c r="Y651" i="1"/>
  <c r="Y150" i="1"/>
  <c r="Y55" i="1"/>
  <c r="Y944" i="1"/>
  <c r="Y519" i="1"/>
  <c r="Y389" i="1"/>
  <c r="Y1268" i="1"/>
  <c r="Y1305" i="1"/>
  <c r="Y640" i="1"/>
  <c r="Y549" i="1"/>
  <c r="Y933" i="1"/>
  <c r="Y917" i="1"/>
  <c r="Y238" i="1"/>
  <c r="Y956" i="1"/>
  <c r="Y973" i="1"/>
  <c r="Y4" i="1"/>
  <c r="Y126" i="1"/>
  <c r="Y388" i="1"/>
  <c r="Y1154" i="1"/>
  <c r="Y212" i="1"/>
  <c r="Y1291" i="1"/>
  <c r="Y300" i="1"/>
  <c r="Y955" i="1"/>
  <c r="Y64" i="1"/>
  <c r="Y1158" i="1"/>
  <c r="Y1298" i="1"/>
  <c r="Y407" i="1"/>
  <c r="Y695" i="1"/>
  <c r="Y85" i="1"/>
  <c r="Y577" i="1"/>
  <c r="Y634" i="1"/>
  <c r="Y450" i="1"/>
  <c r="Y1164" i="1"/>
  <c r="Y38" i="1"/>
  <c r="Y962" i="1"/>
  <c r="Y919" i="1"/>
  <c r="Y262" i="1"/>
  <c r="Y160" i="1"/>
  <c r="Y197" i="1"/>
  <c r="Y200" i="1"/>
  <c r="Y1299" i="1"/>
  <c r="Y742" i="1"/>
  <c r="Y596" i="1"/>
  <c r="Y250" i="1"/>
  <c r="Y1051" i="1"/>
  <c r="Y259" i="1"/>
  <c r="Y8" i="1"/>
  <c r="Y1124" i="1"/>
  <c r="Y1084" i="1"/>
  <c r="Y216" i="1"/>
  <c r="Y959" i="1"/>
  <c r="Y293" i="1"/>
  <c r="Y41" i="1"/>
  <c r="Y725" i="1"/>
  <c r="Y496" i="1"/>
  <c r="Y672" i="1"/>
  <c r="Y586" i="1"/>
  <c r="Y1269" i="1"/>
  <c r="Y318" i="1"/>
  <c r="Y241" i="1"/>
  <c r="Y1121" i="1"/>
  <c r="Y513" i="1"/>
  <c r="Y72" i="1"/>
  <c r="Y644" i="1"/>
  <c r="Y247" i="1"/>
  <c r="Y24" i="1"/>
  <c r="Y424" i="1"/>
  <c r="Y559" i="1"/>
  <c r="Y1231" i="1"/>
  <c r="Y1105" i="1"/>
  <c r="Y336" i="1"/>
  <c r="Y1033" i="1"/>
  <c r="Y1065" i="1"/>
  <c r="Y675" i="1"/>
  <c r="Y1205" i="1"/>
  <c r="Y1246" i="1"/>
  <c r="Y537" i="1"/>
  <c r="Y56" i="1"/>
  <c r="Y811" i="1"/>
  <c r="Y413" i="1"/>
  <c r="Y319" i="1"/>
  <c r="Y590" i="1"/>
  <c r="Y827" i="1"/>
  <c r="Y295" i="1"/>
  <c r="Y1203" i="1"/>
  <c r="Y230" i="1"/>
  <c r="Y443" i="1"/>
  <c r="Y683" i="1"/>
  <c r="Y572" i="1"/>
  <c r="Y1098" i="1"/>
  <c r="Y967" i="1"/>
  <c r="Y754" i="1"/>
  <c r="Y252" i="1"/>
  <c r="Y161" i="1"/>
  <c r="Y395" i="1"/>
  <c r="Y1086" i="1"/>
  <c r="Y30" i="1"/>
  <c r="Y298" i="1"/>
  <c r="Y985" i="1"/>
  <c r="Y809" i="1"/>
  <c r="Y727" i="1"/>
  <c r="Y581" i="1"/>
  <c r="Y392" i="1"/>
  <c r="Y759" i="1"/>
  <c r="Y859" i="1"/>
  <c r="Y1172" i="1"/>
  <c r="Y354" i="1"/>
  <c r="Y660" i="1"/>
  <c r="Y1062" i="1"/>
  <c r="Y772" i="1"/>
  <c r="Y180" i="1"/>
  <c r="Y124" i="1"/>
  <c r="Y984" i="1"/>
  <c r="Y874" i="1"/>
  <c r="Y337" i="1"/>
  <c r="Y5" i="1"/>
  <c r="Y616" i="1"/>
  <c r="Y1174" i="1"/>
  <c r="Y829" i="1"/>
  <c r="Y186" i="1"/>
  <c r="Y50" i="1"/>
  <c r="Y99" i="1"/>
  <c r="Y373" i="1"/>
  <c r="Y853" i="1"/>
  <c r="Y187" i="1"/>
  <c r="Y25" i="1"/>
  <c r="Y611" i="1"/>
  <c r="Y582" i="1"/>
  <c r="Y974" i="1"/>
  <c r="Y182" i="1"/>
  <c r="Y57" i="1"/>
  <c r="Y1096" i="1"/>
  <c r="Y75" i="1"/>
  <c r="Y455" i="1"/>
  <c r="Y211" i="1"/>
  <c r="Y895" i="1"/>
  <c r="Y775" i="1"/>
  <c r="Y721" i="1"/>
  <c r="Y302" i="1"/>
  <c r="Y465" i="1"/>
  <c r="Y1055" i="1"/>
  <c r="Y26" i="1"/>
  <c r="Y1045" i="1"/>
  <c r="Y346" i="1"/>
  <c r="Y711" i="1"/>
  <c r="Y565" i="1"/>
  <c r="Y255" i="1"/>
  <c r="Y1220" i="1"/>
  <c r="Y911" i="1"/>
  <c r="Y7" i="1"/>
  <c r="Y684" i="1"/>
  <c r="Y979" i="1"/>
  <c r="Y532" i="1"/>
  <c r="Y431" i="1"/>
  <c r="Y432" i="1"/>
  <c r="Y934" i="1"/>
  <c r="Y54" i="1"/>
  <c r="Y547" i="1"/>
  <c r="Y131" i="1"/>
  <c r="Y706" i="1"/>
  <c r="Y1005" i="1"/>
  <c r="Y916" i="1"/>
  <c r="Y518" i="1"/>
  <c r="Y1277" i="1"/>
  <c r="Y999" i="1"/>
  <c r="Y51" i="1"/>
  <c r="Y757" i="1"/>
  <c r="Y1204" i="1"/>
  <c r="Y855" i="1"/>
  <c r="Y362" i="1"/>
  <c r="Y595" i="1"/>
  <c r="Y447" i="1"/>
  <c r="Y419" i="1"/>
  <c r="Y601" i="1"/>
  <c r="Y294" i="1"/>
  <c r="Y697" i="1"/>
  <c r="Y133" i="1"/>
  <c r="Y977" i="1"/>
  <c r="Y117" i="1"/>
  <c r="Y1274" i="1"/>
  <c r="Y88" i="1"/>
  <c r="Y476" i="1"/>
  <c r="Y560" i="1"/>
  <c r="Y191" i="1"/>
  <c r="Y436" i="1"/>
  <c r="Y401" i="1"/>
  <c r="Y1328" i="1"/>
  <c r="Y1041" i="1"/>
  <c r="Y440" i="1"/>
  <c r="Y132" i="1"/>
  <c r="Y748" i="1"/>
  <c r="Y409" i="1"/>
  <c r="Y1261" i="1"/>
  <c r="Y1042" i="1"/>
  <c r="Y289" i="1"/>
  <c r="Y1071" i="1"/>
  <c r="Y1066" i="1"/>
  <c r="Y848" i="1"/>
  <c r="Y226" i="1"/>
  <c r="Y1052" i="1"/>
  <c r="Y107" i="1"/>
  <c r="Y888" i="1"/>
  <c r="Y416" i="1"/>
  <c r="Y879" i="1"/>
  <c r="Y592" i="1"/>
  <c r="Y625" i="1"/>
  <c r="Y1119" i="1"/>
  <c r="Y732" i="1"/>
  <c r="Y199" i="1"/>
  <c r="Y1271" i="1"/>
  <c r="Y607" i="1"/>
  <c r="Y797" i="1"/>
  <c r="Y898" i="1"/>
  <c r="Y1106" i="1"/>
  <c r="Y511" i="1"/>
  <c r="Y1004" i="1"/>
  <c r="Y847" i="1"/>
  <c r="Y291" i="1"/>
  <c r="Y658" i="1"/>
  <c r="Y930" i="1"/>
  <c r="Y142" i="1"/>
  <c r="Y335" i="1"/>
  <c r="Y338" i="1"/>
  <c r="Y1165" i="1"/>
  <c r="Y225" i="1"/>
  <c r="Y729" i="1"/>
  <c r="Y484" i="1"/>
  <c r="Y1112" i="1"/>
  <c r="Y153" i="1"/>
  <c r="Y340" i="1"/>
  <c r="Y264" i="1"/>
  <c r="Y467" i="1"/>
  <c r="Y743" i="1"/>
  <c r="Y188" i="1"/>
  <c r="Y487" i="1"/>
  <c r="Y1301" i="1"/>
  <c r="Y966" i="1"/>
  <c r="Y641" i="1"/>
  <c r="Y635" i="1"/>
  <c r="Y574" i="1"/>
  <c r="Y1185" i="1"/>
  <c r="Y739" i="1"/>
  <c r="Y1228" i="1"/>
  <c r="Y59" i="1"/>
  <c r="Y621" i="1"/>
  <c r="Y1114" i="1"/>
  <c r="Y355" i="1"/>
  <c r="Y169" i="1"/>
  <c r="Y680" i="1"/>
  <c r="Y480" i="1"/>
  <c r="Y851" i="1"/>
  <c r="Y1135" i="1"/>
  <c r="Y1166" i="1"/>
  <c r="Y261" i="1"/>
  <c r="Y598" i="1"/>
  <c r="Y454" i="1"/>
  <c r="Y237" i="1"/>
  <c r="Y220" i="1"/>
  <c r="Y576" i="1"/>
  <c r="Y1202" i="1"/>
  <c r="Y234" i="1"/>
  <c r="Y771" i="1"/>
  <c r="Y70" i="1"/>
  <c r="Y79" i="1"/>
  <c r="Y650" i="1"/>
  <c r="Y1026" i="1"/>
  <c r="Y876" i="1"/>
  <c r="Y1209" i="1"/>
  <c r="Y1070" i="1"/>
  <c r="Y260" i="1"/>
  <c r="Y382" i="1"/>
  <c r="Y1061" i="1"/>
  <c r="Y1259" i="1"/>
  <c r="Y58" i="1"/>
  <c r="Y693" i="1"/>
  <c r="Y674" i="1"/>
  <c r="Y380" i="1"/>
  <c r="Y299" i="1"/>
  <c r="Y717" i="1"/>
  <c r="Y838" i="1"/>
  <c r="Y418" i="1"/>
  <c r="Y1201" i="1"/>
  <c r="Y1056" i="1"/>
  <c r="Y556" i="1"/>
  <c r="Y479" i="1"/>
  <c r="Y873" i="1"/>
  <c r="Y887" i="1"/>
  <c r="Y747" i="1"/>
  <c r="Y14" i="1"/>
  <c r="Y682" i="1"/>
  <c r="Y994" i="1"/>
  <c r="Y268" i="1"/>
  <c r="Y171" i="1"/>
  <c r="Y562" i="1"/>
  <c r="Y1188" i="1"/>
  <c r="Y376" i="1"/>
  <c r="Y692" i="1"/>
  <c r="Y136" i="1"/>
  <c r="Y108" i="1"/>
  <c r="Y1025" i="1"/>
  <c r="Y437" i="1"/>
  <c r="Y1000" i="1"/>
  <c r="Y146" i="1"/>
  <c r="Y1038" i="1"/>
  <c r="Y1314" i="1"/>
  <c r="Y278" i="1"/>
  <c r="Y204" i="1"/>
  <c r="Y1230" i="1"/>
  <c r="Y796" i="1"/>
  <c r="Y925" i="1"/>
  <c r="Y924" i="1"/>
  <c r="Y20" i="1"/>
  <c r="Y448" i="1"/>
  <c r="Y145" i="1"/>
  <c r="Y274" i="1"/>
  <c r="Y137" i="1"/>
  <c r="Y546" i="1"/>
  <c r="Y696" i="1"/>
  <c r="Y1007" i="1"/>
  <c r="Y509" i="1"/>
  <c r="Y377" i="1"/>
  <c r="Y631" i="1"/>
  <c r="Y890" i="1"/>
  <c r="Y469" i="1"/>
  <c r="Y914" i="1"/>
  <c r="Y1196" i="1"/>
  <c r="Y599" i="1"/>
  <c r="Y1309" i="1"/>
  <c r="Y896" i="1"/>
  <c r="Y48" i="1"/>
  <c r="Y940" i="1"/>
  <c r="Y1216" i="1"/>
  <c r="Y1258" i="1"/>
  <c r="Y707" i="1"/>
  <c r="Y1253" i="1"/>
  <c r="Y789" i="1"/>
  <c r="Y1149" i="1"/>
  <c r="Y1293" i="1"/>
  <c r="Y1087" i="1"/>
  <c r="Y516" i="1"/>
  <c r="Y722" i="1"/>
  <c r="Y1080" i="1"/>
  <c r="Y1156" i="1"/>
  <c r="Y269" i="1"/>
  <c r="Y18" i="1"/>
  <c r="Y1290" i="1"/>
  <c r="Y411" i="1"/>
  <c r="Y1262" i="1"/>
  <c r="Y1222" i="1"/>
  <c r="Y345" i="1"/>
  <c r="Y127" i="1"/>
  <c r="Y975" i="1"/>
  <c r="Y910" i="1"/>
  <c r="Y720" i="1"/>
  <c r="Y724" i="1"/>
  <c r="Y528" i="1"/>
  <c r="Y457" i="1"/>
  <c r="Y808" i="1"/>
  <c r="Y1317" i="1"/>
  <c r="Y845" i="1"/>
  <c r="Y769" i="1"/>
  <c r="Y1300" i="1"/>
  <c r="Y926" i="1"/>
  <c r="Y520" i="1"/>
  <c r="Y619" i="1"/>
  <c r="Y148" i="1"/>
  <c r="Y371" i="1"/>
  <c r="Y1303" i="1"/>
  <c r="Y1283" i="1"/>
  <c r="Y943" i="1"/>
  <c r="Y349" i="1"/>
  <c r="Y412" i="1"/>
  <c r="Y953" i="1"/>
  <c r="Y425" i="1"/>
  <c r="Y144" i="1"/>
  <c r="Y31" i="1"/>
  <c r="Y678" i="1"/>
  <c r="Y685" i="1"/>
  <c r="Y61" i="1"/>
  <c r="Y341" i="1"/>
  <c r="Y1029" i="1"/>
  <c r="Y1113" i="1"/>
  <c r="Y314" i="1"/>
  <c r="Y1176" i="1"/>
  <c r="Y1137" i="1"/>
  <c r="Y969" i="1"/>
  <c r="Y327" i="1"/>
  <c r="Y807" i="1"/>
  <c r="Y1003" i="1"/>
  <c r="Y844" i="1"/>
  <c r="Y481" i="1"/>
  <c r="Y526" i="1"/>
  <c r="Y129" i="1"/>
  <c r="Y1286" i="1"/>
  <c r="Y433" i="1"/>
  <c r="Y666" i="1"/>
  <c r="Y1313" i="1"/>
  <c r="Y1306" i="1"/>
  <c r="Y750" i="1"/>
  <c r="Y1101" i="1"/>
  <c r="Y1284" i="1"/>
  <c r="Y839" i="1"/>
  <c r="Y147" i="1"/>
  <c r="Y6" i="1"/>
  <c r="Y1151" i="1"/>
  <c r="Y1304" i="1"/>
  <c r="Y277" i="1"/>
  <c r="Y708" i="1"/>
  <c r="Y784" i="1"/>
  <c r="Y860" i="1"/>
  <c r="Y176" i="1"/>
  <c r="Y1312" i="1"/>
  <c r="Y1093" i="1"/>
  <c r="Y198" i="1"/>
  <c r="Y21" i="1"/>
  <c r="Y787" i="1"/>
  <c r="Y306" i="1"/>
  <c r="Y71" i="1"/>
  <c r="Y765" i="1"/>
  <c r="Y728" i="1"/>
  <c r="Y1316" i="1"/>
  <c r="Y842" i="1"/>
  <c r="Y242" i="1"/>
  <c r="Y100" i="1"/>
  <c r="Y458" i="1"/>
  <c r="Y734" i="1"/>
  <c r="Y92" i="1"/>
  <c r="Y1157" i="1"/>
  <c r="Y883" i="1"/>
  <c r="Y1016" i="1"/>
  <c r="Y718" i="1"/>
  <c r="Y1276" i="1"/>
  <c r="Y248" i="1"/>
  <c r="Y402" i="1"/>
  <c r="Y17" i="1"/>
  <c r="Y168" i="1"/>
  <c r="Y33" i="1"/>
  <c r="Y639" i="1"/>
  <c r="Y1104" i="1"/>
  <c r="Y669" i="1"/>
  <c r="Y584" i="1"/>
  <c r="Y605" i="1"/>
  <c r="Y850" i="1"/>
  <c r="Y543" i="1"/>
  <c r="Y538" i="1"/>
  <c r="Y515" i="1"/>
  <c r="Y1134" i="1"/>
  <c r="Y510" i="1"/>
  <c r="Y292" i="1"/>
  <c r="Y331" i="1"/>
  <c r="Y358" i="1"/>
  <c r="Y870" i="1"/>
  <c r="Y214" i="1"/>
  <c r="Y849" i="1"/>
  <c r="Y39" i="1"/>
  <c r="Y1136" i="1"/>
  <c r="Y1285" i="1"/>
  <c r="Y939" i="1"/>
  <c r="Y1089" i="1"/>
  <c r="Y251" i="1"/>
  <c r="Y656" i="1"/>
  <c r="Y986" i="1"/>
  <c r="Y304" i="1"/>
  <c r="Y702" i="1"/>
  <c r="Y243" i="1"/>
  <c r="Y1150" i="1"/>
  <c r="Y399" i="1"/>
  <c r="Y414" i="1"/>
  <c r="Y196" i="1"/>
  <c r="Y1010" i="1"/>
  <c r="Y788" i="1"/>
  <c r="Y363" i="1"/>
  <c r="Y406" i="1"/>
  <c r="Y891" i="1"/>
  <c r="Y112" i="1"/>
  <c r="Y1241" i="1"/>
  <c r="Y263" i="1"/>
  <c r="Y1142" i="1"/>
  <c r="Y110" i="1"/>
  <c r="Y865" i="1"/>
  <c r="Y689" i="1"/>
  <c r="Y46" i="1"/>
  <c r="Y89" i="1"/>
  <c r="Y688" i="1"/>
  <c r="Y1123" i="1"/>
  <c r="Y310" i="1"/>
  <c r="Y96" i="1"/>
  <c r="Y627" i="1"/>
  <c r="Y1307" i="1"/>
  <c r="Y1232" i="1"/>
  <c r="Y172" i="1"/>
  <c r="Y825" i="1"/>
  <c r="Y398" i="1"/>
  <c r="Y1219" i="1"/>
  <c r="Y588" i="1"/>
  <c r="Y1069" i="1"/>
  <c r="Y1187" i="1"/>
  <c r="Y1193" i="1"/>
  <c r="Y1315" i="1"/>
  <c r="Y500" i="1"/>
  <c r="Y643" i="1"/>
  <c r="Y19" i="1"/>
  <c r="Y1057" i="1"/>
  <c r="Y383" i="1"/>
  <c r="Y15" i="1"/>
  <c r="Y1050" i="1"/>
  <c r="Y1288" i="1"/>
  <c r="Y633" i="1"/>
  <c r="Y483" i="1"/>
  <c r="Y1178" i="1"/>
  <c r="Y308" i="1"/>
  <c r="Y1175" i="1"/>
  <c r="Y1076" i="1"/>
  <c r="Y1245" i="1"/>
  <c r="Y795" i="1"/>
  <c r="Y733" i="1"/>
  <c r="Y907" i="1"/>
  <c r="Y1040" i="1"/>
  <c r="Y1191" i="1"/>
  <c r="Y884" i="1"/>
  <c r="Y343" i="1"/>
  <c r="Y1103" i="1"/>
  <c r="Y375" i="1"/>
  <c r="Y45" i="1"/>
  <c r="Y1102" i="1"/>
  <c r="Y213" i="1"/>
  <c r="Y716" i="1"/>
  <c r="Y221" i="1"/>
  <c r="Y937" i="1"/>
  <c r="Y333" i="1"/>
  <c r="Y497" i="1"/>
  <c r="Y964" i="1"/>
  <c r="Y342" i="1"/>
  <c r="Y149" i="1"/>
  <c r="Y464" i="1"/>
  <c r="Y183" i="1"/>
  <c r="Y113" i="1"/>
  <c r="Y174" i="1"/>
  <c r="Y1265" i="1"/>
  <c r="Y880" i="1"/>
  <c r="Y694" i="1"/>
  <c r="Y233" i="1"/>
  <c r="Y429" i="1"/>
  <c r="Y990" i="1"/>
  <c r="Y360" i="1"/>
  <c r="Y66" i="1"/>
  <c r="Y840" i="1"/>
  <c r="Y246" i="1"/>
  <c r="Y32" i="1"/>
  <c r="Y156" i="1"/>
  <c r="Y909" i="1"/>
  <c r="Y571" i="1"/>
  <c r="Y792" i="1"/>
  <c r="Y154" i="1"/>
  <c r="Y935" i="1"/>
  <c r="Y253" i="1"/>
  <c r="Y501" i="1"/>
  <c r="Y208" i="1"/>
  <c r="Y1155" i="1"/>
  <c r="Y1100" i="1"/>
  <c r="Y1221" i="1"/>
  <c r="Y591" i="1"/>
  <c r="Y539" i="1"/>
  <c r="Y970" i="1"/>
  <c r="Y730" i="1"/>
  <c r="Y1019" i="1"/>
  <c r="Y913" i="1"/>
  <c r="Y1146" i="1"/>
  <c r="Y1180" i="1"/>
  <c r="Y655" i="1"/>
  <c r="Y941" i="1"/>
  <c r="Y1163" i="1"/>
  <c r="Y351" i="1"/>
  <c r="Y1212" i="1"/>
  <c r="Y731" i="1"/>
  <c r="Y415" i="1"/>
  <c r="Y427" i="1"/>
  <c r="Y285" i="1"/>
  <c r="Y63" i="1"/>
  <c r="Y713" i="1"/>
  <c r="Y723" i="1"/>
  <c r="Y486" i="1"/>
  <c r="Y947" i="1"/>
  <c r="Y900" i="1"/>
  <c r="Y410" i="1"/>
  <c r="Y121" i="1"/>
  <c r="Y439" i="1"/>
  <c r="Y1211" i="1"/>
  <c r="Y878" i="1"/>
  <c r="Y128" i="1"/>
  <c r="Y315" i="1"/>
  <c r="Y1092" i="1"/>
  <c r="Y385" i="1"/>
  <c r="Y1295" i="1"/>
  <c r="Y65" i="1"/>
  <c r="Y942" i="1"/>
  <c r="Y663" i="1"/>
  <c r="Y1325" i="1"/>
  <c r="Y1012" i="1"/>
  <c r="Y311" i="1"/>
  <c r="Y777" i="1"/>
  <c r="Y1173" i="1"/>
  <c r="Y872" i="1"/>
  <c r="Y396" i="1"/>
  <c r="Y1326" i="1"/>
  <c r="Y82" i="1"/>
  <c r="Y344" i="1"/>
  <c r="Y387" i="1"/>
  <c r="Y134" i="1"/>
  <c r="Y173" i="1"/>
  <c r="Y258" i="1"/>
  <c r="Y628" i="1"/>
  <c r="Y506" i="1"/>
  <c r="Y420" i="1"/>
  <c r="Y965" i="1"/>
  <c r="Y1074" i="1"/>
  <c r="Y690" i="1"/>
  <c r="Y508" i="1"/>
  <c r="Y885" i="1"/>
  <c r="Y749" i="1"/>
  <c r="Y1079" i="1"/>
  <c r="Y858" i="1"/>
  <c r="Y659" i="1"/>
  <c r="Y357" i="1"/>
  <c r="Y245" i="1"/>
  <c r="Y90" i="1"/>
  <c r="Y843" i="1"/>
  <c r="Y231" i="1"/>
  <c r="Y166" i="1"/>
  <c r="Y871" i="1"/>
  <c r="Y224" i="1"/>
  <c r="Y94" i="1"/>
  <c r="Y558" i="1"/>
  <c r="Y691" i="1"/>
  <c r="Y946" i="1"/>
  <c r="Y348" i="1"/>
  <c r="Y766" i="1"/>
  <c r="Y600" i="1"/>
  <c r="Y889" i="1"/>
  <c r="Y80" i="1"/>
  <c r="Y475" i="1"/>
  <c r="Y570" i="1"/>
  <c r="Y451" i="1"/>
  <c r="Y1214" i="1"/>
  <c r="Y265" i="1"/>
  <c r="Y125" i="1"/>
  <c r="Y753" i="1"/>
  <c r="Y630" i="1"/>
  <c r="Y372" i="1"/>
  <c r="Y1022" i="1"/>
  <c r="Y323" i="1"/>
  <c r="Y102" i="1"/>
  <c r="Y1013" i="1"/>
  <c r="Y1143" i="1"/>
  <c r="Y1120" i="1"/>
  <c r="Y423" i="1"/>
  <c r="Y618" i="1"/>
  <c r="Y471" i="1"/>
  <c r="Y139" i="1"/>
  <c r="Y782" i="1"/>
  <c r="Y207" i="1"/>
  <c r="Y1226" i="1"/>
  <c r="Y477" i="1"/>
  <c r="Y783" i="1"/>
  <c r="Y273" i="1"/>
  <c r="Y283" i="1"/>
  <c r="Y175" i="1"/>
  <c r="Y799" i="1"/>
  <c r="Y1197" i="1"/>
  <c r="Y68" i="1"/>
  <c r="Y152" i="1"/>
  <c r="Y1032" i="1"/>
  <c r="Y35" i="1"/>
  <c r="Y677" i="1"/>
  <c r="Y140" i="1"/>
  <c r="Y1239" i="1"/>
  <c r="Y158" i="1"/>
  <c r="Y932" i="1"/>
  <c r="Y28" i="1"/>
  <c r="Y1097" i="1"/>
  <c r="Y938" i="1"/>
  <c r="Y804" i="1"/>
  <c r="Y536" i="1"/>
  <c r="Y960" i="1"/>
  <c r="Y232" i="1"/>
  <c r="Y235" i="1"/>
  <c r="Y507" i="1"/>
  <c r="Y157" i="1"/>
  <c r="Y1323" i="1"/>
  <c r="Y494" i="1"/>
  <c r="Y776" i="1"/>
  <c r="Y920" i="1"/>
  <c r="Y470" i="1"/>
  <c r="Y603" i="1"/>
  <c r="Y701" i="1"/>
  <c r="Y1296" i="1"/>
  <c r="Y49" i="1"/>
  <c r="Y489" i="1"/>
  <c r="Y1021" i="1"/>
  <c r="Y201" i="1"/>
  <c r="Y752" i="1"/>
  <c r="Y1108" i="1"/>
  <c r="Y1248" i="1"/>
  <c r="Y1107" i="1"/>
  <c r="Y768" i="1"/>
  <c r="Y1122" i="1"/>
  <c r="Y950" i="1"/>
  <c r="Y1238" i="1"/>
  <c r="Y831" i="1"/>
  <c r="Y236" i="1"/>
  <c r="Y548" i="1"/>
  <c r="Y767" i="1"/>
  <c r="Y347" i="1"/>
  <c r="Y921" i="1"/>
  <c r="Y778" i="1"/>
  <c r="Y138" i="1"/>
  <c r="Y1171" i="1"/>
  <c r="Y671" i="1"/>
  <c r="Y857" i="1"/>
  <c r="Y610" i="1"/>
  <c r="Y114" i="1"/>
  <c r="Y561" i="1"/>
  <c r="Y1127" i="1"/>
  <c r="Y1263" i="1"/>
  <c r="Y391" i="1"/>
  <c r="Y551" i="1"/>
  <c r="Y1292" i="1"/>
  <c r="Y553" i="1"/>
  <c r="Y1233" i="1"/>
  <c r="Y1047" i="1"/>
  <c r="Y1275" i="1"/>
  <c r="Y1144" i="1"/>
  <c r="Y1194" i="1"/>
  <c r="Y12" i="1"/>
  <c r="Y929" i="1"/>
  <c r="Y203" i="1"/>
  <c r="Y1181" i="1"/>
  <c r="Y604" i="1"/>
  <c r="Y296" i="1"/>
  <c r="Y1177" i="1"/>
  <c r="Y779" i="1"/>
  <c r="Y1048" i="1"/>
  <c r="Y408" i="1"/>
  <c r="Y665" i="1"/>
  <c r="Y514" i="1"/>
  <c r="Y517" i="1"/>
  <c r="Y1289" i="1"/>
  <c r="Y649" i="1"/>
  <c r="Y190" i="1"/>
  <c r="Y566" i="1"/>
  <c r="Y62" i="1"/>
  <c r="Y442" i="1"/>
  <c r="Y1278" i="1"/>
  <c r="Y1034" i="1"/>
  <c r="Y1311" i="1"/>
  <c r="Y785" i="1"/>
  <c r="Y957" i="1"/>
  <c r="Y312" i="1"/>
  <c r="Y271" i="1"/>
  <c r="Y1015" i="1"/>
  <c r="Y27" i="1"/>
  <c r="Y417" i="1"/>
  <c r="Y993" i="1"/>
  <c r="Y997" i="1"/>
  <c r="Y820" i="1"/>
  <c r="Y11" i="1"/>
  <c r="Y1170" i="1"/>
  <c r="Y3" i="1"/>
  <c r="Y989" i="1"/>
  <c r="Y185" i="1"/>
  <c r="Y524" i="1"/>
  <c r="Y1130" i="1"/>
  <c r="Y313" i="1"/>
  <c r="Y1190" i="1"/>
  <c r="Y670" i="1"/>
  <c r="Y53" i="1"/>
  <c r="Y813" i="1"/>
  <c r="Y239" i="1"/>
  <c r="Y435" i="1"/>
  <c r="Y786" i="1"/>
  <c r="Y1273" i="1"/>
  <c r="Y1244" i="1"/>
  <c r="Y84" i="1"/>
  <c r="Y369" i="1"/>
  <c r="Y1287" i="1"/>
  <c r="Y661" i="1"/>
  <c r="Y991" i="1"/>
  <c r="Y530" i="1"/>
  <c r="Y1182" i="1"/>
  <c r="Y93" i="1"/>
  <c r="Y206" i="1"/>
  <c r="Y915" i="1"/>
  <c r="Y1229" i="1"/>
  <c r="Y384" i="1"/>
  <c r="Y837" i="1"/>
  <c r="Y29" i="1"/>
  <c r="Y279" i="1"/>
  <c r="Y229" i="1"/>
  <c r="Y806" i="1"/>
  <c r="Y818" i="1"/>
  <c r="Y301" i="1"/>
  <c r="Y823" i="1"/>
  <c r="Y393" i="1"/>
  <c r="Y564" i="1"/>
  <c r="Y815" i="1"/>
  <c r="Y620" i="1"/>
  <c r="Y824" i="1"/>
  <c r="Y681" i="1"/>
  <c r="Y459" i="1"/>
  <c r="Y106" i="1"/>
  <c r="Y330" i="1"/>
  <c r="Y1213" i="1"/>
  <c r="Y705" i="1"/>
  <c r="Y1094" i="1"/>
  <c r="Y403" i="1"/>
  <c r="Y525" i="1"/>
  <c r="Y309" i="1"/>
  <c r="Y737" i="1"/>
  <c r="Y709" i="1"/>
  <c r="Y184" i="1"/>
  <c r="Y104" i="1"/>
  <c r="Y746" i="1"/>
  <c r="Y1075" i="1"/>
  <c r="Y667" i="1"/>
  <c r="Y1254" i="1"/>
  <c r="Y307" i="1"/>
  <c r="Y1329" i="1"/>
  <c r="Y1083" i="1"/>
  <c r="Y646" i="1"/>
  <c r="Y817" i="1"/>
  <c r="Y699" i="1"/>
  <c r="Y1280" i="1"/>
  <c r="Y780" i="1"/>
  <c r="Y897" i="1"/>
  <c r="Y328" i="1"/>
  <c r="Y1011" i="1"/>
  <c r="Y648" i="1"/>
  <c r="Y882" i="1"/>
  <c r="Y552" i="1"/>
  <c r="Y1206" i="1"/>
  <c r="Y756" i="1"/>
  <c r="Y473" i="1"/>
  <c r="Y1282" i="1"/>
  <c r="Y1152" i="1"/>
  <c r="Y120" i="1"/>
  <c r="Y679" i="1"/>
  <c r="Y280" i="1"/>
  <c r="Y498" i="1"/>
  <c r="Y22" i="1"/>
  <c r="Y555" i="1"/>
  <c r="Y602" i="1"/>
  <c r="Y83" i="1"/>
  <c r="Y1210" i="1"/>
  <c r="Y503" i="1"/>
  <c r="Y422" i="1"/>
  <c r="Y1139" i="1"/>
  <c r="Y1141" i="1"/>
  <c r="Y359" i="1"/>
  <c r="Y828" i="1"/>
  <c r="Y1131" i="1"/>
  <c r="Y1095" i="1"/>
  <c r="Y802" i="1"/>
  <c r="Y763" i="1"/>
  <c r="Y502" i="1"/>
  <c r="Y316" i="1"/>
  <c r="Y386" i="1"/>
  <c r="Y119" i="1"/>
  <c r="Y781" i="1"/>
  <c r="Y1264" i="1"/>
  <c r="Y563" i="1"/>
  <c r="Y1014" i="1"/>
  <c r="Y755" i="1"/>
  <c r="Y761" i="1"/>
  <c r="Y1310" i="1"/>
  <c r="Y1200" i="1"/>
  <c r="Y1068" i="1"/>
  <c r="Y474" i="1"/>
  <c r="Y922" i="1"/>
  <c r="Y218" i="1"/>
  <c r="Y73" i="1"/>
  <c r="Y1207" i="1"/>
  <c r="Y712" i="1"/>
  <c r="Y81" i="1"/>
  <c r="Y217" i="1"/>
  <c r="Y668" i="1"/>
  <c r="Y521" i="1"/>
  <c r="Y155" i="1"/>
  <c r="Y836" i="1"/>
  <c r="Y833" i="1"/>
  <c r="Y493" i="1"/>
  <c r="Y861" i="1"/>
  <c r="Y791" i="1"/>
  <c r="Y405" i="1"/>
  <c r="Y1126" i="1"/>
  <c r="Y1237" i="1"/>
  <c r="Y143" i="1"/>
  <c r="Y1090" i="1"/>
  <c r="Y1116" i="1"/>
  <c r="Y998" i="1"/>
  <c r="Y971" i="1"/>
  <c r="Y852" i="1"/>
  <c r="Y1251" i="1"/>
  <c r="Y366" i="1"/>
  <c r="Y594" i="1"/>
  <c r="Y972" i="1"/>
  <c r="Y800" i="1"/>
  <c r="Y1184" i="1"/>
  <c r="Y97" i="1"/>
  <c r="Y902" i="1"/>
  <c r="Y1183" i="1"/>
  <c r="Y1302" i="1"/>
  <c r="Y67" i="1"/>
  <c r="Y992" i="1"/>
  <c r="Y906" i="1"/>
  <c r="Y522" i="1"/>
  <c r="Y1319" i="1"/>
  <c r="Y793" i="1"/>
  <c r="Y249" i="1"/>
  <c r="Y954" i="1"/>
  <c r="Y982" i="1"/>
  <c r="Y43" i="1"/>
  <c r="Y637" i="1"/>
  <c r="Y320" i="1"/>
  <c r="Y228" i="1"/>
  <c r="Y365" i="1"/>
  <c r="Y1240" i="1"/>
  <c r="Y1208" i="1"/>
  <c r="Y1078" i="1"/>
  <c r="Y948" i="1"/>
  <c r="Y736" i="1"/>
  <c r="Y504" i="1"/>
  <c r="Y430" i="1"/>
  <c r="Y881" i="1"/>
  <c r="Y1081" i="1"/>
  <c r="Y1018" i="1"/>
  <c r="Y918" i="1"/>
  <c r="Y254" i="1"/>
  <c r="Y1227" i="1"/>
  <c r="Y123" i="1"/>
  <c r="Y1064" i="1"/>
  <c r="Y368" i="1"/>
  <c r="Y1099" i="1"/>
  <c r="Y13" i="1"/>
  <c r="Y202" i="1"/>
  <c r="Y179" i="1"/>
  <c r="Y612" i="1"/>
  <c r="Y267" i="1"/>
  <c r="Y303" i="1"/>
  <c r="Y227" i="1"/>
  <c r="Y523" i="1"/>
  <c r="Y1255" i="1"/>
  <c r="Y812" i="1"/>
  <c r="Y554" i="1"/>
  <c r="Y322" i="1"/>
  <c r="Y912" i="1"/>
  <c r="Y698" i="1"/>
  <c r="Y869" i="1"/>
  <c r="Y1024" i="1"/>
  <c r="Y135" i="1"/>
  <c r="Y334" i="1"/>
  <c r="Y867" i="1"/>
  <c r="Y899" i="1"/>
  <c r="Y976" i="1"/>
  <c r="Y1031" i="1"/>
  <c r="Y281" i="1"/>
  <c r="Y91" i="1"/>
  <c r="Y908" i="1"/>
  <c r="Y370" i="1"/>
  <c r="Y877" i="1"/>
  <c r="Y159" i="1"/>
  <c r="Y321" i="1"/>
  <c r="Y122" i="1"/>
  <c r="Y2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<sst xmlns="http://schemas.openxmlformats.org/spreadsheetml/2006/main" count="24533" uniqueCount="3928">
  <si>
    <t>ID</t>
  </si>
  <si>
    <t>PARENT_TICKER</t>
  </si>
  <si>
    <t>AMT_OUTSTANDING</t>
  </si>
  <si>
    <t>PAYMENT_RANK</t>
  </si>
  <si>
    <t>MATURITY</t>
  </si>
  <si>
    <t>COUNTRY</t>
  </si>
  <si>
    <t>SECTOR</t>
  </si>
  <si>
    <t>NAME</t>
  </si>
  <si>
    <t>Subordinated Unsecured</t>
  </si>
  <si>
    <t>FIXED</t>
  </si>
  <si>
    <t>US</t>
  </si>
  <si>
    <t>1st Lien Secured</t>
  </si>
  <si>
    <t>Secured</t>
  </si>
  <si>
    <t>FLOATING</t>
  </si>
  <si>
    <t>Health Care</t>
  </si>
  <si>
    <t>Technology</t>
  </si>
  <si>
    <t>Communications</t>
  </si>
  <si>
    <t>Sr Unsecured</t>
  </si>
  <si>
    <t>BHC CN Equity</t>
  </si>
  <si>
    <t>CA</t>
  </si>
  <si>
    <t>ZP111305 Corp</t>
  </si>
  <si>
    <t>BHCCN 5 01/30/28</t>
  </si>
  <si>
    <t>ZP111307 Corp</t>
  </si>
  <si>
    <t>BHCCN 5 ¼ 01/30/30</t>
  </si>
  <si>
    <t>BJ423011 Corp</t>
  </si>
  <si>
    <t>BHCCN 6 ¼ 02/15/29</t>
  </si>
  <si>
    <t>BM627976 Corp</t>
  </si>
  <si>
    <t>BHCCN 5 ¼ 02/15/31</t>
  </si>
  <si>
    <t>MULT</t>
  </si>
  <si>
    <t>ZS571082 Corp</t>
  </si>
  <si>
    <t>BHCCN 7 ¼ 05/30/29</t>
  </si>
  <si>
    <t>BM627973 Corp</t>
  </si>
  <si>
    <t>BHCCN 5 02/15/29</t>
  </si>
  <si>
    <t>2nd Lien Secured</t>
  </si>
  <si>
    <t>DEFAULTED</t>
  </si>
  <si>
    <t>LU</t>
  </si>
  <si>
    <t>Consumer Discretionary</t>
  </si>
  <si>
    <t>ZF436545 Corp</t>
  </si>
  <si>
    <t>OPTU US Equity</t>
  </si>
  <si>
    <t>CSCHLD 11 ¾ 01/31/29</t>
  </si>
  <si>
    <t>BP327733 Corp</t>
  </si>
  <si>
    <t>CSCHLD 4 ½ 11/15/31</t>
  </si>
  <si>
    <t>QZ513404 Corp</t>
  </si>
  <si>
    <t>CSCHLD 5 ½ 04/15/27</t>
  </si>
  <si>
    <t>ZK271952 Corp</t>
  </si>
  <si>
    <t>CSCHLD 11 ¼ 05/15/28</t>
  </si>
  <si>
    <t>AZ434652 Corp</t>
  </si>
  <si>
    <t>CSCHLD 5 ¾ 01/15/30</t>
  </si>
  <si>
    <t>AQ709524 Corp</t>
  </si>
  <si>
    <t>CSCHLD 5 ⅜ 02/01/28</t>
  </si>
  <si>
    <t>AW913901 Corp</t>
  </si>
  <si>
    <t>CSCHLD 6 ½ 02/01/29</t>
  </si>
  <si>
    <t>BK766503 Corp</t>
  </si>
  <si>
    <t>CSCHLD 3 ⅜ 02/15/31</t>
  </si>
  <si>
    <t>AV137092 Corp</t>
  </si>
  <si>
    <t>CSCHLD 7 ½ 04/01/28</t>
  </si>
  <si>
    <t>BJ816239 Corp</t>
  </si>
  <si>
    <t>CSCHLD 4 ⅛ 12/01/30</t>
  </si>
  <si>
    <t>BJ819175 Corp</t>
  </si>
  <si>
    <t>CSCHLD 4 ⅝ 12/01/30</t>
  </si>
  <si>
    <t>BP331373 Corp</t>
  </si>
  <si>
    <t>CSCHLD 5 11/15/31</t>
  </si>
  <si>
    <t>BL316906 Corp</t>
  </si>
  <si>
    <t>CSCHLD TL B5 1L USD Corp</t>
  </si>
  <si>
    <t>PAY-IN-KIND</t>
  </si>
  <si>
    <t>DATE</t>
  </si>
  <si>
    <t>PX_MID</t>
  </si>
  <si>
    <t>OAS</t>
  </si>
  <si>
    <t>I_SPREAD</t>
  </si>
  <si>
    <t>Z_SPREAD</t>
  </si>
  <si>
    <t>WINDOW_START</t>
  </si>
  <si>
    <t>WINDOW_END</t>
  </si>
  <si>
    <t>PX_HIGH_52W</t>
  </si>
  <si>
    <t>DATE_OF_HIGH</t>
  </si>
  <si>
    <t>PX_LOW_52W</t>
  </si>
  <si>
    <t>DATE_OF_LOW</t>
  </si>
  <si>
    <t>ISSUER_NAME</t>
  </si>
  <si>
    <t>Bausch Health Cos Inc</t>
  </si>
  <si>
    <t>Optimum Communications Inc</t>
  </si>
  <si>
    <t>YIELD</t>
  </si>
  <si>
    <t>Superpriority (DIP) Secured</t>
  </si>
  <si>
    <t>2532499D ID Equity</t>
  </si>
  <si>
    <t>ION Platform Investment Group</t>
  </si>
  <si>
    <t>YK367825 Corp</t>
  </si>
  <si>
    <t>IONPLA 7 ⅞ 09/30/32</t>
  </si>
  <si>
    <t>BL524045 Corp</t>
  </si>
  <si>
    <t>IONPLA TL B 1L USD Corp</t>
  </si>
  <si>
    <t>1541027D US Equity</t>
  </si>
  <si>
    <t>Arch Parent Inc</t>
  </si>
  <si>
    <t>YX484711 Corp</t>
  </si>
  <si>
    <t>SPLS 12 ¾ 01/15/30</t>
  </si>
  <si>
    <t>BU019111 Corp</t>
  </si>
  <si>
    <t>MCFE US Equity</t>
  </si>
  <si>
    <t>MCFE 7 ⅜ 02/15/30</t>
  </si>
  <si>
    <t>McAfee Corp</t>
  </si>
  <si>
    <t>BL488362 Corp</t>
  </si>
  <si>
    <t>MCFE TL B1 1L USD Corp</t>
  </si>
  <si>
    <t>ZI138837 Corp</t>
  </si>
  <si>
    <t>2462064D US Equity</t>
  </si>
  <si>
    <t>CDK 8 06/15/29</t>
  </si>
  <si>
    <t>Central TopCo Inc</t>
  </si>
  <si>
    <t>BX062705 Corp</t>
  </si>
  <si>
    <t>CDK 7 ¼ 06/15/29</t>
  </si>
  <si>
    <t>BL465138 Corp</t>
  </si>
  <si>
    <t>CDK TL B 1L USD Corp</t>
  </si>
  <si>
    <t>YN748876 Corp</t>
  </si>
  <si>
    <t>1485013D US Equity</t>
  </si>
  <si>
    <t>RADIAT 9 ¼ 03/25/30</t>
  </si>
  <si>
    <t>Radiate Holdings GP LLC</t>
  </si>
  <si>
    <t>YU886722 Corp</t>
  </si>
  <si>
    <t>1770081D US Equity</t>
  </si>
  <si>
    <t>CMGMCO 8 ⅞ 06/18/29</t>
  </si>
  <si>
    <t>CMG Media Corp</t>
  </si>
  <si>
    <t>LAST_MONTH_VOLUME</t>
  </si>
  <si>
    <t>BL355684 Corp</t>
  </si>
  <si>
    <t>1920665D US Equity</t>
  </si>
  <si>
    <t>PERCOR TL B 1L USD Corp</t>
  </si>
  <si>
    <t>Peraton Intermediate Holdings</t>
  </si>
  <si>
    <t>BL357160 Corp</t>
  </si>
  <si>
    <t>PERCOR TL 2L USD Corp</t>
  </si>
  <si>
    <t>AR883948 Corp</t>
  </si>
  <si>
    <t>CEQUEL 7 ½ 04/01/28</t>
  </si>
  <si>
    <t>BL541765 Corp</t>
  </si>
  <si>
    <t>CSCHLD TL 1L USD Corp</t>
  </si>
  <si>
    <t>BL498563 Corp</t>
  </si>
  <si>
    <t>CVLGHT TL B 1L USD Corp</t>
  </si>
  <si>
    <t>BL295611 Corp</t>
  </si>
  <si>
    <t>CSCHLD REV EXT 1L USD Corp</t>
  </si>
  <si>
    <t>EC187863 Corp</t>
  </si>
  <si>
    <t>HESLLC 7.45 10/15/29</t>
  </si>
  <si>
    <t>BL356131 Corp</t>
  </si>
  <si>
    <t>ZS445812 Corp</t>
  </si>
  <si>
    <t>CDK 5 ¼ 05/15/29</t>
  </si>
  <si>
    <t>AR826949 Corp</t>
  </si>
  <si>
    <t>CDK 4 ⅞ 06/01/27</t>
  </si>
  <si>
    <t>ZS569563 Corp</t>
  </si>
  <si>
    <t>BHCCN 7 01/15/28</t>
  </si>
  <si>
    <t>ZI849723 Corp</t>
  </si>
  <si>
    <t>BLCOCN 8 ⅜ 10/01/28</t>
  </si>
  <si>
    <t>YQ571022 Corp</t>
  </si>
  <si>
    <t>BHCCN 10 04/15/32</t>
  </si>
  <si>
    <t>YN304569 Corp</t>
  </si>
  <si>
    <t>BLCOCN Float 01/15/31</t>
  </si>
  <si>
    <t>MM119712 Corp</t>
  </si>
  <si>
    <t>BOL 6.56 08/12/26</t>
  </si>
  <si>
    <t>EC013419 Corp</t>
  </si>
  <si>
    <t>BOL 7 ⅛ 08/01/28</t>
  </si>
  <si>
    <t>BZ116312 Corp</t>
  </si>
  <si>
    <t>BHCCN 11 09/30/28</t>
  </si>
  <si>
    <t>BZ116281 Corp</t>
  </si>
  <si>
    <t>BHCCN 14 10/15/30</t>
  </si>
  <si>
    <t>BP751726 Corp</t>
  </si>
  <si>
    <t>BHCCN 4 ⅞ 06/01/28</t>
  </si>
  <si>
    <t>AS706899 Corp</t>
  </si>
  <si>
    <t>BHCCN 8 ½ 01/31/27</t>
  </si>
  <si>
    <t>BL535517 Corp</t>
  </si>
  <si>
    <t>BLCOCN TL B 1L USD Corp</t>
  </si>
  <si>
    <t>BL519999 Corp</t>
  </si>
  <si>
    <t>BL504589 Corp</t>
  </si>
  <si>
    <t>BHCCN TL B 1L USD Corp</t>
  </si>
  <si>
    <t>BL390605 Corp</t>
  </si>
  <si>
    <t>BLCOCN REV 1L USD Corp</t>
  </si>
  <si>
    <t>ZO393318 Corp</t>
  </si>
  <si>
    <t>RADIAT 6 ½ 09/15/28</t>
  </si>
  <si>
    <t>ZO393316 Corp</t>
  </si>
  <si>
    <t>RADIAT 4 ½ 09/15/26</t>
  </si>
  <si>
    <t>YN747456 Corp</t>
  </si>
  <si>
    <t>RADIAT 6 ¼ 09/25/29</t>
  </si>
  <si>
    <t>BL526220 Corp</t>
  </si>
  <si>
    <t>RADIAT TL 1L USD Corp</t>
  </si>
  <si>
    <t>BL515912 Corp</t>
  </si>
  <si>
    <t>RADIAT PIK-TERM FIFO 1L USD Corp</t>
  </si>
  <si>
    <t>BL375974 Corp</t>
  </si>
  <si>
    <t>RADIAT TL B 1L USD Corp</t>
  </si>
  <si>
    <t>BL466804 Corp</t>
  </si>
  <si>
    <t>MCFE TL B2 1L EUR Corp</t>
  </si>
  <si>
    <t>ZB634910 Corp</t>
  </si>
  <si>
    <t>IONCOR 8 ¾ 05/01/29</t>
  </si>
  <si>
    <t>ZB627312 Corp</t>
  </si>
  <si>
    <t>IONCOR 7 ⅞ 05/01/29</t>
  </si>
  <si>
    <t>YX144185 Corp</t>
  </si>
  <si>
    <t>IONTRA 9 ½ 05/30/29</t>
  </si>
  <si>
    <t>YW667237 Corp</t>
  </si>
  <si>
    <t>ILOGIC 9 08/01/29</t>
  </si>
  <si>
    <t>YK896906 Corp</t>
  </si>
  <si>
    <t>IONPLA 7 ⅞ 05/01/29</t>
  </si>
  <si>
    <t>YK854243 Corp</t>
  </si>
  <si>
    <t>IONPLA 9 08/01/29</t>
  </si>
  <si>
    <t>YK853720 Corp</t>
  </si>
  <si>
    <t>IONPLA 5 05/01/28</t>
  </si>
  <si>
    <t>YK853411 Corp</t>
  </si>
  <si>
    <t>IONPLA 8 ¾ 05/01/29</t>
  </si>
  <si>
    <t>YK835116 Corp</t>
  </si>
  <si>
    <t>IONPLA 4 ⅝ 05/01/28</t>
  </si>
  <si>
    <t>YK834943 Corp</t>
  </si>
  <si>
    <t>IONPLA 9 ½ 05/30/29</t>
  </si>
  <si>
    <t>YK834452 Corp</t>
  </si>
  <si>
    <t>IONPLA 5 ¾ 05/15/28</t>
  </si>
  <si>
    <t>YK368370 Corp</t>
  </si>
  <si>
    <t>IONPLA 6 ⅞ 09/30/32</t>
  </si>
  <si>
    <t>YK367831 Corp</t>
  </si>
  <si>
    <t>IONPLA 6 ½ 09/30/30</t>
  </si>
  <si>
    <t>BP412666 Corp</t>
  </si>
  <si>
    <t>ILOGIC 5 05/01/28</t>
  </si>
  <si>
    <t>BP335149 Corp</t>
  </si>
  <si>
    <t>IONTRA 5 ¾ 05/15/28</t>
  </si>
  <si>
    <t>BP232673 Corp</t>
  </si>
  <si>
    <t>IONCOR 4 ⅝ 05/01/28</t>
  </si>
  <si>
    <t>BL524046 Corp</t>
  </si>
  <si>
    <t>IONPLA TL B 1L EUR Corp</t>
  </si>
  <si>
    <t>ZQ926671 Corp</t>
  </si>
  <si>
    <t>CMGMCO 8 ⅞ 12/15/27</t>
  </si>
  <si>
    <t>BL480457 Corp</t>
  </si>
  <si>
    <t>CMGMCO TL B2 1L USD Corp</t>
  </si>
  <si>
    <t>BL354779 Corp</t>
  </si>
  <si>
    <t>CMGMCO TL B 1L USD Corp</t>
  </si>
  <si>
    <t>ZS003151 Corp</t>
  </si>
  <si>
    <t>SPLS 10 ¾ 04/15/27</t>
  </si>
  <si>
    <t>YX230220 Corp</t>
  </si>
  <si>
    <t>SPLS 10 ¾ 09/01/29</t>
  </si>
  <si>
    <t>BL537552 Corp</t>
  </si>
  <si>
    <t>SPLS TL 1L CAD Corp</t>
  </si>
  <si>
    <t>BL466074 Corp</t>
  </si>
  <si>
    <t>SPLS TL B 1L USD Corp</t>
  </si>
  <si>
    <t>EXPECTED_DAILY_VOLUME</t>
  </si>
  <si>
    <t>LOAN_TYPE</t>
  </si>
  <si>
    <t>REV</t>
  </si>
  <si>
    <t>TERM</t>
  </si>
  <si>
    <t>ZK026845 Corp</t>
  </si>
  <si>
    <t>2366642D US Equity</t>
  </si>
  <si>
    <t>TIBX 9 09/30/29</t>
  </si>
  <si>
    <t>Balboa Holdings LP</t>
  </si>
  <si>
    <t>ZB986519 Corp</t>
  </si>
  <si>
    <t>TIBX 8 ¼ 06/30/32</t>
  </si>
  <si>
    <t>YL064819 Corp</t>
  </si>
  <si>
    <t>TIBX 6 ⅝ 08/15/33</t>
  </si>
  <si>
    <t>EJ135290 Corp</t>
  </si>
  <si>
    <t>TIBX 2 ¼ 05/01/32</t>
  </si>
  <si>
    <t>BZ013516 Corp</t>
  </si>
  <si>
    <t>TIBX 6 ½ 03/31/29</t>
  </si>
  <si>
    <t>AQ008890 Corp</t>
  </si>
  <si>
    <t>CTXS 4 ½ 12/01/27</t>
  </si>
  <si>
    <t>BL548508 Corp</t>
  </si>
  <si>
    <t>WRATOP TL 1L USD Corp</t>
  </si>
  <si>
    <t>BL535465 Corp</t>
  </si>
  <si>
    <t>TIBX TL B 1L EUR Corp</t>
  </si>
  <si>
    <t>BL522258 Corp</t>
  </si>
  <si>
    <t>TIBX REV 1L USD Corp</t>
  </si>
  <si>
    <t>BL519583 Corp</t>
  </si>
  <si>
    <t>TIBX TL B2 1L USD Corp</t>
  </si>
  <si>
    <t>BL519582 Corp</t>
  </si>
  <si>
    <t>TIBX TL B1 1L USD Corp</t>
  </si>
  <si>
    <t>BL494847 Corp</t>
  </si>
  <si>
    <t>TIBX TL SUB USD Corp</t>
  </si>
  <si>
    <t>BL490360 Corp</t>
  </si>
  <si>
    <t>ARCUSH PIK-TERM B 1L USD Corp</t>
  </si>
  <si>
    <t>PIK TERM</t>
  </si>
  <si>
    <t>BL483325 Corp</t>
  </si>
  <si>
    <t>WRATOP TL 2L USD Corp</t>
  </si>
  <si>
    <t>BL483324 Corp</t>
  </si>
  <si>
    <t>ZO913021 Corp</t>
  </si>
  <si>
    <t>CTEV US Equity</t>
  </si>
  <si>
    <t>CTEV 6 10/15/27</t>
  </si>
  <si>
    <t>Claritev Corp</t>
  </si>
  <si>
    <t>YR114928 Corp</t>
  </si>
  <si>
    <t>MLTPLN 6 ¾ 03/31/31</t>
  </si>
  <si>
    <t>YR102316 Corp</t>
  </si>
  <si>
    <t>MLTPLN 5 ¾ 12/31/30</t>
  </si>
  <si>
    <t>YR101807 Corp</t>
  </si>
  <si>
    <t>CTEV 6 ¾ 03/31/31</t>
  </si>
  <si>
    <t>YR101437 Corp</t>
  </si>
  <si>
    <t>MLTPLN 11 ½ 12/31/30</t>
  </si>
  <si>
    <t>BR041275 Corp</t>
  </si>
  <si>
    <t>MLTPLN 5 ½ 09/01/28</t>
  </si>
  <si>
    <t>BM122465 Corp</t>
  </si>
  <si>
    <t>MLTPLN 5 ¾ 11/01/28</t>
  </si>
  <si>
    <t>BL499387 Corp</t>
  </si>
  <si>
    <t>MLTPLN REV 1L USD Corp</t>
  </si>
  <si>
    <t>BL499386 Corp</t>
  </si>
  <si>
    <t>MLTPLN TL 1L USD Corp</t>
  </si>
  <si>
    <t>BL499385 Corp</t>
  </si>
  <si>
    <t>BL509098 Corp</t>
  </si>
  <si>
    <t>2599643D US Equity</t>
  </si>
  <si>
    <t>KASEYA TL 2L USD Corp</t>
  </si>
  <si>
    <t>Kaseya Holdings Inc</t>
  </si>
  <si>
    <t>BL501722 Corp</t>
  </si>
  <si>
    <t>BL501720 Corp</t>
  </si>
  <si>
    <t>KASEYA TL B 1L USD Corp</t>
  </si>
  <si>
    <t>YX935116 Corp</t>
  </si>
  <si>
    <t>HTZ US Equity</t>
  </si>
  <si>
    <t>HTZ 8 07/15/29</t>
  </si>
  <si>
    <t>Hertz Global Holdings Inc</t>
  </si>
  <si>
    <t>YX902430 Corp</t>
  </si>
  <si>
    <t>HTZ 12 ⅝ 07/15/29</t>
  </si>
  <si>
    <t>YK424444 Corp</t>
  </si>
  <si>
    <t>HTZ 5 ½ 10/01/30</t>
  </si>
  <si>
    <t>QZ510662 Corp</t>
  </si>
  <si>
    <t>HTZ 5 ½ 10/15/24</t>
  </si>
  <si>
    <t>BS528223 Corp</t>
  </si>
  <si>
    <t>HTZ 5 12/01/29</t>
  </si>
  <si>
    <t>BS528221 Corp</t>
  </si>
  <si>
    <t>HTZ 4 ⅝ 12/01/26</t>
  </si>
  <si>
    <t>AZ718262 Corp</t>
  </si>
  <si>
    <t>HTZ 7 ⅛ 08/01/26</t>
  </si>
  <si>
    <t>BL446806 Corp</t>
  </si>
  <si>
    <t>HTZ TL B 1L USD Corp</t>
  </si>
  <si>
    <t>BL363872 Corp</t>
  </si>
  <si>
    <t>HTZ TL C-EXIT 1L USD Corp</t>
  </si>
  <si>
    <t>BL363870 Corp</t>
  </si>
  <si>
    <t>HTZ TL B-EXIT 1L USD Corp</t>
  </si>
  <si>
    <t>ZD461596 Corp</t>
  </si>
  <si>
    <t>NFE US Equity</t>
  </si>
  <si>
    <t>FLAT TRADING</t>
  </si>
  <si>
    <t>Energy</t>
  </si>
  <si>
    <t>NFE 8 ¾ 03/15/29</t>
  </si>
  <si>
    <t>New Fortress Energy Inc</t>
  </si>
  <si>
    <t>YT580857 Corp</t>
  </si>
  <si>
    <t>NFE 12 11/15/29</t>
  </si>
  <si>
    <t>BO756743 Corp</t>
  </si>
  <si>
    <t>NFE 6 ½ 09/30/26</t>
  </si>
  <si>
    <t>BL567373 Corp</t>
  </si>
  <si>
    <t>NFE PIK-TERM 1L USD Corp</t>
  </si>
  <si>
    <t>BRIDGE PIK TERM</t>
  </si>
  <si>
    <t>BL505462 Corp</t>
  </si>
  <si>
    <t>NFE TL B 1L USD Corp</t>
  </si>
  <si>
    <t>BL474574 Corp</t>
  </si>
  <si>
    <t>NFE TL A-DD 1L USD Corp</t>
  </si>
  <si>
    <t>DELAY-DRAW TERM</t>
  </si>
  <si>
    <t>BL1000A7 Corp</t>
  </si>
  <si>
    <t>NFE TL 1L USD Corp</t>
  </si>
  <si>
    <t>EP053924 Pfd</t>
  </si>
  <si>
    <t>Preferred</t>
  </si>
  <si>
    <t>MH</t>
  </si>
  <si>
    <t>Industrials</t>
  </si>
  <si>
    <t>GMLP 8 ¾ PERP</t>
  </si>
  <si>
    <t>YM781929 Corp</t>
  </si>
  <si>
    <t>1625308D US Equity</t>
  </si>
  <si>
    <t>USLBMH 9 ½ 06/15/31</t>
  </si>
  <si>
    <t>LBM Acquisition LLC</t>
  </si>
  <si>
    <t>BM933315 Corp</t>
  </si>
  <si>
    <t>USLBMH 6 ¼ 01/15/29</t>
  </si>
  <si>
    <t>BL517842 Corp</t>
  </si>
  <si>
    <t>USLBMH TL B 1L USD Corp</t>
  </si>
  <si>
    <t>BL467110 Corp</t>
  </si>
  <si>
    <t>YN564570 Corp</t>
  </si>
  <si>
    <t>2160454D US Equity</t>
  </si>
  <si>
    <t>BSPEED 10 ½ 04/03/31</t>
  </si>
  <si>
    <t>Connect Holding II LLC</t>
  </si>
  <si>
    <t>EF420256 Corp</t>
  </si>
  <si>
    <t>EMBARQ 7.995 06/01/36</t>
  </si>
  <si>
    <t>BL516622 Corp</t>
  </si>
  <si>
    <t>BSPEED PIK-TERM B 1L USD Corp</t>
  </si>
  <si>
    <t>BL490656 Corp</t>
  </si>
  <si>
    <t>BSPEED TL B-DD 1L USD Corp</t>
  </si>
  <si>
    <t>BL478871 Corp</t>
  </si>
  <si>
    <t>ZO420004 Corp</t>
  </si>
  <si>
    <t>2540264D US Equity</t>
  </si>
  <si>
    <t>CNR 6 ⅛ 01/15/29</t>
  </si>
  <si>
    <t>Cornerstone Building Brands In</t>
  </si>
  <si>
    <t>YW742881 Corp</t>
  </si>
  <si>
    <t>CNR 9 ½ 08/15/29</t>
  </si>
  <si>
    <t>EH595161 Corp</t>
  </si>
  <si>
    <t>ATRCOS 15 12/15/12</t>
  </si>
  <si>
    <t>BX836295 Corp</t>
  </si>
  <si>
    <t>CNR 8 ¾ 08/01/28</t>
  </si>
  <si>
    <t>BL464910 Corp</t>
  </si>
  <si>
    <t>CNR TL C 1L USD Corp</t>
  </si>
  <si>
    <t>BL399498 Corp</t>
  </si>
  <si>
    <t>CNR REV FILO 1L USD Corp</t>
  </si>
  <si>
    <t>BL397114 Corp</t>
  </si>
  <si>
    <t>CNR TL 1L USD Corp</t>
  </si>
  <si>
    <t>BL358031 Corp</t>
  </si>
  <si>
    <t>CNR TL B 1L USD Corp</t>
  </si>
  <si>
    <t>BL265852 Corp</t>
  </si>
  <si>
    <t>CNR REV 1L USD Corp</t>
  </si>
  <si>
    <t>BL481360 Corp</t>
  </si>
  <si>
    <t>1502052D US Equity</t>
  </si>
  <si>
    <t>QLIK TL B 1L USD Corp</t>
  </si>
  <si>
    <t>Qlik Parent Inc</t>
  </si>
  <si>
    <t>BL480631 Corp</t>
  </si>
  <si>
    <t>QLIK TL 2L USD Corp</t>
  </si>
  <si>
    <t>DJ105934 Corp</t>
  </si>
  <si>
    <t>TRUK US Equity</t>
  </si>
  <si>
    <t>TRUK 6 ¼ 07/31/31</t>
  </si>
  <si>
    <t>Realtruck Group Inc</t>
  </si>
  <si>
    <t>BN566018 Corp</t>
  </si>
  <si>
    <t>TRUK 6 ¼ 02/01/29</t>
  </si>
  <si>
    <t>BL566951 Corp</t>
  </si>
  <si>
    <t>TRUK TL SO-A 1L USD Corp</t>
  </si>
  <si>
    <t>BL566949 Corp</t>
  </si>
  <si>
    <t>TRUK TL FO 1L USD Corp</t>
  </si>
  <si>
    <t>BL566948 Corp</t>
  </si>
  <si>
    <t>TRUK TL SO-B 1L USD Corp</t>
  </si>
  <si>
    <t>BL442692 Corp</t>
  </si>
  <si>
    <t>TRUK TL 1L USD Corp</t>
  </si>
  <si>
    <t>BL354079 Corp</t>
  </si>
  <si>
    <t>TRUK TL B 1L USD Corp</t>
  </si>
  <si>
    <t>2561876D US Equity</t>
  </si>
  <si>
    <t>SLH TL 2L USD Corp</t>
  </si>
  <si>
    <t>Solera Corp</t>
  </si>
  <si>
    <t>BL362738 Corp</t>
  </si>
  <si>
    <t>BL362614 Corp</t>
  </si>
  <si>
    <t>SLH TL B 1L GBP Corp</t>
  </si>
  <si>
    <t>BL362613 Corp</t>
  </si>
  <si>
    <t>SLH TL B 1L EUR Corp</t>
  </si>
  <si>
    <t>BL362567 Corp</t>
  </si>
  <si>
    <t>SLH TL B 1L USD Corp</t>
  </si>
  <si>
    <t>EP035230 Pfd</t>
  </si>
  <si>
    <t>XRSC 4 PERP</t>
  </si>
  <si>
    <t>EP035226 Pfd</t>
  </si>
  <si>
    <t>EP035221 Pfd</t>
  </si>
  <si>
    <t>EP035143 Pfd</t>
  </si>
  <si>
    <t>ZO860846 Corp</t>
  </si>
  <si>
    <t>GTN US Equity</t>
  </si>
  <si>
    <t>GTN 4 ¾ 10/15/30</t>
  </si>
  <si>
    <t>Gray Media Inc</t>
  </si>
  <si>
    <t>YX231113 Corp</t>
  </si>
  <si>
    <t>GTN 10 ½ 07/15/29</t>
  </si>
  <si>
    <t>YM619872 Corp</t>
  </si>
  <si>
    <t>GTN 7 ¼ 08/15/33</t>
  </si>
  <si>
    <t>YM129635 Corp</t>
  </si>
  <si>
    <t>GTN 9 ⅝ 07/15/32</t>
  </si>
  <si>
    <t>BS116983 Corp</t>
  </si>
  <si>
    <t>GTN 5 ⅜ 11/15/31</t>
  </si>
  <si>
    <t>BL364070 Corp</t>
  </si>
  <si>
    <t>GTN TL D 1L USD Corp</t>
  </si>
  <si>
    <t>EP057911 Pfd</t>
  </si>
  <si>
    <t>GTN 8 PERP</t>
  </si>
  <si>
    <t>ZJ911284 Corp</t>
  </si>
  <si>
    <t>2906824Q US Equity</t>
  </si>
  <si>
    <t>BRANDI 10 ⅜ 08/01/30</t>
  </si>
  <si>
    <t>Brand Industrial Services Inc</t>
  </si>
  <si>
    <t>BL471209 Corp</t>
  </si>
  <si>
    <t>BRANDI REV EXT 1L USD Corp</t>
  </si>
  <si>
    <t>BL462835 Corp</t>
  </si>
  <si>
    <t>BRANDI TL C 1L USD Corp</t>
  </si>
  <si>
    <t>ZQ361205 Corp</t>
  </si>
  <si>
    <t>JBLU US Equity</t>
  </si>
  <si>
    <t>JBLU 2.95 05/15/28</t>
  </si>
  <si>
    <t>JetBlue Airways Corp</t>
  </si>
  <si>
    <t>ZQ361202 Corp</t>
  </si>
  <si>
    <t>JBLU 2 ¾ 05/15/32</t>
  </si>
  <si>
    <t>YV097727 Corp</t>
  </si>
  <si>
    <t>JBLU 9 ⅞ 09/20/31</t>
  </si>
  <si>
    <t>YV094836 Corp</t>
  </si>
  <si>
    <t>JBLU 2 ½ 09/01/29</t>
  </si>
  <si>
    <t>BK931630 Corp</t>
  </si>
  <si>
    <t>3rd Lien Secured</t>
  </si>
  <si>
    <t>JBLU 8 05/15/29</t>
  </si>
  <si>
    <t>BK767617 Corp</t>
  </si>
  <si>
    <t>JBLU 7 ¾ 11/15/28</t>
  </si>
  <si>
    <t>BK767616 Corp</t>
  </si>
  <si>
    <t>JBLU 4 11/15/32</t>
  </si>
  <si>
    <t>BL501115 Corp</t>
  </si>
  <si>
    <t>JBLU TL B 1L USD Corp</t>
  </si>
  <si>
    <t>BL448503 Corp</t>
  </si>
  <si>
    <t>JBLU TL 1L USD Corp</t>
  </si>
  <si>
    <t>Magic Acquireco Inc</t>
  </si>
  <si>
    <t>YK151558 Corp</t>
  </si>
  <si>
    <t>TROX US Equity</t>
  </si>
  <si>
    <t>Materials</t>
  </si>
  <si>
    <t>TROX 9 ⅛ 09/30/30</t>
  </si>
  <si>
    <t>Tronox Holdings PLC</t>
  </si>
  <si>
    <t>BO337624 Corp</t>
  </si>
  <si>
    <t>TROX 4 ⅝ 03/15/29</t>
  </si>
  <si>
    <t>BL485999 Corp</t>
  </si>
  <si>
    <t>TROX TL B2 1L USD Corp</t>
  </si>
  <si>
    <t>BL478110 Corp</t>
  </si>
  <si>
    <t>ZA</t>
  </si>
  <si>
    <t>TRPKZN TL CAPEX 1L ZAR Corp</t>
  </si>
  <si>
    <t>BL475867 Corp</t>
  </si>
  <si>
    <t>TROX TL B 1L USD Corp</t>
  </si>
  <si>
    <t>BL378930 Corp</t>
  </si>
  <si>
    <t>TRPKZN REV CAPEX 1L ZAR Corp</t>
  </si>
  <si>
    <t>BL358242 Corp</t>
  </si>
  <si>
    <t>TROX REV 1L USD Corp</t>
  </si>
  <si>
    <t>ADMI Corp</t>
  </si>
  <si>
    <t>ZD502329 Corp</t>
  </si>
  <si>
    <t>XRX US Equity</t>
  </si>
  <si>
    <t>XRX 3 ¾ 03/15/30</t>
  </si>
  <si>
    <t>Xerox Holdings Corp</t>
  </si>
  <si>
    <t>ZD461965 Corp</t>
  </si>
  <si>
    <t>XRX 8 ⅞ 11/30/29</t>
  </si>
  <si>
    <t>YQ726224 Corp</t>
  </si>
  <si>
    <t>XRX 13 ½ 04/15/31</t>
  </si>
  <si>
    <t>YQ726223 Corp</t>
  </si>
  <si>
    <t>XRX 10 ¼ 10/15/30</t>
  </si>
  <si>
    <t>YL326001 Corp</t>
  </si>
  <si>
    <t>STEP CPN</t>
  </si>
  <si>
    <t>XRX 13 07/01/30</t>
  </si>
  <si>
    <t>MM119532 Corp</t>
  </si>
  <si>
    <t>XRX 6 ¼ 11/15/26</t>
  </si>
  <si>
    <t>EK775871 Corp</t>
  </si>
  <si>
    <t>XRX 4.8 03/01/35</t>
  </si>
  <si>
    <t>EI067690 Corp</t>
  </si>
  <si>
    <t>XRX 6 ¾ 12/15/39</t>
  </si>
  <si>
    <t>EC063284 Corp</t>
  </si>
  <si>
    <t>XRX Float 11/04/38</t>
  </si>
  <si>
    <t>BK766850 Corp</t>
  </si>
  <si>
    <t>XRX 5 ½ 08/15/28</t>
  </si>
  <si>
    <t>BL446294 Corp</t>
  </si>
  <si>
    <t>XRX TL B 1L USD Corp</t>
  </si>
  <si>
    <t>ZL906894 Corp</t>
  </si>
  <si>
    <t>1990447D KY Equity</t>
  </si>
  <si>
    <t>LABL 9 ½ 11/01/28</t>
  </si>
  <si>
    <t>CD&amp;R Labels Holdings LP</t>
  </si>
  <si>
    <t>YU032258 Corp</t>
  </si>
  <si>
    <t>LABL 8 ⅝ 10/01/31</t>
  </si>
  <si>
    <t>DK715994 Corp</t>
  </si>
  <si>
    <t>LABL 8 ½ 05/11/33</t>
  </si>
  <si>
    <t>BS016260 Corp</t>
  </si>
  <si>
    <t>LABL 8 ¼ 11/01/29</t>
  </si>
  <si>
    <t>BS016259 Corp</t>
  </si>
  <si>
    <t>LABL 5 ⅞ 11/01/28</t>
  </si>
  <si>
    <t>AZ016899 Corp</t>
  </si>
  <si>
    <t>LABL 10 ½ 07/15/27</t>
  </si>
  <si>
    <t>BL568082 Corp</t>
  </si>
  <si>
    <t>LABL PIK-TERM EXIT 1L USD Corp</t>
  </si>
  <si>
    <t>BL568081 Corp</t>
  </si>
  <si>
    <t>LABL PIK-TERM EXIT 1L EUR Corp</t>
  </si>
  <si>
    <t>BL559579 Corp</t>
  </si>
  <si>
    <t>LABL TL DD 1L USD Corp</t>
  </si>
  <si>
    <t>DIP DELAY-DRAW TERM</t>
  </si>
  <si>
    <t>BL555174 Corp</t>
  </si>
  <si>
    <t>BL375463 Corp</t>
  </si>
  <si>
    <t>LABL TL B 1L EUR Corp</t>
  </si>
  <si>
    <t>BL375462 Corp</t>
  </si>
  <si>
    <t>LABL TL B 1L USD Corp</t>
  </si>
  <si>
    <t>BL375749 Corp</t>
  </si>
  <si>
    <t>3611790Z US Equity</t>
  </si>
  <si>
    <t>SYNCSO TL B 1L USD Corp</t>
  </si>
  <si>
    <t>Vision Solutions Inc</t>
  </si>
  <si>
    <t>BL369343 Corp</t>
  </si>
  <si>
    <t>SYNCSO TL B 2L USD Corp</t>
  </si>
  <si>
    <t>BL358084 Corp</t>
  </si>
  <si>
    <t>ZG121428 Corp</t>
  </si>
  <si>
    <t>GSY CN Equity</t>
  </si>
  <si>
    <t>Financials</t>
  </si>
  <si>
    <t>GSYCN 9 ¼ 12/01/28</t>
  </si>
  <si>
    <t>goeasy Ltd</t>
  </si>
  <si>
    <t>ZD182901 Corp</t>
  </si>
  <si>
    <t>GSYCN 7 ⅝ 07/01/29</t>
  </si>
  <si>
    <t>YU662526 Corp</t>
  </si>
  <si>
    <t>GSYCN 6 05/15/30</t>
  </si>
  <si>
    <t>YU662200 Corp</t>
  </si>
  <si>
    <t>GSYCN 6 ⅞ 05/15/30</t>
  </si>
  <si>
    <t>YQ721713 Corp</t>
  </si>
  <si>
    <t>GSYCN 7 ⅜ 10/01/30</t>
  </si>
  <si>
    <t>YL232784 Corp</t>
  </si>
  <si>
    <t>GSYCN 6 ⅞ 02/15/31</t>
  </si>
  <si>
    <t>BL263841 Corp</t>
  </si>
  <si>
    <t>GSYCN REV 1L CAD Corp</t>
  </si>
  <si>
    <t>BO352962 Corp</t>
  </si>
  <si>
    <t>CABO US Equity</t>
  </si>
  <si>
    <t>CABO 1 ⅛ 03/15/28</t>
  </si>
  <si>
    <t>Cable One Inc</t>
  </si>
  <si>
    <t>BM123056 Corp</t>
  </si>
  <si>
    <t>CABO 4 11/15/30</t>
  </si>
  <si>
    <t>BL421017 Corp</t>
  </si>
  <si>
    <t>CABO TL B2 1L USD Corp</t>
  </si>
  <si>
    <t>BL421016 Corp</t>
  </si>
  <si>
    <t>CABO TL B3 1L USD Corp</t>
  </si>
  <si>
    <t>BL361300 Corp</t>
  </si>
  <si>
    <t>CABO TL B4 1L USD Corp</t>
  </si>
  <si>
    <t>BL177097 Corp</t>
  </si>
  <si>
    <t>CABO REV 1L USD Corp</t>
  </si>
  <si>
    <t>ZH478777 Corp</t>
  </si>
  <si>
    <t>EIGI US Equity</t>
  </si>
  <si>
    <t>EIGI 11 ¾ 10/15/28</t>
  </si>
  <si>
    <t>Newfold Digital Holdings Group</t>
  </si>
  <si>
    <t>YH438249 Corp</t>
  </si>
  <si>
    <t>EIGI 11 ¾ 04/30/29</t>
  </si>
  <si>
    <t>YH430635 Corp</t>
  </si>
  <si>
    <t>DA247541 Corp</t>
  </si>
  <si>
    <t>DA247540 Corp</t>
  </si>
  <si>
    <t>BN724172 Corp</t>
  </si>
  <si>
    <t>EIGI 6 02/15/29</t>
  </si>
  <si>
    <t>BL540617 Corp</t>
  </si>
  <si>
    <t>EIGI TL UNSEC USD Corp</t>
  </si>
  <si>
    <t>BL537799 Corp</t>
  </si>
  <si>
    <t>EIGI TL A 1L USD Corp</t>
  </si>
  <si>
    <t>BL535843 Corp</t>
  </si>
  <si>
    <t>BL535842 Corp</t>
  </si>
  <si>
    <t>EIGI TL B 1L USD Corp</t>
  </si>
  <si>
    <t>BL354555 Corp</t>
  </si>
  <si>
    <t>EIGI REV 1L USD Corp</t>
  </si>
  <si>
    <t>ZS259785 Corp</t>
  </si>
  <si>
    <t>3344642Z AB Equity</t>
  </si>
  <si>
    <t>SA</t>
  </si>
  <si>
    <t>Government</t>
  </si>
  <si>
    <t>KSASUK 4.64 04/24/49</t>
  </si>
  <si>
    <t>Kingdom of Saudi Arabia</t>
  </si>
  <si>
    <t>ZR402609 Corp</t>
  </si>
  <si>
    <t>SARSTA 4.66 12/06/28</t>
  </si>
  <si>
    <t>ZQ256928 Corp</t>
  </si>
  <si>
    <t>KY</t>
  </si>
  <si>
    <t>KSA 2.969 10/29/29</t>
  </si>
  <si>
    <t>ZQ214884 Corp</t>
  </si>
  <si>
    <t>KSASUK 2.69 03/23/30</t>
  </si>
  <si>
    <t>ZP609287 Corp</t>
  </si>
  <si>
    <t>KSA 3 ¾ 01/21/55</t>
  </si>
  <si>
    <t>ZP609284 Corp</t>
  </si>
  <si>
    <t>KSA 2 ¾ 02/03/32</t>
  </si>
  <si>
    <t>ZP609281 Corp</t>
  </si>
  <si>
    <t>KSA 2 ½ 02/03/27</t>
  </si>
  <si>
    <t>ZP605500 Corp</t>
  </si>
  <si>
    <t>KSASUK 2.47 01/27/27</t>
  </si>
  <si>
    <t>ZM921137 Corp</t>
  </si>
  <si>
    <t>PIFKSA 5 ⅛ 02/14/53</t>
  </si>
  <si>
    <t>ZM921135 Corp</t>
  </si>
  <si>
    <t>PIFKSA 4 ⅞ 02/14/35</t>
  </si>
  <si>
    <t>ZM921134 Corp</t>
  </si>
  <si>
    <t>PIFKSA 4 ¾ 02/14/30</t>
  </si>
  <si>
    <t>ZM351401 Corp</t>
  </si>
  <si>
    <t>KSA 5 01/18/53</t>
  </si>
  <si>
    <t>ZM351400 Corp</t>
  </si>
  <si>
    <t>KSA 4 ⅞ 07/18/33</t>
  </si>
  <si>
    <t>ZM351399 Corp</t>
  </si>
  <si>
    <t>KSA 4 ¾ 01/18/28</t>
  </si>
  <si>
    <t>ZK903374 Corp</t>
  </si>
  <si>
    <t>SARSTA 4.3 05/28/33</t>
  </si>
  <si>
    <t>ZK649568 Corp</t>
  </si>
  <si>
    <t>KSA 4.511 05/22/33</t>
  </si>
  <si>
    <t>ZK649565 Corp</t>
  </si>
  <si>
    <t>KSA 4.274 05/22/29</t>
  </si>
  <si>
    <t>ZI398427 Corp</t>
  </si>
  <si>
    <t>KSASUK 4.69 08/17/38</t>
  </si>
  <si>
    <t>ZI398393 Corp</t>
  </si>
  <si>
    <t>KSASUK 4.6 08/17/33</t>
  </si>
  <si>
    <t>ZI398384 Corp</t>
  </si>
  <si>
    <t>KSASUK 4.57 08/17/32</t>
  </si>
  <si>
    <t>ZI398371 Corp</t>
  </si>
  <si>
    <t>KSASUK 4 ½ 08/17/31</t>
  </si>
  <si>
    <t>ZH575170 Corp</t>
  </si>
  <si>
    <t>PIFKSA 6 10/25/28</t>
  </si>
  <si>
    <t>ZH520725 Corp</t>
  </si>
  <si>
    <t>PIFKSA 6 ¼ 10/25/33</t>
  </si>
  <si>
    <t>ZG215809 Corp</t>
  </si>
  <si>
    <t>SARSTA 5.2 11/16/28</t>
  </si>
  <si>
    <t>ZG215532 Corp</t>
  </si>
  <si>
    <t>SARSTA 5.3 11/16/30</t>
  </si>
  <si>
    <t>ZF486828 Corp</t>
  </si>
  <si>
    <t>PIFKSA 5 ⅜ 01/29/54</t>
  </si>
  <si>
    <t>ZF486826 Corp</t>
  </si>
  <si>
    <t>PIFKSA 5 ¼ 01/29/34</t>
  </si>
  <si>
    <t>ZF486825 Corp</t>
  </si>
  <si>
    <t>PIFKSA 5 01/29/29</t>
  </si>
  <si>
    <t>ZF300328 Corp</t>
  </si>
  <si>
    <t>KSASUK 5.14 01/18/39</t>
  </si>
  <si>
    <t>ZF300256 Corp</t>
  </si>
  <si>
    <t>KSASUK 4.94 01/18/34</t>
  </si>
  <si>
    <t>ZF208225 Corp</t>
  </si>
  <si>
    <t>KSA 5 ¾ 01/16/54</t>
  </si>
  <si>
    <t>ZF208223 Corp</t>
  </si>
  <si>
    <t>KSA 5 01/16/34</t>
  </si>
  <si>
    <t>ZF208220 Corp</t>
  </si>
  <si>
    <t>KSA 4 ¾ 01/16/30</t>
  </si>
  <si>
    <t>ZD309435 Corp</t>
  </si>
  <si>
    <t>PIFKSA 5.171 03/05/31</t>
  </si>
  <si>
    <t>ZB540036 Corp</t>
  </si>
  <si>
    <t>KSASUK 5.4 04/25/31</t>
  </si>
  <si>
    <t>ZB540006 Corp</t>
  </si>
  <si>
    <t>KSASUK 5.59 04/25/36</t>
  </si>
  <si>
    <t>YX503338 Corp</t>
  </si>
  <si>
    <t>PIFKSA 5 ⅝ 06/11/39</t>
  </si>
  <si>
    <t>YX503337 Corp</t>
  </si>
  <si>
    <t>PIFKSA 5 ⅛ 06/11/29</t>
  </si>
  <si>
    <t>YX388649 Corp</t>
  </si>
  <si>
    <t>KSA 5 ¼ 06/04/34</t>
  </si>
  <si>
    <t>YX388648 Corp</t>
  </si>
  <si>
    <t>KSA 5 ¼ 06/04/30</t>
  </si>
  <si>
    <t>YX388647 Corp</t>
  </si>
  <si>
    <t>KSA 5 ¼ 06/04/27</t>
  </si>
  <si>
    <t>YX367541 Corp</t>
  </si>
  <si>
    <t>KSASUK Float 05/27/39</t>
  </si>
  <si>
    <t>YV557558 Corp</t>
  </si>
  <si>
    <t>PIFKSA 4 ⅜ 09/10/27</t>
  </si>
  <si>
    <t>YS876677 Corp</t>
  </si>
  <si>
    <t>PIFKSA 5 ⅝ 07/29/34</t>
  </si>
  <si>
    <t>YS876676 Corp</t>
  </si>
  <si>
    <t>PIFKSA 5 ¼ 01/29/30</t>
  </si>
  <si>
    <t>YS411825 Corp</t>
  </si>
  <si>
    <t>KSA 5 ⅝ 01/13/35</t>
  </si>
  <si>
    <t>YS411823 Corp</t>
  </si>
  <si>
    <t>KSA 5 ⅜ 01/13/31</t>
  </si>
  <si>
    <t>YS411820 Corp</t>
  </si>
  <si>
    <t>KSA 5 ⅛ 01/13/28</t>
  </si>
  <si>
    <t>YR797565 Corp</t>
  </si>
  <si>
    <t>KSA 3 ¾ 03/05/37</t>
  </si>
  <si>
    <t>YR797564 Corp</t>
  </si>
  <si>
    <t>KSA 3 ⅜ 03/05/32</t>
  </si>
  <si>
    <t>YR598064 Corp</t>
  </si>
  <si>
    <t>SRCSUK 5 ⅜ 02/27/35</t>
  </si>
  <si>
    <t>YR598060 Corp</t>
  </si>
  <si>
    <t>SRCSUK 5 02/27/28</t>
  </si>
  <si>
    <t>YQ987822 Corp</t>
  </si>
  <si>
    <t>LCID 5 04/01/30</t>
  </si>
  <si>
    <t>YO763060 Corp</t>
  </si>
  <si>
    <t>KSASUK Float 05/25/40</t>
  </si>
  <si>
    <t>YO763030 Corp</t>
  </si>
  <si>
    <t>KSASUK Float 05/25/35</t>
  </si>
  <si>
    <t>YO117956 Corp</t>
  </si>
  <si>
    <t>PIFKSA 4 ⅞ 05/08/32</t>
  </si>
  <si>
    <t>YL973406 Corp</t>
  </si>
  <si>
    <t>PIFKSA 5 09/15/35</t>
  </si>
  <si>
    <t>YL816136 Corp</t>
  </si>
  <si>
    <t>KSA 4 ⅞ 09/09/35</t>
  </si>
  <si>
    <t>YL816135 Corp</t>
  </si>
  <si>
    <t>KSA 4 ¼ 09/09/30</t>
  </si>
  <si>
    <t>YK791474 Corp</t>
  </si>
  <si>
    <t>PIFKSA 3 ⅜ 10/14/32</t>
  </si>
  <si>
    <t>YK791473 Corp</t>
  </si>
  <si>
    <t>PIFKSA 2 ¾ 10/14/28</t>
  </si>
  <si>
    <t>YK402542 Corp</t>
  </si>
  <si>
    <t>SRCSUK 4 ⅞ 10/02/35</t>
  </si>
  <si>
    <t>YK402541 Corp</t>
  </si>
  <si>
    <t>SRCSUK 4 ⅜ 04/02/29</t>
  </si>
  <si>
    <t>YI241947 Corp</t>
  </si>
  <si>
    <t>PIFKSA 5.133 01/28/36</t>
  </si>
  <si>
    <t>YI080099 Corp</t>
  </si>
  <si>
    <t>KSASUK 5.69 07/22/41</t>
  </si>
  <si>
    <t>QZ853233 Corp</t>
  </si>
  <si>
    <t>KSA 4 ½ 10/26/46</t>
  </si>
  <si>
    <t>QZ853230 Corp</t>
  </si>
  <si>
    <t>KSA 3 ¼ 10/26/26</t>
  </si>
  <si>
    <t>DK431762 Corp</t>
  </si>
  <si>
    <t>PIFKSA 6 ¼ 05/14/56</t>
  </si>
  <si>
    <t>DK431761 Corp</t>
  </si>
  <si>
    <t>PIFKSA 4 ⅞ 05/14/29</t>
  </si>
  <si>
    <t>DK431760 Corp</t>
  </si>
  <si>
    <t>PIFKSA 5 ¼ 05/14/33</t>
  </si>
  <si>
    <t>DC701675 Corp</t>
  </si>
  <si>
    <t>KSA 5 ⅞ 01/12/56</t>
  </si>
  <si>
    <t>DC701674 Corp</t>
  </si>
  <si>
    <t>KSA 4 ⅞ 01/12/36</t>
  </si>
  <si>
    <t>DC701673 Corp</t>
  </si>
  <si>
    <t>KSA 4 ⅜ 01/12/31</t>
  </si>
  <si>
    <t>DC701670 Corp</t>
  </si>
  <si>
    <t>KSA 4 ⅛ 01/12/29</t>
  </si>
  <si>
    <t>DA348427 Corp</t>
  </si>
  <si>
    <t>LCID 7 11/01/31</t>
  </si>
  <si>
    <t>DA069590 Corp</t>
  </si>
  <si>
    <t>AVILES 4 ¾ 11/12/30</t>
  </si>
  <si>
    <t>BZ808876 Corp</t>
  </si>
  <si>
    <t>KSA 5 ½ 10/25/32</t>
  </si>
  <si>
    <t>BZ808875 Corp</t>
  </si>
  <si>
    <t>KSA 5.268 10/25/28</t>
  </si>
  <si>
    <t>BZ539770 Corp</t>
  </si>
  <si>
    <t>PIFKSA 5 ⅜ 10/13/2122</t>
  </si>
  <si>
    <t>BZ343560 Corp</t>
  </si>
  <si>
    <t>PIFKSA 5 ¼ 10/13/32</t>
  </si>
  <si>
    <t>BZ343554 Corp</t>
  </si>
  <si>
    <t>PIFKSA 5 10/13/27</t>
  </si>
  <si>
    <t>BZ168973 Corp</t>
  </si>
  <si>
    <t>SARSTA 4.02 09/25/32</t>
  </si>
  <si>
    <t>BX289119 Corp</t>
  </si>
  <si>
    <t>KSASUK 4.3 06/23/34</t>
  </si>
  <si>
    <t>BX289118 Corp</t>
  </si>
  <si>
    <t>KSASUK 3.95 06/23/30</t>
  </si>
  <si>
    <t>BV790215 Corp</t>
  </si>
  <si>
    <t>SARSTA 3.53 04/06/30</t>
  </si>
  <si>
    <t>BV337531 Corp</t>
  </si>
  <si>
    <t>KSASUK 2.6 03/17/27</t>
  </si>
  <si>
    <t>BV336738 Corp</t>
  </si>
  <si>
    <t>KSASUK 2.7 03/17/29</t>
  </si>
  <si>
    <t>BV335981 Corp</t>
  </si>
  <si>
    <t>KSASUK 3.05 03/17/32</t>
  </si>
  <si>
    <t>BV333941 Corp</t>
  </si>
  <si>
    <t>KSASUK 3.35 03/17/37</t>
  </si>
  <si>
    <t>BT560194 Corp</t>
  </si>
  <si>
    <t>KSASUK 3.12 01/20/34</t>
  </si>
  <si>
    <t>BT560193 Corp</t>
  </si>
  <si>
    <t>KSASUK 2.77 01/20/30</t>
  </si>
  <si>
    <t>BT012258 Corp</t>
  </si>
  <si>
    <t>SARSTA 3.04 12/09/31</t>
  </si>
  <si>
    <t>BS959314 Corp</t>
  </si>
  <si>
    <t>LCID 1 ¼ 12/15/26</t>
  </si>
  <si>
    <t>BS377685 Corp</t>
  </si>
  <si>
    <t>KSA 3 ¼ 11/17/51</t>
  </si>
  <si>
    <t>BS377683 Corp</t>
  </si>
  <si>
    <t>KSA 2 ¼ 05/17/31</t>
  </si>
  <si>
    <t>BS314246 Corp</t>
  </si>
  <si>
    <t>KSASUK 3 ½ 11/04/36</t>
  </si>
  <si>
    <t>BS314200 Corp</t>
  </si>
  <si>
    <t>KSASUK 3.2 11/04/33</t>
  </si>
  <si>
    <t>BS314121 Corp</t>
  </si>
  <si>
    <t>KSASUK 2.99 11/04/31</t>
  </si>
  <si>
    <t>BS314093 Corp</t>
  </si>
  <si>
    <t>KSASUK 2.6 01/04/29</t>
  </si>
  <si>
    <t>BR033185 Corp</t>
  </si>
  <si>
    <t>KSASUK 2.43 08/19/29</t>
  </si>
  <si>
    <t>BR033184 Corp</t>
  </si>
  <si>
    <t>KSASUK 3.21 08/19/36</t>
  </si>
  <si>
    <t>BQ021481 Corp</t>
  </si>
  <si>
    <t>KSASUK 2.6 06/17/31</t>
  </si>
  <si>
    <t>BO578667 Corp</t>
  </si>
  <si>
    <t>KSASUK 2.8 03/18/31</t>
  </si>
  <si>
    <t>BO485222 Corp</t>
  </si>
  <si>
    <t>SARSTA 2.65 03/03/31</t>
  </si>
  <si>
    <t>BO484136 Corp</t>
  </si>
  <si>
    <t>SARSTA 2.11 03/03/28</t>
  </si>
  <si>
    <t>BO249246 Corp</t>
  </si>
  <si>
    <t>KSA 0 ⅝ 03/03/30</t>
  </si>
  <si>
    <t>BN744368 Corp</t>
  </si>
  <si>
    <t>KSA 3.45 02/02/61</t>
  </si>
  <si>
    <t>BN744311 Corp</t>
  </si>
  <si>
    <t>KSA 2 ¼ 02/02/33</t>
  </si>
  <si>
    <t>BN585999 Corp</t>
  </si>
  <si>
    <t>KSASUK 2.55 01/21/33</t>
  </si>
  <si>
    <t>BN582659 Corp</t>
  </si>
  <si>
    <t>KSASUK 1.97 01/21/28</t>
  </si>
  <si>
    <t>BK666008 Corp</t>
  </si>
  <si>
    <t>KSASUK 3.1 07/26/35</t>
  </si>
  <si>
    <t>BK665967 Corp</t>
  </si>
  <si>
    <t>KSASUK 2.89 07/26/32</t>
  </si>
  <si>
    <t>BK665924 Corp</t>
  </si>
  <si>
    <t>KSASUK 2.29 07/26/28</t>
  </si>
  <si>
    <t>BK589670 Corp</t>
  </si>
  <si>
    <t>KSASUK 1.73 07/27/27</t>
  </si>
  <si>
    <t>BH829642 Corp</t>
  </si>
  <si>
    <t>KSA 3 ¼ 10/22/30</t>
  </si>
  <si>
    <t>BH829620 Corp</t>
  </si>
  <si>
    <t>KSA 4 ½ 04/22/60</t>
  </si>
  <si>
    <t>BH322022 Corp</t>
  </si>
  <si>
    <t>KSASUK 3.68 03/30/50</t>
  </si>
  <si>
    <t>BG143361 Corp</t>
  </si>
  <si>
    <t>KSASUK 3 02/24/35</t>
  </si>
  <si>
    <t>AZ461252 Corp</t>
  </si>
  <si>
    <t>KSA 2 07/09/39</t>
  </si>
  <si>
    <t>AZ461250 Corp</t>
  </si>
  <si>
    <t>KSA 0 ¾ 07/09/27</t>
  </si>
  <si>
    <t>AX846092 Corp</t>
  </si>
  <si>
    <t>KSASUK 4.01 03/27/34</t>
  </si>
  <si>
    <t>AX128331 Corp</t>
  </si>
  <si>
    <t>KSASUK 4.1 02/20/31</t>
  </si>
  <si>
    <t>AW746989 Corp</t>
  </si>
  <si>
    <t>KSASUK 3.9 01/23/29</t>
  </si>
  <si>
    <t>AW599767 Corp</t>
  </si>
  <si>
    <t>KSA 4 ⅜ 04/16/29</t>
  </si>
  <si>
    <t>AW599765 Corp</t>
  </si>
  <si>
    <t>KSA 5 ¼ 01/16/50</t>
  </si>
  <si>
    <t>AV169594 Corp</t>
  </si>
  <si>
    <t>KSASUK 4.06 10/24/28</t>
  </si>
  <si>
    <t>AU498014 Corp</t>
  </si>
  <si>
    <t>KSA 4.303 01/19/29</t>
  </si>
  <si>
    <t>AT696517 Corp</t>
  </si>
  <si>
    <t>KSASUK 3.8 07/25/28</t>
  </si>
  <si>
    <t>AS408516 Corp</t>
  </si>
  <si>
    <t>KSASUK 3 ¾ 04/25/28</t>
  </si>
  <si>
    <t>AS160956 Corp</t>
  </si>
  <si>
    <t>KSA 5 04/17/49</t>
  </si>
  <si>
    <t>AS160922 Corp</t>
  </si>
  <si>
    <t>KSA 4 ½ 04/17/30</t>
  </si>
  <si>
    <t>AS139731 Corp</t>
  </si>
  <si>
    <t>SGFRM Float 07/26/26</t>
  </si>
  <si>
    <t>AS114231 Corp</t>
  </si>
  <si>
    <t>SGFRM Float 08/23/26</t>
  </si>
  <si>
    <t>AS099853 Corp</t>
  </si>
  <si>
    <t>SGFRN Float 07/26/26</t>
  </si>
  <si>
    <t>AS097143 Corp</t>
  </si>
  <si>
    <t>SGFRN Float 08/23/26</t>
  </si>
  <si>
    <t>AS007906 Corp</t>
  </si>
  <si>
    <t>SGFRN Float 09/27/26</t>
  </si>
  <si>
    <t>AQ926206 Corp</t>
  </si>
  <si>
    <t>KSASUK 3.85 01/24/28</t>
  </si>
  <si>
    <t>AP727238 Corp</t>
  </si>
  <si>
    <t>KSASUK 3.65 10/25/27</t>
  </si>
  <si>
    <t>AP285925 Corp</t>
  </si>
  <si>
    <t>KSA 4 ⅝ 10/04/47</t>
  </si>
  <si>
    <t>AP285907 Corp</t>
  </si>
  <si>
    <t>KSA 3 ⅝ 03/04/28</t>
  </si>
  <si>
    <t>AP285098 Corp</t>
  </si>
  <si>
    <t>KSASUK 3.45 09/20/27</t>
  </si>
  <si>
    <t>AO951492 Corp</t>
  </si>
  <si>
    <t>KSASUK 3 ½ 08/23/27</t>
  </si>
  <si>
    <t>AO534193 Corp</t>
  </si>
  <si>
    <t>KSASUK 3.55 07/26/27</t>
  </si>
  <si>
    <t>AN246363 Corp</t>
  </si>
  <si>
    <t>KSA 3.628 04/20/27</t>
  </si>
  <si>
    <t>BL497974 Corp</t>
  </si>
  <si>
    <t>PIFKSA TL GUAR USD Corp</t>
  </si>
  <si>
    <t>ISLAMIC TERM</t>
  </si>
  <si>
    <t>BL493113 Corp</t>
  </si>
  <si>
    <t>BL473898 Corp</t>
  </si>
  <si>
    <t>LCID TL DD GUAR USD Corp</t>
  </si>
  <si>
    <t>BL458155 Corp</t>
  </si>
  <si>
    <t>SITLGP TL UNSEC SAR Corp</t>
  </si>
  <si>
    <t>BL451013 Corp</t>
  </si>
  <si>
    <t>QIINNT TL 1L USD Corp</t>
  </si>
  <si>
    <t>BL448468 Corp</t>
  </si>
  <si>
    <t>PIFKSA TL 1L USD Corp</t>
  </si>
  <si>
    <t>BL442451 Corp</t>
  </si>
  <si>
    <t>KSA TL UNSEC USD Corp</t>
  </si>
  <si>
    <t>BL441728 Corp</t>
  </si>
  <si>
    <t>TETOCO TL UNSEC USD Corp</t>
  </si>
  <si>
    <t>BL429851 Corp</t>
  </si>
  <si>
    <t>AVILEA TL UNSEC USD Corp</t>
  </si>
  <si>
    <t>BL406543 Corp</t>
  </si>
  <si>
    <t>BL400640 Corp</t>
  </si>
  <si>
    <t>KSAMOF TL UNSEC SAR Corp</t>
  </si>
  <si>
    <t>BL354068 Corp</t>
  </si>
  <si>
    <t>KSAMOF TL UNSEC USD Corp</t>
  </si>
  <si>
    <t>BL346925 Corp</t>
  </si>
  <si>
    <t>KSAMOF TL GUAR USD Corp</t>
  </si>
  <si>
    <t>BL290737 Corp</t>
  </si>
  <si>
    <t>GB</t>
  </si>
  <si>
    <t>ROFOHO TL C UNSEC GBP Corp</t>
  </si>
  <si>
    <t>BL290736 Corp</t>
  </si>
  <si>
    <t>ROFOHO TL B UNSEC GBP Corp</t>
  </si>
  <si>
    <t>BL290734 Corp</t>
  </si>
  <si>
    <t>ROFOHO TL B UNSEC EUR Corp</t>
  </si>
  <si>
    <t>BL290733 Corp</t>
  </si>
  <si>
    <t>ROFOHO TL A UNSEC EUR Corp</t>
  </si>
  <si>
    <t>BL290732 Corp</t>
  </si>
  <si>
    <t>ROFOHO TL A UNSEC GBP Corp</t>
  </si>
  <si>
    <t>YM492256 Corp</t>
  </si>
  <si>
    <t>1822748D US Equity</t>
  </si>
  <si>
    <t>PDCO 8 ¾ 04/17/32</t>
  </si>
  <si>
    <t>Patient Square Capital LP</t>
  </si>
  <si>
    <t>BL488456 Corp</t>
  </si>
  <si>
    <t>PDCO TL B 1L USD Corp</t>
  </si>
  <si>
    <t>ZD466569 Corp</t>
  </si>
  <si>
    <t>SABR US Equity</t>
  </si>
  <si>
    <t>SABHLD 7.32 08/01/26</t>
  </si>
  <si>
    <t>Sabre Corp</t>
  </si>
  <si>
    <t>YT403411 Corp</t>
  </si>
  <si>
    <t>SABHLD 10 ¾ 11/15/29</t>
  </si>
  <si>
    <t>YO680747 Corp</t>
  </si>
  <si>
    <t>SABHLD 11 ⅛ 07/15/30</t>
  </si>
  <si>
    <t>DK754920 Corp</t>
  </si>
  <si>
    <t>SABHLD 7 05/15/31</t>
  </si>
  <si>
    <t>DC205177 Corp</t>
  </si>
  <si>
    <t>SABHLD 10 ¾ 03/15/30</t>
  </si>
  <si>
    <t>DA692822 Corp</t>
  </si>
  <si>
    <t>SABHLD 11 ⅛ 06/15/29</t>
  </si>
  <si>
    <t>BL535908 Corp</t>
  </si>
  <si>
    <t>SABHLD TL B2 1L USD Corp</t>
  </si>
  <si>
    <t>BL532465 Corp</t>
  </si>
  <si>
    <t>SABHLD TL B1 1L USD Corp</t>
  </si>
  <si>
    <t>BL482441 Corp</t>
  </si>
  <si>
    <t>BL482440 Corp</t>
  </si>
  <si>
    <t>BL463156 Corp</t>
  </si>
  <si>
    <t>SABSEC TL FILO 1L USD Corp</t>
  </si>
  <si>
    <t>BL428850 Corp</t>
  </si>
  <si>
    <t>SABSEC REV 1L USD Corp</t>
  </si>
  <si>
    <t>ASSET-BASED REV</t>
  </si>
  <si>
    <t>BL502422 Corp</t>
  </si>
  <si>
    <t>2555735D US Equity</t>
  </si>
  <si>
    <t>SWI TL 2L USD Corp</t>
  </si>
  <si>
    <t>Starlight Parent LLC</t>
  </si>
  <si>
    <t>BL502412 Corp</t>
  </si>
  <si>
    <t>SWI TL 1L USD Corp</t>
  </si>
  <si>
    <t>BV813466 Corp</t>
  </si>
  <si>
    <t>2019025D US Equity</t>
  </si>
  <si>
    <t>OBEBLD 9 ½ 04/15/30</t>
  </si>
  <si>
    <t>Oscar Acquisitionco LLC</t>
  </si>
  <si>
    <t>BL468437 Corp</t>
  </si>
  <si>
    <t>OBEBLD TL B 1L USD Corp</t>
  </si>
  <si>
    <t>ZQ731371 Corp</t>
  </si>
  <si>
    <t>MPT US Equity</t>
  </si>
  <si>
    <t>MPW 3.692 06/05/28</t>
  </si>
  <si>
    <t>Medical Properties Trust Inc</t>
  </si>
  <si>
    <t>YR090242 Corp</t>
  </si>
  <si>
    <t>MPW 7 02/15/32</t>
  </si>
  <si>
    <t>YR087706 Corp</t>
  </si>
  <si>
    <t>MPW 8 ½ 02/15/32</t>
  </si>
  <si>
    <t>BR578622 Corp</t>
  </si>
  <si>
    <t>MPW 0.993 10/15/26</t>
  </si>
  <si>
    <t>BO634002 Corp</t>
  </si>
  <si>
    <t>MPW 3 ⅜ 04/24/30</t>
  </si>
  <si>
    <t>BM664362 Corp</t>
  </si>
  <si>
    <t>MPW 3 ½ 03/15/31</t>
  </si>
  <si>
    <t>AZ699099 Corp</t>
  </si>
  <si>
    <t>MPW 4 ⅝ 08/01/29</t>
  </si>
  <si>
    <t>AP063983 Corp</t>
  </si>
  <si>
    <t>MPW 5 10/15/27</t>
  </si>
  <si>
    <t>BL568903 Corp</t>
  </si>
  <si>
    <t>MPW TL 1L EUR Corp</t>
  </si>
  <si>
    <t>BL473043 Corp</t>
  </si>
  <si>
    <t>MPW TL 1L GBP Corp</t>
  </si>
  <si>
    <t>BL472103 Corp</t>
  </si>
  <si>
    <t>MPTUTP TL 1L USD Corp</t>
  </si>
  <si>
    <t>BL400649 Corp</t>
  </si>
  <si>
    <t>MPW TL A GUAR USD Corp</t>
  </si>
  <si>
    <t>YN786352 Corp</t>
  </si>
  <si>
    <t>1846161D US Equity</t>
  </si>
  <si>
    <t>AMBATH 9 ¾ 07/15/30</t>
  </si>
  <si>
    <t>CP Atlas Buyer Inc</t>
  </si>
  <si>
    <t>YM274539 Corp</t>
  </si>
  <si>
    <t>AMBATH 12 ¾ 01/15/31</t>
  </si>
  <si>
    <t>BM605650 Corp</t>
  </si>
  <si>
    <t>AMBATH 7 12/01/28</t>
  </si>
  <si>
    <t>BL514710 Corp</t>
  </si>
  <si>
    <t>AMBATH TL B 1L USD Corp</t>
  </si>
  <si>
    <t>Cloudera Inc</t>
  </si>
  <si>
    <t>DG252726 Corp</t>
  </si>
  <si>
    <t>3567235Z CN Equity</t>
  </si>
  <si>
    <t>NEWARC 9 ¾ 03/01/33</t>
  </si>
  <si>
    <t>Arclin Inc</t>
  </si>
  <si>
    <t>BL558291 Corp</t>
  </si>
  <si>
    <t>NEWARC TL A 1L USD Corp</t>
  </si>
  <si>
    <t>BL555774 Corp</t>
  </si>
  <si>
    <t>NEWARC TL B 1L USD Corp</t>
  </si>
  <si>
    <t>BL370288 Corp</t>
  </si>
  <si>
    <t>NEWARC TL 2L USD Corp</t>
  </si>
  <si>
    <t>ZQ691388 Corp</t>
  </si>
  <si>
    <t>SBGI US Equity</t>
  </si>
  <si>
    <t>SBGI 5 ½ 03/01/30</t>
  </si>
  <si>
    <t>Sinclair Inc</t>
  </si>
  <si>
    <t>YS728027 Corp</t>
  </si>
  <si>
    <t>SBGI 9 ¾ 02/15/33</t>
  </si>
  <si>
    <t>YR430204 Corp</t>
  </si>
  <si>
    <t>SBGI 4 ⅜ 12/31/32</t>
  </si>
  <si>
    <t>YR009268 Corp</t>
  </si>
  <si>
    <t>SBGI 8 ⅛ 02/15/33</t>
  </si>
  <si>
    <t>BM662133 Corp</t>
  </si>
  <si>
    <t>SBGI 4 ⅛ 12/01/30</t>
  </si>
  <si>
    <t>BL499031 Corp</t>
  </si>
  <si>
    <t>SBGI TL B6 1L USD Corp</t>
  </si>
  <si>
    <t>BL499030 Corp</t>
  </si>
  <si>
    <t>SBGI TL B7 1L USD Corp</t>
  </si>
  <si>
    <t>BL358017 Corp</t>
  </si>
  <si>
    <t>SBGI TL B3 1L USD Corp</t>
  </si>
  <si>
    <t>ZR831272 Corp</t>
  </si>
  <si>
    <t>TSAT CN Equity</t>
  </si>
  <si>
    <t>TELSAT 6 ½ 10/15/27</t>
  </si>
  <si>
    <t>Telesat Corp</t>
  </si>
  <si>
    <t>ZQ674011 Corp</t>
  </si>
  <si>
    <t>TELSAT 4 ⅞ 06/01/27</t>
  </si>
  <si>
    <t>BP074751 Corp</t>
  </si>
  <si>
    <t>TELSAT 5 ⅝ 12/06/26</t>
  </si>
  <si>
    <t>BL321912 Corp</t>
  </si>
  <si>
    <t>TELSAT TL B5 1L USD Corp</t>
  </si>
  <si>
    <t>ZQ966000 Corp</t>
  </si>
  <si>
    <t>IEP US Equity</t>
  </si>
  <si>
    <t>IEP 5 ¼ 05/15/27</t>
  </si>
  <si>
    <t>Icahn Enterprises LP</t>
  </si>
  <si>
    <t>ZP332848 Corp</t>
  </si>
  <si>
    <t>CVI 5 ¾ 02/15/28</t>
  </si>
  <si>
    <t>ZG724986 Corp</t>
  </si>
  <si>
    <t>IEP 9 ¾ 01/15/29</t>
  </si>
  <si>
    <t>YX076979 Corp</t>
  </si>
  <si>
    <t>IEP 9 06/15/30</t>
  </si>
  <si>
    <t>YV615842 Corp</t>
  </si>
  <si>
    <t>YV615837 Corp</t>
  </si>
  <si>
    <t>YT233207 Corp</t>
  </si>
  <si>
    <t>IEP 10 11/15/29</t>
  </si>
  <si>
    <t>YI544487 Corp</t>
  </si>
  <si>
    <t>CVI 7 ⅞ 02/15/34</t>
  </si>
  <si>
    <t>YI544479 Corp</t>
  </si>
  <si>
    <t>CVI 7 ½ 02/15/31</t>
  </si>
  <si>
    <t>EJ680021 Corp</t>
  </si>
  <si>
    <t>VVUS 4 ½ 05/01/20</t>
  </si>
  <si>
    <t>BP951342 Corp</t>
  </si>
  <si>
    <t>IEP 4 ⅜ 02/01/29</t>
  </si>
  <si>
    <t>BN303176 Corp</t>
  </si>
  <si>
    <t>BG089824 Corp</t>
  </si>
  <si>
    <t>ZS539067 Corp</t>
  </si>
  <si>
    <t>1828288D LN Equity</t>
  </si>
  <si>
    <t>VMED 5 ¼ 05/15/29</t>
  </si>
  <si>
    <t>Vmed O2 UK Ltd</t>
  </si>
  <si>
    <t>ZS539065 Corp</t>
  </si>
  <si>
    <t>VMED 5 ½ 05/15/29</t>
  </si>
  <si>
    <t>ZR870724 Corp</t>
  </si>
  <si>
    <t>VMED 4 ¼ 01/15/30</t>
  </si>
  <si>
    <t>ZO423912 Corp</t>
  </si>
  <si>
    <t>VMED 4 ¼ 01/31/31</t>
  </si>
  <si>
    <t>ZO388624 Corp</t>
  </si>
  <si>
    <t>VMED 3 ¼ 01/31/31</t>
  </si>
  <si>
    <t>ZO388622 Corp</t>
  </si>
  <si>
    <t>VMED 4 01/31/29</t>
  </si>
  <si>
    <t>ZB048719 Corp</t>
  </si>
  <si>
    <t>VMED 7 ¾ 04/15/32</t>
  </si>
  <si>
    <t>ZB000700 Corp</t>
  </si>
  <si>
    <t>VMED 5 ⅝ 04/15/32</t>
  </si>
  <si>
    <t>YT913344 Corp</t>
  </si>
  <si>
    <t>IE</t>
  </si>
  <si>
    <t>VMED 7 ⅞ 03/15/32</t>
  </si>
  <si>
    <t>YK815510 Corp</t>
  </si>
  <si>
    <t>VMED 6 ¾ 01/15/33</t>
  </si>
  <si>
    <t>YI418097 Corp</t>
  </si>
  <si>
    <t>VMED 8 ⅞ 07/15/33</t>
  </si>
  <si>
    <t>YI400516 Corp</t>
  </si>
  <si>
    <t>VMED 7 ½ 07/15/33</t>
  </si>
  <si>
    <t>DC974298 Corp</t>
  </si>
  <si>
    <t>VMED 8 ½ 03/15/33</t>
  </si>
  <si>
    <t>BQ181298 Corp</t>
  </si>
  <si>
    <t>VMED 4 ½ 07/15/31</t>
  </si>
  <si>
    <t>BQ181285 Corp</t>
  </si>
  <si>
    <t>VMED 4 ¾ 07/15/31</t>
  </si>
  <si>
    <t>BK131082 Corp</t>
  </si>
  <si>
    <t>VMED 4 ½ 08/15/30</t>
  </si>
  <si>
    <t>BK120206 Corp</t>
  </si>
  <si>
    <t>VMED 4 ⅛ 08/15/30</t>
  </si>
  <si>
    <t>BJ923646 Corp</t>
  </si>
  <si>
    <t>VMED 3 ¾ 07/15/30</t>
  </si>
  <si>
    <t>BJ808779 Corp</t>
  </si>
  <si>
    <t>VMED 5 07/15/30</t>
  </si>
  <si>
    <t>BL557390 Corp</t>
  </si>
  <si>
    <t>VMED TL AA 1L EUR Corp</t>
  </si>
  <si>
    <t>BL557388 Corp</t>
  </si>
  <si>
    <t>VMED TL AB 1L USD Corp</t>
  </si>
  <si>
    <t>BL557368 Corp</t>
  </si>
  <si>
    <t>VMED TL S 1L GBP Corp</t>
  </si>
  <si>
    <t>BL557367 Corp</t>
  </si>
  <si>
    <t>VMED TL T 1L EUR Corp</t>
  </si>
  <si>
    <t>BL557366 Corp</t>
  </si>
  <si>
    <t>VMED TL U 1L USD Corp</t>
  </si>
  <si>
    <t>BL557364 Corp</t>
  </si>
  <si>
    <t>VMED TL V 1L GBP Corp</t>
  </si>
  <si>
    <t>BL557363 Corp</t>
  </si>
  <si>
    <t>VMED TL W 1L USD Corp</t>
  </si>
  <si>
    <t>BL547270 Corp</t>
  </si>
  <si>
    <t>VMED TL AF 1L EUR Corp</t>
  </si>
  <si>
    <t>BL536016 Corp</t>
  </si>
  <si>
    <t>VMED TL AC1 1L GBP Corp</t>
  </si>
  <si>
    <t>BL536015 Corp</t>
  </si>
  <si>
    <t>VMED TL AC2 1L GBP Corp</t>
  </si>
  <si>
    <t>BL535447 Corp</t>
  </si>
  <si>
    <t>VMED TL AE 1L EUR Corp</t>
  </si>
  <si>
    <t>BL524800 Corp</t>
  </si>
  <si>
    <t>VMED TL 1L GBP Corp</t>
  </si>
  <si>
    <t>BL524799 Corp</t>
  </si>
  <si>
    <t>BL420829 Corp</t>
  </si>
  <si>
    <t>VMED TL Y 1L USD Corp</t>
  </si>
  <si>
    <t>BL344308 Corp</t>
  </si>
  <si>
    <t>VMED TL Q 1L USD Corp</t>
  </si>
  <si>
    <t>BL505932 Corp</t>
  </si>
  <si>
    <t>1885525D US Equity</t>
  </si>
  <si>
    <t>PAY TL 1L USD Corp</t>
  </si>
  <si>
    <t>VeriFone Systems Inc</t>
  </si>
  <si>
    <t>ZS463498 Corp</t>
  </si>
  <si>
    <t>IHRT US Equity</t>
  </si>
  <si>
    <t>IHRT 8 ⅜ 05/01/27</t>
  </si>
  <si>
    <t>iHeartMedia Inc</t>
  </si>
  <si>
    <t>ZQ669510 Corp</t>
  </si>
  <si>
    <t>IHRT 4 ¾ 01/15/28</t>
  </si>
  <si>
    <t>YS250842 Corp</t>
  </si>
  <si>
    <t>IHRT 7 01/15/31</t>
  </si>
  <si>
    <t>YS249469 Corp</t>
  </si>
  <si>
    <t>IHRT 7 ¾ 08/15/30</t>
  </si>
  <si>
    <t>YS247918 Corp</t>
  </si>
  <si>
    <t>IHRT 9 ⅛ 05/01/29</t>
  </si>
  <si>
    <t>YS241960 Corp</t>
  </si>
  <si>
    <t>IHRT 10 ⅞ 05/01/30</t>
  </si>
  <si>
    <t>AZ909225 Corp</t>
  </si>
  <si>
    <t>IHRT 5 ¼ 08/15/27</t>
  </si>
  <si>
    <t>BL551030 Corp</t>
  </si>
  <si>
    <t>NL</t>
  </si>
  <si>
    <t>Consumer Staples</t>
  </si>
  <si>
    <t>IHRT TL 1L USD Corp</t>
  </si>
  <si>
    <t>BL491275 Corp</t>
  </si>
  <si>
    <t>BL393298 Corp</t>
  </si>
  <si>
    <t>IHRT REV 1L USD Corp</t>
  </si>
  <si>
    <t>BL498585 Corp</t>
  </si>
  <si>
    <t>ALIT US Equity</t>
  </si>
  <si>
    <t>TEACLL TL B1 1L USD Corp</t>
  </si>
  <si>
    <t>Alight Inc</t>
  </si>
  <si>
    <t>Renaissance Holdings Corp</t>
  </si>
  <si>
    <t>Skopima Consilio Parent LLC</t>
  </si>
  <si>
    <t>Acrisure LLC</t>
  </si>
  <si>
    <t>Jr Subordinated Unsecured</t>
  </si>
  <si>
    <t>VARIABLE</t>
  </si>
  <si>
    <t>COUPON_RATE</t>
  </si>
  <si>
    <t>COUPON_TYPE</t>
  </si>
  <si>
    <t>PAYMENT_IN_KIND_COUPON</t>
  </si>
  <si>
    <t>ISS_CURRENCY</t>
  </si>
  <si>
    <t>SERIES</t>
  </si>
  <si>
    <t>USD</t>
  </si>
  <si>
    <t>144A</t>
  </si>
  <si>
    <t>144a</t>
  </si>
  <si>
    <t>EUR</t>
  </si>
  <si>
    <t>REGS</t>
  </si>
  <si>
    <t>144@</t>
  </si>
  <si>
    <t>MTNB</t>
  </si>
  <si>
    <t>CAD</t>
  </si>
  <si>
    <t>A</t>
  </si>
  <si>
    <t>GBP</t>
  </si>
  <si>
    <t>F</t>
  </si>
  <si>
    <t>D</t>
  </si>
  <si>
    <t>C</t>
  </si>
  <si>
    <t>B</t>
  </si>
  <si>
    <t>MTND</t>
  </si>
  <si>
    <t>MTNE</t>
  </si>
  <si>
    <t>1B</t>
  </si>
  <si>
    <t>1A</t>
  </si>
  <si>
    <t>ZAR</t>
  </si>
  <si>
    <t>SAR</t>
  </si>
  <si>
    <t>DMTN</t>
  </si>
  <si>
    <t>EMTN</t>
  </si>
  <si>
    <t>EMTn</t>
  </si>
  <si>
    <t>DMTn</t>
  </si>
  <si>
    <t>REGs</t>
  </si>
  <si>
    <t>BL486487 Corp</t>
  </si>
  <si>
    <t>NFE REV EXT 1L USD Corp</t>
  </si>
  <si>
    <t>BL520121 Corp</t>
  </si>
  <si>
    <t>1220370D US Equity</t>
  </si>
  <si>
    <t>RLRN TL 1L USD Corp</t>
  </si>
  <si>
    <t>BL484318 Corp</t>
  </si>
  <si>
    <t>RLRN TL B 1L USD Corp</t>
  </si>
  <si>
    <t>BL487828 Corp</t>
  </si>
  <si>
    <t>1896629D US Equity</t>
  </si>
  <si>
    <t>ADVDIS TL 1L USD Corp</t>
  </si>
  <si>
    <t>BL481860 Corp</t>
  </si>
  <si>
    <t>ZF376477 Corp</t>
  </si>
  <si>
    <t>0404683D US Equity</t>
  </si>
  <si>
    <t>ACRISU 8 ¼ 02/01/29</t>
  </si>
  <si>
    <t>YX506208 Corp</t>
  </si>
  <si>
    <t>ACRISU 8 ½ 06/15/29</t>
  </si>
  <si>
    <t>YX506207 Corp</t>
  </si>
  <si>
    <t>ACRISU 7 ½ 11/06/30</t>
  </si>
  <si>
    <t>YN174324 Corp</t>
  </si>
  <si>
    <t>ACRISU 6 ¾ 07/01/32</t>
  </si>
  <si>
    <t>BQ726694 Corp</t>
  </si>
  <si>
    <t>ACRISU 6 08/01/29</t>
  </si>
  <si>
    <t>BN832333 Corp</t>
  </si>
  <si>
    <t>ACRISU 4 ¼ 02/15/29</t>
  </si>
  <si>
    <t>BL519887 Corp</t>
  </si>
  <si>
    <t>ACRISU TL 1L USD Corp</t>
  </si>
  <si>
    <t>BL511765 Corp</t>
  </si>
  <si>
    <t>ACRISU TL B 1L USD Corp</t>
  </si>
  <si>
    <t>BL487190 Corp</t>
  </si>
  <si>
    <t>ACRISU TL B6 1L USD Corp</t>
  </si>
  <si>
    <t>BL172433 Corp</t>
  </si>
  <si>
    <t>ACRISU REV 1L USD Corp</t>
  </si>
  <si>
    <t>YX961438 Corp</t>
  </si>
  <si>
    <t>1429527D US Equity</t>
  </si>
  <si>
    <t>KIKCN 10 ¾ 06/30/32</t>
  </si>
  <si>
    <t>Kronos Acquisition Parent LP</t>
  </si>
  <si>
    <t>YX961436 Corp</t>
  </si>
  <si>
    <t>KIKCN 8 ¼ 06/30/31</t>
  </si>
  <si>
    <t>BL469127 Corp</t>
  </si>
  <si>
    <t>KIKCN TL B 1L USD Corp</t>
  </si>
  <si>
    <t>BL364365 Corp</t>
  </si>
  <si>
    <t>KIKCN REV 1L USD Corp</t>
  </si>
  <si>
    <t>ZQ095961 Corp</t>
  </si>
  <si>
    <t>1758903D LN Equity</t>
  </si>
  <si>
    <t>MERLLN 4 ½ 11/15/27</t>
  </si>
  <si>
    <t>Motion Jvco Ltd</t>
  </si>
  <si>
    <t>ZQ095225 Corp</t>
  </si>
  <si>
    <t>MERLLN 6 ⅝ 11/15/27</t>
  </si>
  <si>
    <t>ZK750236 Corp</t>
  </si>
  <si>
    <t>MERLLN 7 ⅜ 06/15/30</t>
  </si>
  <si>
    <t>ZF475425 Corp</t>
  </si>
  <si>
    <t>MERLLN 7 ⅜ 02/15/31</t>
  </si>
  <si>
    <t>YR019969 Corp</t>
  </si>
  <si>
    <t>MERLLN 8 ⅜ 02/15/32</t>
  </si>
  <si>
    <t>BL457627 Corp</t>
  </si>
  <si>
    <t>MERLLN TL B 1L EUR Corp</t>
  </si>
  <si>
    <t>BL456919 Corp</t>
  </si>
  <si>
    <t>MERLLN TL B3 1L USD Corp</t>
  </si>
  <si>
    <t>BL318400 Corp</t>
  </si>
  <si>
    <t>BL456697 Corp</t>
  </si>
  <si>
    <t>2623272D KY Equity</t>
  </si>
  <si>
    <t>TPORT TL 1L USD Corp</t>
  </si>
  <si>
    <t>Toro Private Investment LP</t>
  </si>
  <si>
    <t>YO932249 Corp</t>
  </si>
  <si>
    <t>2572121D US Equity</t>
  </si>
  <si>
    <t>QUESFT Float 02/01/29</t>
  </si>
  <si>
    <t>OID-OL Intermediate I LLC</t>
  </si>
  <si>
    <t>YN030473 Corp</t>
  </si>
  <si>
    <t>QUESFT Float 02/01/30</t>
  </si>
  <si>
    <t>BL523034 Corp</t>
  </si>
  <si>
    <t>QUESFT PIK-TERM 1L USD Corp</t>
  </si>
  <si>
    <t>BL514321 Corp</t>
  </si>
  <si>
    <t>QUESFT TL 1L USD Corp</t>
  </si>
  <si>
    <t>BL512367 Corp</t>
  </si>
  <si>
    <t>QUESFT PIK-TERM A2 1L USD Corp</t>
  </si>
  <si>
    <t>BL512365 Corp</t>
  </si>
  <si>
    <t>QUESFT PIK-TERM A1 1L USD Corp</t>
  </si>
  <si>
    <t>BL512364 Corp</t>
  </si>
  <si>
    <t>BL512363 Corp</t>
  </si>
  <si>
    <t>BL512361 Corp</t>
  </si>
  <si>
    <t>ZH022463 Corp</t>
  </si>
  <si>
    <t>FWRD US Equity</t>
  </si>
  <si>
    <t>FWRD 9 ½ 10/15/31</t>
  </si>
  <si>
    <t>Forward Air Corp</t>
  </si>
  <si>
    <t>BL495430 Corp</t>
  </si>
  <si>
    <t>OMINHO TL 2L USD Corp</t>
  </si>
  <si>
    <t>BL441755 Corp</t>
  </si>
  <si>
    <t>FWRD TL B 1L USD Corp</t>
  </si>
  <si>
    <t>YK048456 Corp</t>
  </si>
  <si>
    <t>LUCK US Equity</t>
  </si>
  <si>
    <t>LUCK 7 ¼ 10/15/32</t>
  </si>
  <si>
    <t>Lucky Strike Entertainment Cor</t>
  </si>
  <si>
    <t>BL523157 Corp</t>
  </si>
  <si>
    <t>LUCK TL B 1L USD Corp</t>
  </si>
  <si>
    <t>BL246383 Corp</t>
  </si>
  <si>
    <t>LUCK REV 1L USD Corp</t>
  </si>
  <si>
    <t>EP060073 Pfd</t>
  </si>
  <si>
    <t>BOWL 5 ½ PERP</t>
  </si>
  <si>
    <t>ZJ054417 Corp</t>
  </si>
  <si>
    <t>BUR LN Equity</t>
  </si>
  <si>
    <t>BURLN 9 ¼ 07/01/31</t>
  </si>
  <si>
    <t>Burford Capital Ltd</t>
  </si>
  <si>
    <t>YM095755 Corp</t>
  </si>
  <si>
    <t>BURLN 7 ½ 07/15/33</t>
  </si>
  <si>
    <t>DC969041 Corp</t>
  </si>
  <si>
    <t>BURLN 8 ½ 01/15/34</t>
  </si>
  <si>
    <t>BV723667 Corp</t>
  </si>
  <si>
    <t>BURLN 6 ⅞ 04/15/30</t>
  </si>
  <si>
    <t>BO773061 Corp</t>
  </si>
  <si>
    <t>BURLN 6 ¼ 04/15/28</t>
  </si>
  <si>
    <t>QZ739372 Corp</t>
  </si>
  <si>
    <t>PSKY US Equity</t>
  </si>
  <si>
    <t>PARA 3.45 10/04/26</t>
  </si>
  <si>
    <t>Paramount Skydance Corp</t>
  </si>
  <si>
    <t>LW785817 Corp</t>
  </si>
  <si>
    <t>PARA 2.9 01/15/27</t>
  </si>
  <si>
    <t>EK686917 Corp</t>
  </si>
  <si>
    <t>PARA 4.6 01/15/45</t>
  </si>
  <si>
    <t>EK641114 Corp</t>
  </si>
  <si>
    <t>PARA 4.85 12/15/34</t>
  </si>
  <si>
    <t>EK433738 Corp</t>
  </si>
  <si>
    <t>PARA 4.9 08/15/44</t>
  </si>
  <si>
    <t>EK108802 Corp</t>
  </si>
  <si>
    <t>PARA 5 ¼ 04/01/44</t>
  </si>
  <si>
    <t>EJ789334 Corp</t>
  </si>
  <si>
    <t>PARA 5.85 09/01/43</t>
  </si>
  <si>
    <t>EJ729042 Corp</t>
  </si>
  <si>
    <t>PARA 4 ⅜ 03/15/43</t>
  </si>
  <si>
    <t>EJ588730 Corp</t>
  </si>
  <si>
    <t>PARA 4 ⅞ 06/15/43</t>
  </si>
  <si>
    <t>EJ235049 Corp</t>
  </si>
  <si>
    <t>PARA 4.85 07/01/42</t>
  </si>
  <si>
    <t>EJ041884 Corp</t>
  </si>
  <si>
    <t>PARA 4 ½ 02/27/42</t>
  </si>
  <si>
    <t>EI425926 Corp</t>
  </si>
  <si>
    <t>PARA 5.9 10/15/40</t>
  </si>
  <si>
    <t>EG894240 Corp</t>
  </si>
  <si>
    <t>PARA 6 ¾ 10/05/37</t>
  </si>
  <si>
    <t>EF721953 Corp</t>
  </si>
  <si>
    <t>PARA 6 ⅞ 04/30/36</t>
  </si>
  <si>
    <t>EC972767 Corp</t>
  </si>
  <si>
    <t>PARA 5 ½ 05/15/33</t>
  </si>
  <si>
    <t>EC278276 Corp</t>
  </si>
  <si>
    <t>PARA 7 ⅞ 07/30/30</t>
  </si>
  <si>
    <t>BV521066 Corp</t>
  </si>
  <si>
    <t>PARA 6 ⅜ 03/30/62</t>
  </si>
  <si>
    <t>BJ450829 Corp</t>
  </si>
  <si>
    <t>PARA 4.95 05/19/50</t>
  </si>
  <si>
    <t>BJ450828 Corp</t>
  </si>
  <si>
    <t>PARA 4.2 05/19/32</t>
  </si>
  <si>
    <t>BH428437 Corp</t>
  </si>
  <si>
    <t>PARA 4.95 01/15/31</t>
  </si>
  <si>
    <t>AX333946 Corp</t>
  </si>
  <si>
    <t>PARA 4.2 06/01/29</t>
  </si>
  <si>
    <t>AV620013 Corp</t>
  </si>
  <si>
    <t>PARA 3.7 06/01/28</t>
  </si>
  <si>
    <t>AQ010221 Corp</t>
  </si>
  <si>
    <t>AO125940 Corp</t>
  </si>
  <si>
    <t>PARA 3 ⅜ 02/15/28</t>
  </si>
  <si>
    <t>AM638571 Corp</t>
  </si>
  <si>
    <t>PARA 6 ¼ 02/28/57</t>
  </si>
  <si>
    <t>BL710307 Corp</t>
  </si>
  <si>
    <t>PARA REV GUAR USD Corp</t>
  </si>
  <si>
    <t>Burgess Point Purchaser Corp</t>
  </si>
  <si>
    <t>BL426645 Corp</t>
  </si>
  <si>
    <t>0568479D US Equity</t>
  </si>
  <si>
    <t>TANKHL TL 1L USD Corp</t>
  </si>
  <si>
    <t>UNITRANCHE TERM</t>
  </si>
  <si>
    <t>Tank Holding Corp</t>
  </si>
  <si>
    <t>BL387429 Corp</t>
  </si>
  <si>
    <t>Flash Charm Inc</t>
  </si>
  <si>
    <t>ZD745914 Corp</t>
  </si>
  <si>
    <t>RXT US Equity</t>
  </si>
  <si>
    <t>RAX 3 ½ 05/15/28</t>
  </si>
  <si>
    <t>Rackspace Technology Inc</t>
  </si>
  <si>
    <t>BN870946 Corp</t>
  </si>
  <si>
    <t>RAX 3 ½ 02/15/28</t>
  </si>
  <si>
    <t>BM585206 Corp</t>
  </si>
  <si>
    <t>RAX 5 ⅜ 12/01/28</t>
  </si>
  <si>
    <t>BL472166 Corp</t>
  </si>
  <si>
    <t>RAX TL UNSEC USD Corp</t>
  </si>
  <si>
    <t>BL460868 Corp</t>
  </si>
  <si>
    <t>RAX TL B 1L USD Corp</t>
  </si>
  <si>
    <t>BL460848 Corp</t>
  </si>
  <si>
    <t>RAX REV 1L USD Corp</t>
  </si>
  <si>
    <t>BL460623 Corp</t>
  </si>
  <si>
    <t>BL354898 Corp</t>
  </si>
  <si>
    <t>ZP376904 Corp</t>
  </si>
  <si>
    <t>1412575D LX Equity</t>
  </si>
  <si>
    <t>ALTICE 5 01/15/28</t>
  </si>
  <si>
    <t>Next Alt Sarl</t>
  </si>
  <si>
    <t>ZP354480 Corp</t>
  </si>
  <si>
    <t>ALTICE 3 01/15/28</t>
  </si>
  <si>
    <t>ZD337585 Corp</t>
  </si>
  <si>
    <t>ALTICE 9 ⅝ 07/15/27</t>
  </si>
  <si>
    <t>YK413590 Corp</t>
  </si>
  <si>
    <t>SFRFP 10 01/15/33</t>
  </si>
  <si>
    <t>YK271695 Corp</t>
  </si>
  <si>
    <t>FR</t>
  </si>
  <si>
    <t>SFRFP 4 ¾ 10/15/30</t>
  </si>
  <si>
    <t>YK269943 Corp</t>
  </si>
  <si>
    <t>SFRFP 5 ⅝ 07/15/32</t>
  </si>
  <si>
    <t>YK269455 Corp</t>
  </si>
  <si>
    <t>SFRFP 5 ⅜ 04/15/32</t>
  </si>
  <si>
    <t>YK268510 Corp</t>
  </si>
  <si>
    <t>SFRFP 6 ½ 04/15/32</t>
  </si>
  <si>
    <t>YK268447 Corp</t>
  </si>
  <si>
    <t>SFRFP 6 ⅞ 07/15/32</t>
  </si>
  <si>
    <t>YK267789 Corp</t>
  </si>
  <si>
    <t>SFRFP 6 ½ 10/15/31</t>
  </si>
  <si>
    <t>YK267725 Corp</t>
  </si>
  <si>
    <t>SFRFP 6 ⅞ 10/15/30</t>
  </si>
  <si>
    <t>YK267610 Corp</t>
  </si>
  <si>
    <t>SFRFP 12 ⅞ 11/01/29</t>
  </si>
  <si>
    <t>YK267096 Corp</t>
  </si>
  <si>
    <t>SFRFP 9 ½ 11/01/29</t>
  </si>
  <si>
    <t>YK266685 Corp</t>
  </si>
  <si>
    <t>SFRFP 5 ½ 10/15/31</t>
  </si>
  <si>
    <t>YK266451 Corp</t>
  </si>
  <si>
    <t>SFRFP 7 ¼ 11/01/29</t>
  </si>
  <si>
    <t>BQ837990 Corp</t>
  </si>
  <si>
    <t>ALTICE 5 ¾ 08/15/29</t>
  </si>
  <si>
    <t>BQ837728 Corp</t>
  </si>
  <si>
    <t>ALTICE 4 ¼ 08/15/29</t>
  </si>
  <si>
    <t>BH473587 Corp</t>
  </si>
  <si>
    <t>SFRFP 4 02/15/28</t>
  </si>
  <si>
    <t>BH472852 Corp</t>
  </si>
  <si>
    <t>SFRFP 8 05/15/27</t>
  </si>
  <si>
    <t>AQ343949 Corp</t>
  </si>
  <si>
    <t>BID 4 ⅞ 12/15/25</t>
  </si>
  <si>
    <t>AP443144 Corp</t>
  </si>
  <si>
    <t>ALTICE 4 ¾ 01/15/28</t>
  </si>
  <si>
    <t>BL526267 Corp</t>
  </si>
  <si>
    <t>SFRFP REV 1L EUR Corp</t>
  </si>
  <si>
    <t>BL525902 Corp</t>
  </si>
  <si>
    <t>SFRFP TL B11 1L EUR Corp</t>
  </si>
  <si>
    <t>BL525900 Corp</t>
  </si>
  <si>
    <t>SFRFP TL B12 1L EUR Corp</t>
  </si>
  <si>
    <t>BL525899 Corp</t>
  </si>
  <si>
    <t>SFRFP TL B14 1L EUR Corp</t>
  </si>
  <si>
    <t>BL525898 Corp</t>
  </si>
  <si>
    <t>SFRFP TL B11 1L USD Corp</t>
  </si>
  <si>
    <t>BL525896 Corp</t>
  </si>
  <si>
    <t>SFRFP TL B12 1L USD Corp</t>
  </si>
  <si>
    <t>BL525895 Corp</t>
  </si>
  <si>
    <t>SFRFP TL B13 1L USD Corp</t>
  </si>
  <si>
    <t>BL525894 Corp</t>
  </si>
  <si>
    <t>SFRFP TL B14 1L USD Corp</t>
  </si>
  <si>
    <t>BL473286 Corp</t>
  </si>
  <si>
    <t>SFRFP TL CAPEX 1L EUR Corp</t>
  </si>
  <si>
    <t>BL473284 Corp</t>
  </si>
  <si>
    <t>SFRFP TL 1L EUR Corp</t>
  </si>
  <si>
    <t>BL443702 Corp</t>
  </si>
  <si>
    <t>ALTICE TL 1L EUR Corp</t>
  </si>
  <si>
    <t>BL406348 Corp</t>
  </si>
  <si>
    <t>ALTICE TL B 1L USD Corp</t>
  </si>
  <si>
    <t>BL406346 Corp</t>
  </si>
  <si>
    <t>ALTICE TL B 1L EUR Corp</t>
  </si>
  <si>
    <t>BL297440 Corp</t>
  </si>
  <si>
    <t>ALTICE TL UNSEC EUR Corp</t>
  </si>
  <si>
    <t>GUARANTEE FAC</t>
  </si>
  <si>
    <t>BL185174 Corp</t>
  </si>
  <si>
    <t>PT</t>
  </si>
  <si>
    <t>PTPSGP TL DD UNSEC EUR Corp</t>
  </si>
  <si>
    <t>EP006283 Pfd</t>
  </si>
  <si>
    <t>CPTFP 11 PERP</t>
  </si>
  <si>
    <t>DG537796 Corp</t>
  </si>
  <si>
    <t>2623289D US Equity</t>
  </si>
  <si>
    <t>ADVSAL 9 11/15/30</t>
  </si>
  <si>
    <t>Karman Topco LP</t>
  </si>
  <si>
    <t>BM020293 Corp</t>
  </si>
  <si>
    <t>ADVSAL 6 ½ 11/15/28</t>
  </si>
  <si>
    <t>BL559864 Corp</t>
  </si>
  <si>
    <t>ADVSAL TL 1L USD Corp</t>
  </si>
  <si>
    <t>DC229692 Corp</t>
  </si>
  <si>
    <t>1881704D US Equity</t>
  </si>
  <si>
    <t>MAGBUY Float 07/27/28</t>
  </si>
  <si>
    <t>Magenta Buyer LLC</t>
  </si>
  <si>
    <t>BL553016 Corp</t>
  </si>
  <si>
    <t>MAGBUY TL 1L USD Corp</t>
  </si>
  <si>
    <t>BL520139 Corp</t>
  </si>
  <si>
    <t>MAGBUY TL 2L USD Corp</t>
  </si>
  <si>
    <t>BL481652 Corp</t>
  </si>
  <si>
    <t>BL481651 Corp</t>
  </si>
  <si>
    <t>MAGBUY PIK-TERM 2L USD Corp</t>
  </si>
  <si>
    <t>BL474545 Corp</t>
  </si>
  <si>
    <t>BL474544 Corp</t>
  </si>
  <si>
    <t>BL474542 Corp</t>
  </si>
  <si>
    <t>BL474484 Corp</t>
  </si>
  <si>
    <t>BL408696 Corp</t>
  </si>
  <si>
    <t>BL360641 Corp</t>
  </si>
  <si>
    <t>BL360638 Corp</t>
  </si>
  <si>
    <t>YI858542 Corp</t>
  </si>
  <si>
    <t>VRTU US Equity</t>
  </si>
  <si>
    <t>INR</t>
  </si>
  <si>
    <t>IN</t>
  </si>
  <si>
    <t>VCSPIN 8 08/20/28</t>
  </si>
  <si>
    <t>Virtusa Corp</t>
  </si>
  <si>
    <t>YI850659 Corp</t>
  </si>
  <si>
    <t>VCSPIN 8 02/07/28</t>
  </si>
  <si>
    <t>YI742032 Corp</t>
  </si>
  <si>
    <t>SMSOPR 8 11/27/32</t>
  </si>
  <si>
    <t>BM935262 Corp</t>
  </si>
  <si>
    <t>VRTU 7 ⅛ 12/15/28</t>
  </si>
  <si>
    <t>BL468459 Corp</t>
  </si>
  <si>
    <t>VRTU TL B 1L USD Corp</t>
  </si>
  <si>
    <t>ZP541399 Corp</t>
  </si>
  <si>
    <t>1547674D IO Equity</t>
  </si>
  <si>
    <t>DE</t>
  </si>
  <si>
    <t>STYRO 2 ¼ 01/16/27</t>
  </si>
  <si>
    <t>INEOS Ltd</t>
  </si>
  <si>
    <t>ZM963852 Corp</t>
  </si>
  <si>
    <t>INEGRP 6 ¾ 05/15/28</t>
  </si>
  <si>
    <t>ZM927763 Corp</t>
  </si>
  <si>
    <t>INEGRP 6 ⅝ 05/15/28</t>
  </si>
  <si>
    <t>ZH973904 Corp</t>
  </si>
  <si>
    <t>STYRO 8 ½ 03/15/29</t>
  </si>
  <si>
    <t>ZH973903 Corp</t>
  </si>
  <si>
    <t>STYRO 9 ⅝ 03/15/29</t>
  </si>
  <si>
    <t>ZF657353 Corp</t>
  </si>
  <si>
    <t>INEGRP 6 ⅜ 04/15/29</t>
  </si>
  <si>
    <t>ZF656109 Corp</t>
  </si>
  <si>
    <t>INEGRP 7 ½ 04/15/29</t>
  </si>
  <si>
    <t>YU176657 Corp</t>
  </si>
  <si>
    <t>STYRO 6 ¾ 04/15/30</t>
  </si>
  <si>
    <t>YS998446 Corp</t>
  </si>
  <si>
    <t>INEGRP 5 ⅝ 08/15/30</t>
  </si>
  <si>
    <t>YK327787 Corp</t>
  </si>
  <si>
    <t>INEGRP 7 ¼ 03/31/31</t>
  </si>
  <si>
    <t>DK239124 Corp</t>
  </si>
  <si>
    <t>INEGRP 7 ⅞ 11/15/31</t>
  </si>
  <si>
    <t>BL535362 Corp</t>
  </si>
  <si>
    <t>INEGRP TL CAPEX UNSEC EUR Corp</t>
  </si>
  <si>
    <t>BL517310 Corp</t>
  </si>
  <si>
    <t>INEENT TL B 1L USD Corp</t>
  </si>
  <si>
    <t>BL517309 Corp</t>
  </si>
  <si>
    <t>INEENT TL A 1L EUR Corp</t>
  </si>
  <si>
    <t>BL484878 Corp</t>
  </si>
  <si>
    <t>INEGRP TL B 1L EUR Corp</t>
  </si>
  <si>
    <t>BL484877 Corp</t>
  </si>
  <si>
    <t>INEGRP TL B 1L USD Corp</t>
  </si>
  <si>
    <t>BL476642 Corp</t>
  </si>
  <si>
    <t>STYRO TL B 1L EUR Corp</t>
  </si>
  <si>
    <t>BL476640 Corp</t>
  </si>
  <si>
    <t>STYRO TL B 1L USD Corp</t>
  </si>
  <si>
    <t>BL469911 Corp</t>
  </si>
  <si>
    <t>INEGRP TL 1L GBP Corp</t>
  </si>
  <si>
    <t>BL469910 Corp</t>
  </si>
  <si>
    <t>BL467319 Corp</t>
  </si>
  <si>
    <t>BL467317 Corp</t>
  </si>
  <si>
    <t>BL446210 Corp</t>
  </si>
  <si>
    <t>BL446209 Corp</t>
  </si>
  <si>
    <t>BL430290 Corp</t>
  </si>
  <si>
    <t>BL430288 Corp</t>
  </si>
  <si>
    <t>INEENT TL B 1L EUR Corp</t>
  </si>
  <si>
    <t>BL424543 Corp</t>
  </si>
  <si>
    <t>BE</t>
  </si>
  <si>
    <t>INEOLE TL 1L EUR Corp</t>
  </si>
  <si>
    <t>BL424541 Corp</t>
  </si>
  <si>
    <t>BL420721 Corp</t>
  </si>
  <si>
    <t>BL420720 Corp</t>
  </si>
  <si>
    <t>BL409729 Corp</t>
  </si>
  <si>
    <t>BL409727 Corp</t>
  </si>
  <si>
    <t>BL406683 Corp</t>
  </si>
  <si>
    <t>NO</t>
  </si>
  <si>
    <t>INEGRP TL 1L EUR Corp</t>
  </si>
  <si>
    <t>BL349481 Corp</t>
  </si>
  <si>
    <t>GEMHDP TL B 1L USD Corp</t>
  </si>
  <si>
    <t>BL328464 Corp</t>
  </si>
  <si>
    <t>BL166839 Corp</t>
  </si>
  <si>
    <t>INEGRP LC 1L EUR Corp</t>
  </si>
  <si>
    <t>LOC</t>
  </si>
  <si>
    <t>YW576785 Corp</t>
  </si>
  <si>
    <t>0614709D US Equity</t>
  </si>
  <si>
    <t>WLSNRT 11 08/15/32</t>
  </si>
  <si>
    <t>Wilsonart International Holdin</t>
  </si>
  <si>
    <t>BL474701 Corp</t>
  </si>
  <si>
    <t>WLSNRT REV 1L USD Corp</t>
  </si>
  <si>
    <t>BL472203 Corp</t>
  </si>
  <si>
    <t>WLSNRT TL B 1L USD Corp</t>
  </si>
  <si>
    <t>ZF579060 Corp</t>
  </si>
  <si>
    <t>0776041D US Equity</t>
  </si>
  <si>
    <t>POWBUY 8 ½ 02/15/31</t>
  </si>
  <si>
    <t>Artera Services LLC</t>
  </si>
  <si>
    <t>BL457570 Corp</t>
  </si>
  <si>
    <t>POWBUY TL 1L USD Corp</t>
  </si>
  <si>
    <t>YS476256 Corp</t>
  </si>
  <si>
    <t>1919531D US Equity</t>
  </si>
  <si>
    <t>SPRIND 6 ½ 10/06/29</t>
  </si>
  <si>
    <t>SWF Holdings I Corp</t>
  </si>
  <si>
    <t>YJ657188 Corp</t>
  </si>
  <si>
    <t>DC544051 Corp</t>
  </si>
  <si>
    <t>*</t>
  </si>
  <si>
    <t>BR419362 Corp</t>
  </si>
  <si>
    <t>SPRIND 6 ½ 10/01/29</t>
  </si>
  <si>
    <t>BL491608 Corp</t>
  </si>
  <si>
    <t>SPRIND TL A2 1L USD Corp</t>
  </si>
  <si>
    <t>BL491593 Corp</t>
  </si>
  <si>
    <t>SPRIND TL A1 1L USD Corp</t>
  </si>
  <si>
    <t>BL370562 Corp</t>
  </si>
  <si>
    <t>SPRIND TL B 1L USD Corp</t>
  </si>
  <si>
    <t>YV712122 Corp</t>
  </si>
  <si>
    <t>1836901D US Equity</t>
  </si>
  <si>
    <t>HAHGRO 9 ¾ 10/01/31</t>
  </si>
  <si>
    <t>HAH Group Holding Co LLC</t>
  </si>
  <si>
    <t>BL475693 Corp</t>
  </si>
  <si>
    <t>HAHGRO TL 1L USD Corp</t>
  </si>
  <si>
    <t>Eyecare Partners LLC</t>
  </si>
  <si>
    <t>YU350767 Corp</t>
  </si>
  <si>
    <t>SBP US Equity</t>
  </si>
  <si>
    <t>SBPLLC 7 ¾ 10/15/29</t>
  </si>
  <si>
    <t>Specialty Building Products In</t>
  </si>
  <si>
    <t>BL373009 Corp</t>
  </si>
  <si>
    <t>SBPLLC TL B 1L USD Corp</t>
  </si>
  <si>
    <t>BL284340 Corp</t>
  </si>
  <si>
    <t>SBPLLC REV 1L USD Corp</t>
  </si>
  <si>
    <t>YK327556 Corp</t>
  </si>
  <si>
    <t>2551003D US Equity</t>
  </si>
  <si>
    <t>INLOT Float 10/15/31</t>
  </si>
  <si>
    <t>Bally's Corp</t>
  </si>
  <si>
    <t>YK327555 Corp</t>
  </si>
  <si>
    <t>INLOT 6 ¾ 10/15/31</t>
  </si>
  <si>
    <t>BQ817925 Corp</t>
  </si>
  <si>
    <t>BALY 5 ⅞ 09/01/31</t>
  </si>
  <si>
    <t>BQ817924 Corp</t>
  </si>
  <si>
    <t>BALY 5 ⅝ 09/01/29</t>
  </si>
  <si>
    <t>BL535585 Corp</t>
  </si>
  <si>
    <t>BALY TL DD 1L USD Corp</t>
  </si>
  <si>
    <t>BL535583 Corp</t>
  </si>
  <si>
    <t>BALY TL 1L USD Corp</t>
  </si>
  <si>
    <t>BL525108 Corp</t>
  </si>
  <si>
    <t>INLOT TL 1L EUR Corp</t>
  </si>
  <si>
    <t>BL377751 Corp</t>
  </si>
  <si>
    <t>BALY REV 1L USD Corp</t>
  </si>
  <si>
    <t>BL520243 Corp</t>
  </si>
  <si>
    <t>1026018D US Equity</t>
  </si>
  <si>
    <t>ACCCIG TL 1L USD Corp</t>
  </si>
  <si>
    <t>Access CIG LLC</t>
  </si>
  <si>
    <t>YO245216 Corp</t>
  </si>
  <si>
    <t>GETY US Equity</t>
  </si>
  <si>
    <t>ABEGET 11 ¼ 02/21/30</t>
  </si>
  <si>
    <t>Getty Images Holdings Inc</t>
  </si>
  <si>
    <t>YJ291755 Corp</t>
  </si>
  <si>
    <t>ABEGET 14 03/01/28</t>
  </si>
  <si>
    <t>AX138813 Corp</t>
  </si>
  <si>
    <t>ABEGET 9 ¾ 03/01/27</t>
  </si>
  <si>
    <t>BL499581 Corp</t>
  </si>
  <si>
    <t>ABEGET TL B1 1L EUR Corp</t>
  </si>
  <si>
    <t>BL499579 Corp</t>
  </si>
  <si>
    <t>ABEGET TL B1 1L USD Corp</t>
  </si>
  <si>
    <t>BL292776 Corp</t>
  </si>
  <si>
    <t>ABEGET REV 1L USD Corp</t>
  </si>
  <si>
    <t>BL514470 Corp</t>
  </si>
  <si>
    <t>KNBE US Equity</t>
  </si>
  <si>
    <t>KNBE TL 1L USD Corp</t>
  </si>
  <si>
    <t>KnowBe4 Inc</t>
  </si>
  <si>
    <t>BL571771 Corp</t>
  </si>
  <si>
    <t>2245114D US Equity</t>
  </si>
  <si>
    <t>XM TL B3 1L USD Corp</t>
  </si>
  <si>
    <t>Quartz Acquireco LLC</t>
  </si>
  <si>
    <t>BL500667 Corp</t>
  </si>
  <si>
    <t>XM TL B2 1L USD Corp</t>
  </si>
  <si>
    <t>BL525344 Corp</t>
  </si>
  <si>
    <t>NEPG US Equity</t>
  </si>
  <si>
    <t>NEPBRO TL B 1L USD Corp</t>
  </si>
  <si>
    <t>NEP Group Inc</t>
  </si>
  <si>
    <t>BL525343 Corp</t>
  </si>
  <si>
    <t>NEPBRO TL B 1L EUR Corp</t>
  </si>
  <si>
    <t>BL285247 Corp</t>
  </si>
  <si>
    <t>NEPBRO REV 1L USD Corp</t>
  </si>
  <si>
    <t>BL281234 Corp</t>
  </si>
  <si>
    <t>NEPBRO TL 2L USD Corp</t>
  </si>
  <si>
    <t>BL516284 Corp</t>
  </si>
  <si>
    <t>8248690Z US Equity</t>
  </si>
  <si>
    <t>NAKJUI PIK-TERM 1L USD Corp</t>
  </si>
  <si>
    <t>Naked Juice LLC</t>
  </si>
  <si>
    <t>BL507120 Corp</t>
  </si>
  <si>
    <t>BL507119 Corp</t>
  </si>
  <si>
    <t>NAKJUI TL 1L USD Corp</t>
  </si>
  <si>
    <t>BL507118 Corp</t>
  </si>
  <si>
    <t>BL383585 Corp</t>
  </si>
  <si>
    <t>NAKJUI TL 2L USD Corp</t>
  </si>
  <si>
    <t>YW054263 Corp</t>
  </si>
  <si>
    <t>AZUL54 BZ Equity</t>
  </si>
  <si>
    <t>BRL</t>
  </si>
  <si>
    <t>BR</t>
  </si>
  <si>
    <t>AZLABR Float 06/12/26</t>
  </si>
  <si>
    <t>A2</t>
  </si>
  <si>
    <t>Azul SA</t>
  </si>
  <si>
    <t>YR945323 Corp</t>
  </si>
  <si>
    <t>AZUBBZ 7 ½ 06/30/32</t>
  </si>
  <si>
    <t>YI499382 Corp</t>
  </si>
  <si>
    <t>AZUBBZ 9 ⅞ 02/15/31</t>
  </si>
  <si>
    <t>BM430276 Corp</t>
  </si>
  <si>
    <t>AZUBBZ 12 ¼ 10/26/28</t>
  </si>
  <si>
    <t>AW428028 Corp</t>
  </si>
  <si>
    <t>AZLABR Float 12/20/28</t>
  </si>
  <si>
    <t>A0</t>
  </si>
  <si>
    <t>AT306949 Corp</t>
  </si>
  <si>
    <t>BL424556 Corp</t>
  </si>
  <si>
    <t>2228305D GR Equity</t>
  </si>
  <si>
    <t>SCUALP TL B2 1L USD Corp</t>
  </si>
  <si>
    <t>Envalior Finance GmbH</t>
  </si>
  <si>
    <t>BL424555 Corp</t>
  </si>
  <si>
    <t>SCUALP TL B1 1L USD Corp</t>
  </si>
  <si>
    <t>BL424553 Corp</t>
  </si>
  <si>
    <t>SCUALP TL B1 1L EUR Corp</t>
  </si>
  <si>
    <t>BL398125 Corp</t>
  </si>
  <si>
    <t>1515354D US Equity</t>
  </si>
  <si>
    <t>KOFAX REV 1L USD Corp</t>
  </si>
  <si>
    <t>Project Leopard Holdings Inc</t>
  </si>
  <si>
    <t>BL392748 Corp</t>
  </si>
  <si>
    <t>KOFAX TL 2L USD Corp</t>
  </si>
  <si>
    <t>BL392630 Corp</t>
  </si>
  <si>
    <t>KOFAX TL B 1L USD Corp</t>
  </si>
  <si>
    <t>ZF902058 Corp</t>
  </si>
  <si>
    <t>2623273D US Equity</t>
  </si>
  <si>
    <t>LOGM 5 ½ 05/01/28</t>
  </si>
  <si>
    <t>Logan Parent LP</t>
  </si>
  <si>
    <t>ZF900348 Corp</t>
  </si>
  <si>
    <t>BK880741 Corp</t>
  </si>
  <si>
    <t>LOGM 5 ½ 09/01/27</t>
  </si>
  <si>
    <t>BL458897 Corp</t>
  </si>
  <si>
    <t>LOGM TL 1L USD Corp</t>
  </si>
  <si>
    <t>BL458894 Corp</t>
  </si>
  <si>
    <t>BL367647 Corp</t>
  </si>
  <si>
    <t>1902620D LX Equity</t>
  </si>
  <si>
    <t>SITEL TL B 1L EUR Corp</t>
  </si>
  <si>
    <t>Foundever Group SA</t>
  </si>
  <si>
    <t>BL367645 Corp</t>
  </si>
  <si>
    <t>SITEL TL B 1L USD Corp</t>
  </si>
  <si>
    <t>BL518149 Corp</t>
  </si>
  <si>
    <t>1534767D US Equity</t>
  </si>
  <si>
    <t>PATVET TL 2L USD Corp</t>
  </si>
  <si>
    <t>Pathway Vet Alliance LLC</t>
  </si>
  <si>
    <t>BL505703 Corp</t>
  </si>
  <si>
    <t>PATVET PIK-TERM B 1L USD Corp</t>
  </si>
  <si>
    <t>BL505702 Corp</t>
  </si>
  <si>
    <t>PATVET TL A 1L USD Corp</t>
  </si>
  <si>
    <t>BL355611 Corp</t>
  </si>
  <si>
    <t>1737591D US Equity</t>
  </si>
  <si>
    <t>AMETRL TL 1L USD Corp</t>
  </si>
  <si>
    <t>American Trailer World Corp</t>
  </si>
  <si>
    <t>BL487338 Corp</t>
  </si>
  <si>
    <t>1851528D US Equity</t>
  </si>
  <si>
    <t>PHMHOL TL 2L USD Corp</t>
  </si>
  <si>
    <t>Planview Parent Inc</t>
  </si>
  <si>
    <t>BL487257 Corp</t>
  </si>
  <si>
    <t>PHMHOL TL 1L USD Corp</t>
  </si>
  <si>
    <t>ZP744732 Corp</t>
  </si>
  <si>
    <t>QVCAQ US Equity</t>
  </si>
  <si>
    <t>QVCN 4 ¾ 02/15/27</t>
  </si>
  <si>
    <t>QVC Group Inc</t>
  </si>
  <si>
    <t>YU084256 Corp</t>
  </si>
  <si>
    <t>QVCN 6 ⅞ 04/15/29</t>
  </si>
  <si>
    <t>EK578135 Corp</t>
  </si>
  <si>
    <t>QVCN 5.45 08/15/34</t>
  </si>
  <si>
    <t>EK428666 Corp</t>
  </si>
  <si>
    <t>EJ771877 Corp</t>
  </si>
  <si>
    <t>QVCN 5.95 03/15/43</t>
  </si>
  <si>
    <t>EJ620455 Corp</t>
  </si>
  <si>
    <t>LINTA 0 ¾ 03/30/43</t>
  </si>
  <si>
    <t>EC270377 Corp</t>
  </si>
  <si>
    <t>LINTA 3 ¾ 02/15/30</t>
  </si>
  <si>
    <t>EC265270 Corp</t>
  </si>
  <si>
    <t>LINTA 8 ¼ 02/01/30</t>
  </si>
  <si>
    <t>EC228615 Corp</t>
  </si>
  <si>
    <t>LINTA 4 11/15/29</t>
  </si>
  <si>
    <t>EC225108 Corp</t>
  </si>
  <si>
    <t>EC218601 Corp</t>
  </si>
  <si>
    <t>LINTA 8 ½ 07/15/29</t>
  </si>
  <si>
    <t>EC198064 Corp</t>
  </si>
  <si>
    <t>BK913693 Corp</t>
  </si>
  <si>
    <t>QVCN 4 ⅜ 09/01/28</t>
  </si>
  <si>
    <t>BL219943 Corp</t>
  </si>
  <si>
    <t>QVCN REV EXT 1L USD Corp</t>
  </si>
  <si>
    <t>EP059248 Pfd</t>
  </si>
  <si>
    <t>QVCGA 8 03/15/31</t>
  </si>
  <si>
    <t>EP058192 Pfd</t>
  </si>
  <si>
    <t>QVCN 6 ¼ 11/26/68</t>
  </si>
  <si>
    <t>EP055987 Pfd</t>
  </si>
  <si>
    <t>QVCN 6 ⅜ 09/13/67</t>
  </si>
  <si>
    <t>YI870023 Corp</t>
  </si>
  <si>
    <t>1583377D US Equity</t>
  </si>
  <si>
    <t>PRIMIN 9 02/28/31</t>
  </si>
  <si>
    <t>Vibrantz Technologies Inc</t>
  </si>
  <si>
    <t>DF493343 Corp</t>
  </si>
  <si>
    <t>BT917725 Corp</t>
  </si>
  <si>
    <t>PRIMIN 9 02/15/30</t>
  </si>
  <si>
    <t>BL557306 Corp</t>
  </si>
  <si>
    <t>PRIMIN TL A 1L USD Corp</t>
  </si>
  <si>
    <t>BL557304 Corp</t>
  </si>
  <si>
    <t>PRIMIN TL B1 1L USD Corp</t>
  </si>
  <si>
    <t>BL557303 Corp</t>
  </si>
  <si>
    <t>PRIMIN TL B2 1L USD Corp</t>
  </si>
  <si>
    <t>BL557302 Corp</t>
  </si>
  <si>
    <t>PRIMIN TL C1 1L USD Corp</t>
  </si>
  <si>
    <t>BL557300 Corp</t>
  </si>
  <si>
    <t>PRIMIN TL C2 1L USD Corp</t>
  </si>
  <si>
    <t>BL510318 Corp</t>
  </si>
  <si>
    <t>PRIMIN TL 1L USD Corp</t>
  </si>
  <si>
    <t>BL383991 Corp</t>
  </si>
  <si>
    <t>PRIMIN TL B 1L USD Corp</t>
  </si>
  <si>
    <t>ZD482894 Corp</t>
  </si>
  <si>
    <t>KOS US Equity</t>
  </si>
  <si>
    <t>KOS 3 ⅛ 03/15/30</t>
  </si>
  <si>
    <t>Kosmos Energy Ltd</t>
  </si>
  <si>
    <t>YV714152 Corp</t>
  </si>
  <si>
    <t>KOS 8 ¾ 10/01/31</t>
  </si>
  <si>
    <t>YI090864 Corp</t>
  </si>
  <si>
    <t>KOS 11 ¼ 01/29/31</t>
  </si>
  <si>
    <t>BS063074 Corp</t>
  </si>
  <si>
    <t>KOS 7 ¾ 05/01/27</t>
  </si>
  <si>
    <t>BO282738 Corp</t>
  </si>
  <si>
    <t>KOS 7 ½ 03/01/28</t>
  </si>
  <si>
    <t>BL822059 Corp</t>
  </si>
  <si>
    <t>KOS RBL-REV 1L USD Corp</t>
  </si>
  <si>
    <t>RESERVE-BASED REV</t>
  </si>
  <si>
    <t>BL518875 Corp</t>
  </si>
  <si>
    <t>KOS TL 1L USD Corp</t>
  </si>
  <si>
    <t>BL397332 Corp</t>
  </si>
  <si>
    <t>2109049D US Equity</t>
  </si>
  <si>
    <t>PATAGO TL B 1L USD Corp</t>
  </si>
  <si>
    <t>Patagonia Holdco LLC</t>
  </si>
  <si>
    <t>AI</t>
  </si>
  <si>
    <t>ZERO COUPON</t>
  </si>
  <si>
    <t>BL468496 Corp</t>
  </si>
  <si>
    <t>2452371D US Equity</t>
  </si>
  <si>
    <t>SOLHLT TL B 1L USD Corp</t>
  </si>
  <si>
    <t>TTF Lower Intermediate LLC</t>
  </si>
  <si>
    <t>DL006379 Corp</t>
  </si>
  <si>
    <t>1884205D US Equity</t>
  </si>
  <si>
    <t>ACPROD 6 ⅜ 05/15/32</t>
  </si>
  <si>
    <t>ACProducts Holdings Inc</t>
  </si>
  <si>
    <t>BP279876 Corp</t>
  </si>
  <si>
    <t>ACPROD 6 ⅜ 05/15/29</t>
  </si>
  <si>
    <t>BL568553 Corp</t>
  </si>
  <si>
    <t>ACPROD TL 1L USD Corp</t>
  </si>
  <si>
    <t>BL568551 Corp</t>
  </si>
  <si>
    <t>BL361609 Corp</t>
  </si>
  <si>
    <t>ACPROD REV 1L USD Corp</t>
  </si>
  <si>
    <t>Conair Holdings LLC</t>
  </si>
  <si>
    <t>ZQ456779 Corp</t>
  </si>
  <si>
    <t>8230501Z LX Equity</t>
  </si>
  <si>
    <t>ARDFIN 6 ½ 06/30/27</t>
  </si>
  <si>
    <t>ARD Holdings SA</t>
  </si>
  <si>
    <t>ZQ442882 Corp</t>
  </si>
  <si>
    <t>ARDFIN 5 06/30/27</t>
  </si>
  <si>
    <t>DA578136 Corp</t>
  </si>
  <si>
    <t>AMPBEV 5 01/30/31</t>
  </si>
  <si>
    <t>DA578035 Corp</t>
  </si>
  <si>
    <t>AMPBEV 6 ¼ 01/30/31</t>
  </si>
  <si>
    <t>DA478887 Corp</t>
  </si>
  <si>
    <t>DA372998 Corp</t>
  </si>
  <si>
    <t>ARGID 11 12/01/30</t>
  </si>
  <si>
    <t>DA109976 Corp</t>
  </si>
  <si>
    <t>ARGID 9 ½ 12/01/30</t>
  </si>
  <si>
    <t>BO288431 Corp</t>
  </si>
  <si>
    <t>AMPBEV 3 09/01/29</t>
  </si>
  <si>
    <t>BO288422 Corp</t>
  </si>
  <si>
    <t>AMPBEV 2 09/01/28</t>
  </si>
  <si>
    <t>BO269873 Corp</t>
  </si>
  <si>
    <t>AMPBEV 4 09/01/29</t>
  </si>
  <si>
    <t>BO269865 Corp</t>
  </si>
  <si>
    <t>AMPBEV 3 ¼ 09/01/28</t>
  </si>
  <si>
    <t>BL535880 Corp</t>
  </si>
  <si>
    <t>ARGID TL 1L USD Corp</t>
  </si>
  <si>
    <t>YR243961 Corp</t>
  </si>
  <si>
    <t>1823604D LX Equity</t>
  </si>
  <si>
    <t>KANGRP Float 02/15/30</t>
  </si>
  <si>
    <t>Kantar Global Holdings SARL</t>
  </si>
  <si>
    <t>YR243960 Corp</t>
  </si>
  <si>
    <t>KANGRP 5 ⅞ 02/15/30</t>
  </si>
  <si>
    <t>BL466816 Corp</t>
  </si>
  <si>
    <t>KANGRP TL B3 1L EUR Corp</t>
  </si>
  <si>
    <t>BL458323 Corp</t>
  </si>
  <si>
    <t>KANGRP TL B 1L USD Corp</t>
  </si>
  <si>
    <t>BL457310 Corp</t>
  </si>
  <si>
    <t>BL318517 Corp</t>
  </si>
  <si>
    <t>KANGRP REV 1L USD Corp</t>
  </si>
  <si>
    <t>BL525991 Corp</t>
  </si>
  <si>
    <t>1800363D US Equity</t>
  </si>
  <si>
    <t>SYMPSO PIK-TERM 2L USD Corp</t>
  </si>
  <si>
    <t>Symplr Software Inc</t>
  </si>
  <si>
    <t>BL525990 Corp</t>
  </si>
  <si>
    <t>SYMPSO TL 1L USD Corp</t>
  </si>
  <si>
    <t>BL521662 Corp</t>
  </si>
  <si>
    <t>BL349219 Corp</t>
  </si>
  <si>
    <t>SYMPSO REV 1L USD Corp</t>
  </si>
  <si>
    <t>BL348485 Corp</t>
  </si>
  <si>
    <t>SYMPSO TL 2L USD Corp</t>
  </si>
  <si>
    <t>BL348479 Corp</t>
  </si>
  <si>
    <t>BL497997 Corp</t>
  </si>
  <si>
    <t>1778493D US Equity</t>
  </si>
  <si>
    <t>PPDLGL TL B 1L USD Corp</t>
  </si>
  <si>
    <t>Pre-Paid Legal Services Inc</t>
  </si>
  <si>
    <t>YM778585 Corp</t>
  </si>
  <si>
    <t>SSP US Equity</t>
  </si>
  <si>
    <t>SSP 9 ⅞ 08/15/30</t>
  </si>
  <si>
    <t>EW Scripps Co/The</t>
  </si>
  <si>
    <t>EG728952 Corp</t>
  </si>
  <si>
    <t>IION 11 07/31/13</t>
  </si>
  <si>
    <t>BN071169 Corp</t>
  </si>
  <si>
    <t>SSP 5 ⅜ 01/15/31</t>
  </si>
  <si>
    <t>BN071167 Corp</t>
  </si>
  <si>
    <t>SSP 3 ⅞ 01/15/29</t>
  </si>
  <si>
    <t>BL507098 Corp</t>
  </si>
  <si>
    <t>SSP REV EXT 1L USD Corp</t>
  </si>
  <si>
    <t>BL507095 Corp</t>
  </si>
  <si>
    <t>SSP TL B3 1L USD Corp</t>
  </si>
  <si>
    <t>BL507094 Corp</t>
  </si>
  <si>
    <t>SSP TL B2 1L USD Corp</t>
  </si>
  <si>
    <t>PF100189 Pfd</t>
  </si>
  <si>
    <t>IION 9 ¾ 12/31/26</t>
  </si>
  <si>
    <t>EP009143 Pfd</t>
  </si>
  <si>
    <t>EP000445 Pfd</t>
  </si>
  <si>
    <t>IION 0 11/15/49</t>
  </si>
  <si>
    <t>BL487318 Corp</t>
  </si>
  <si>
    <t>7576556Z US Equity</t>
  </si>
  <si>
    <t>PERSOF TL B 1L USD Corp</t>
  </si>
  <si>
    <t>Perforce Software Inc</t>
  </si>
  <si>
    <t>BL460527 Corp</t>
  </si>
  <si>
    <t>BL300286 Corp</t>
  </si>
  <si>
    <t>PERSOF TL 2L USD Corp</t>
  </si>
  <si>
    <t>DL904663 Corp</t>
  </si>
  <si>
    <t>ACH US Equity</t>
  </si>
  <si>
    <t>ACH 9 ¾ 06/15/33</t>
  </si>
  <si>
    <t>Accendra Health Inc</t>
  </si>
  <si>
    <t>DL904530 Corp</t>
  </si>
  <si>
    <t>DL871470 Corp</t>
  </si>
  <si>
    <t>ACH 9 06/15/32</t>
  </si>
  <si>
    <t>BV376172 Corp</t>
  </si>
  <si>
    <t>ACH 6 ⅝ 04/01/30</t>
  </si>
  <si>
    <t>BO363350 Corp</t>
  </si>
  <si>
    <t>ACH 4 ½ 03/31/29</t>
  </si>
  <si>
    <t>BL387075 Corp</t>
  </si>
  <si>
    <t>ACH TL B1 1L USD Corp</t>
  </si>
  <si>
    <t>BL357919 Corp</t>
  </si>
  <si>
    <t>ACH REV 1L USD Corp</t>
  </si>
  <si>
    <t>BL499582 Corp</t>
  </si>
  <si>
    <t>0215306D US Equity</t>
  </si>
  <si>
    <t>NTHBNC TL B 1L USD Corp</t>
  </si>
  <si>
    <t>NAB Holdings LLC</t>
  </si>
  <si>
    <t>BL540834 Corp</t>
  </si>
  <si>
    <t>1857910D US Equity</t>
  </si>
  <si>
    <t>NAINCO TL 2L USD Corp</t>
  </si>
  <si>
    <t>NIC Acquisition Corp</t>
  </si>
  <si>
    <t>BL460248 Corp</t>
  </si>
  <si>
    <t>NAINCO PIK-TERM 1L USD Corp</t>
  </si>
  <si>
    <t>BL411041 Corp</t>
  </si>
  <si>
    <t>NAINCO PIK-TERM B 1L USD Corp</t>
  </si>
  <si>
    <t>BL353837 Corp</t>
  </si>
  <si>
    <t>NAINCO TL B 1L USD Corp</t>
  </si>
  <si>
    <t>BL390762 Corp</t>
  </si>
  <si>
    <t>SVR US Equity</t>
  </si>
  <si>
    <t>SVR TL 1L USD Corp</t>
  </si>
  <si>
    <t>Syniverse Holdings LLC/DE</t>
  </si>
  <si>
    <t>BL500764 Corp</t>
  </si>
  <si>
    <t>0008170D US Equity</t>
  </si>
  <si>
    <t>LASSHI PIK-TERM B2 1L USD Corp</t>
  </si>
  <si>
    <t>Lasership Inc</t>
  </si>
  <si>
    <t>BL481053 Corp</t>
  </si>
  <si>
    <t>LASSHI TL A 1L USD Corp</t>
  </si>
  <si>
    <t>BL481051 Corp</t>
  </si>
  <si>
    <t>LASSHI PIK-TERM B1 1L USD Corp</t>
  </si>
  <si>
    <t>BL481050 Corp</t>
  </si>
  <si>
    <t>LASSHI PIK-TERM C 1L USD Corp</t>
  </si>
  <si>
    <t>BL481049 Corp</t>
  </si>
  <si>
    <t>LASSHI PIK-TERM D 1L USD Corp</t>
  </si>
  <si>
    <t>BL481047 Corp</t>
  </si>
  <si>
    <t>LASSHI PIK-TERM E 1L USD Corp</t>
  </si>
  <si>
    <t>BL360879 Corp</t>
  </si>
  <si>
    <t>LASSHI TL 2L USD Corp</t>
  </si>
  <si>
    <t>BL360877 Corp</t>
  </si>
  <si>
    <t>LASSHI TL 1L USD Corp</t>
  </si>
  <si>
    <t>.</t>
  </si>
  <si>
    <t>YO101774 Corp</t>
  </si>
  <si>
    <t>2623809D JY Equity</t>
  </si>
  <si>
    <t>TOUCAN 8 ¼ 05/15/30</t>
  </si>
  <si>
    <t>Toucan TopCo Ltd/Jersey</t>
  </si>
  <si>
    <t>YO098165 Corp</t>
  </si>
  <si>
    <t>TOUCAN 9 ½ 05/15/30</t>
  </si>
  <si>
    <t>ZJ054712 Corp</t>
  </si>
  <si>
    <t>EAF US Equity</t>
  </si>
  <si>
    <t>EAF 9 ⅞ 12/15/28</t>
  </si>
  <si>
    <t>GrafTech International Ltd</t>
  </si>
  <si>
    <t>YS257893 Corp</t>
  </si>
  <si>
    <t>EAF 9 ⅞ 12/23/29</t>
  </si>
  <si>
    <t>YS257811 Corp</t>
  </si>
  <si>
    <t>EAF 4 ⅝ 12/23/29</t>
  </si>
  <si>
    <t>BM949150 Corp</t>
  </si>
  <si>
    <t>EAF 4 ⅝ 12/15/28</t>
  </si>
  <si>
    <t>BL492274 Corp</t>
  </si>
  <si>
    <t>EAF TL 1L USD Corp</t>
  </si>
  <si>
    <t>BL472696 Corp</t>
  </si>
  <si>
    <t>2461787D US Equity</t>
  </si>
  <si>
    <t>PRFT TL B 1L USD Corp</t>
  </si>
  <si>
    <t>Plano HoldCo Inc</t>
  </si>
  <si>
    <t>YS783088 Corp</t>
  </si>
  <si>
    <t>TSEOQ US Equity</t>
  </si>
  <si>
    <t>TSE 7 ⅝ 05/03/29</t>
  </si>
  <si>
    <t>Trinseo PLC</t>
  </si>
  <si>
    <t>BL567091 Corp</t>
  </si>
  <si>
    <t>TSE REV 1L USD Corp</t>
  </si>
  <si>
    <t>BL511344 Corp</t>
  </si>
  <si>
    <t>TSE PIK-TERM B 1L USD Corp</t>
  </si>
  <si>
    <t>BL511343 Corp</t>
  </si>
  <si>
    <t>TSE PIK-TERM A 1L USD Corp</t>
  </si>
  <si>
    <t>BL498637 Corp</t>
  </si>
  <si>
    <t>BL498601 Corp</t>
  </si>
  <si>
    <t>TSE PIK-TERM C 1L USD Corp</t>
  </si>
  <si>
    <t>BL442006 Corp</t>
  </si>
  <si>
    <t>BL441950 Corp</t>
  </si>
  <si>
    <t>BL441949 Corp</t>
  </si>
  <si>
    <t>BL357158 Corp</t>
  </si>
  <si>
    <t>TSE TL B2 1L USD Corp</t>
  </si>
  <si>
    <t>BL456915 Corp</t>
  </si>
  <si>
    <t>1568543D US Equity</t>
  </si>
  <si>
    <t>WELDNE TL B 1L USD Corp</t>
  </si>
  <si>
    <t>Imagine Learning LLC/AZ</t>
  </si>
  <si>
    <t>BL501964 Corp</t>
  </si>
  <si>
    <t>1854140D US Equity</t>
  </si>
  <si>
    <t>STRBLE TL B 1L USD Corp</t>
  </si>
  <si>
    <t>Storable Inc</t>
  </si>
  <si>
    <t>BL539529 Corp</t>
  </si>
  <si>
    <t>1756600D US Equity</t>
  </si>
  <si>
    <t>UPSREH PIK-TERM 1L USD Corp</t>
  </si>
  <si>
    <t>Upstream Newco Inc</t>
  </si>
  <si>
    <t>BL319084 Corp</t>
  </si>
  <si>
    <t>UPSREH TL 2L USD Corp</t>
  </si>
  <si>
    <t>BL319073 Corp</t>
  </si>
  <si>
    <t>UPSREH REV 1L USD Corp</t>
  </si>
  <si>
    <t>YW776220 Corp</t>
  </si>
  <si>
    <t>1993618D US Equity</t>
  </si>
  <si>
    <t>RRD 10 ⅞ 08/01/29</t>
  </si>
  <si>
    <t>RRD Parent Inc</t>
  </si>
  <si>
    <t>YW486216 Corp</t>
  </si>
  <si>
    <t>RRD 9 ½ 08/01/29</t>
  </si>
  <si>
    <t>YS941973 Corp</t>
  </si>
  <si>
    <t>RRDPRI 12 PERP</t>
  </si>
  <si>
    <t>EC124035 Corp</t>
  </si>
  <si>
    <t>RRD 6 ⅝ 04/15/29</t>
  </si>
  <si>
    <t>EC002661 Corp</t>
  </si>
  <si>
    <t>RRD 8.82 04/15/31</t>
  </si>
  <si>
    <t>DK870221 Corp</t>
  </si>
  <si>
    <t>RRD 11 06/01/31</t>
  </si>
  <si>
    <t>BU789817 Corp</t>
  </si>
  <si>
    <t>RRDPRI 10 10/15/31</t>
  </si>
  <si>
    <t>BG960832 Corp</t>
  </si>
  <si>
    <t>RRD 8 ½ 04/15/29</t>
  </si>
  <si>
    <t>BL472973 Corp</t>
  </si>
  <si>
    <t>RRD TL B 1L USD Corp</t>
  </si>
  <si>
    <t>YK423726 Corp</t>
  </si>
  <si>
    <t>ZAYO US Equity</t>
  </si>
  <si>
    <t>ZAYO 13 ¾ 09/09/30</t>
  </si>
  <si>
    <t>Zayo Group Holdings Inc</t>
  </si>
  <si>
    <t>YK419914 Corp</t>
  </si>
  <si>
    <t>ZAYO 9 ¼ 03/09/30</t>
  </si>
  <si>
    <t>EC290131 Corp</t>
  </si>
  <si>
    <t>TSIXQ 13 05/01/08</t>
  </si>
  <si>
    <t>EC286925 Corp</t>
  </si>
  <si>
    <t>EC250991 Corp</t>
  </si>
  <si>
    <t>EC232566 Corp</t>
  </si>
  <si>
    <t>TSIXQ 12 08/01/09</t>
  </si>
  <si>
    <t>EC174022 Corp</t>
  </si>
  <si>
    <t>TSIXQ 12 ½ 12/15/05</t>
  </si>
  <si>
    <t>BL553450 Corp</t>
  </si>
  <si>
    <t>ZAYO TL 1L USD Corp</t>
  </si>
  <si>
    <t>BL525018 Corp</t>
  </si>
  <si>
    <t>ZAYO PIK-TERM 1L EUR Corp</t>
  </si>
  <si>
    <t>BL525016 Corp</t>
  </si>
  <si>
    <t>ZAYO PIK-TERM 1L USD Corp</t>
  </si>
  <si>
    <t>BL466575 Corp</t>
  </si>
  <si>
    <t>0976837D US Equity</t>
  </si>
  <si>
    <t>LCGI TL B 1L USD Corp</t>
  </si>
  <si>
    <t>Learning Care Group US No 2 In</t>
  </si>
  <si>
    <t>BL423552 Corp</t>
  </si>
  <si>
    <t>1669651D US Equity</t>
  </si>
  <si>
    <t>ACCHEA TL B 1L USD Corp</t>
  </si>
  <si>
    <t>Athletico Holdings LLC</t>
  </si>
  <si>
    <t>BL385909 Corp</t>
  </si>
  <si>
    <t>ACCHEA REV 1L USD Corp</t>
  </si>
  <si>
    <t>BL384013 Corp</t>
  </si>
  <si>
    <t>ZI999870 Corp</t>
  </si>
  <si>
    <t>MERC US Equity</t>
  </si>
  <si>
    <t>MERC 12 ⅞ 10/01/28</t>
  </si>
  <si>
    <t>Mercer International Inc</t>
  </si>
  <si>
    <t>BP951343 Corp</t>
  </si>
  <si>
    <t>MERC 5 ⅛ 02/01/29</t>
  </si>
  <si>
    <t>BN536652 Corp</t>
  </si>
  <si>
    <t>BL445265 Corp</t>
  </si>
  <si>
    <t>MERC REV 1L CAD Corp</t>
  </si>
  <si>
    <t>BL403045 Corp</t>
  </si>
  <si>
    <t>MERC REV GUAR EUR Corp</t>
  </si>
  <si>
    <t>BL484582 Corp</t>
  </si>
  <si>
    <t>1836699D US Equity</t>
  </si>
  <si>
    <t>MEGBRO TL B 1L USD Corp</t>
  </si>
  <si>
    <t>Eagle Broadband Investments LL</t>
  </si>
  <si>
    <t>BL347226 Corp</t>
  </si>
  <si>
    <t>MEGBRO REV 1L USD Corp</t>
  </si>
  <si>
    <t>BL346782 Corp</t>
  </si>
  <si>
    <t>144*</t>
  </si>
  <si>
    <t>YX718377 Corp</t>
  </si>
  <si>
    <t>LDI US Equity</t>
  </si>
  <si>
    <t>LNDPT 8 ¾ 11/01/27</t>
  </si>
  <si>
    <t>loanDepot Inc</t>
  </si>
  <si>
    <t>BO739332 Corp</t>
  </si>
  <si>
    <t>LNDPT 6 ⅛ 04/01/28</t>
  </si>
  <si>
    <t>BL458810 Corp</t>
  </si>
  <si>
    <t>2623276D US Equity</t>
  </si>
  <si>
    <t>ACCARE TL FLSO 1L USD Corp</t>
  </si>
  <si>
    <t>Horizon Group Holdings LP</t>
  </si>
  <si>
    <t>BL458445 Corp</t>
  </si>
  <si>
    <t>ACCARE TL 1L USD Corp</t>
  </si>
  <si>
    <t>DA927159 Corp</t>
  </si>
  <si>
    <t>0190630Z US Equity</t>
  </si>
  <si>
    <t>FXIHLD 14 11/15/29</t>
  </si>
  <si>
    <t>FXI Holdings Inc</t>
  </si>
  <si>
    <t>DA926865 Corp</t>
  </si>
  <si>
    <t>FXIHLD 11 11/15/30</t>
  </si>
  <si>
    <t>DA926862 Corp</t>
  </si>
  <si>
    <t>DA926801 Corp</t>
  </si>
  <si>
    <t>BL451092 Corp</t>
  </si>
  <si>
    <t>FXIHLD REV EXT 1L USD Corp</t>
  </si>
  <si>
    <t>ZR085078 Corp</t>
  </si>
  <si>
    <t>CNP US Equity</t>
  </si>
  <si>
    <t>Utilities</t>
  </si>
  <si>
    <t>CNP 3.7 09/01/49</t>
  </si>
  <si>
    <t>CenterPoint Energy Inc</t>
  </si>
  <si>
    <t>ZR085077 Corp</t>
  </si>
  <si>
    <t>CNP 2.95 03/01/30</t>
  </si>
  <si>
    <t>ZO621499 Corp</t>
  </si>
  <si>
    <t>CNP 1 ¾ 10/01/30</t>
  </si>
  <si>
    <t>ZL717146 Corp</t>
  </si>
  <si>
    <t>CNP 5.3 04/01/53</t>
  </si>
  <si>
    <t>ZL717144 Corp</t>
  </si>
  <si>
    <t>CNP 4.95 04/01/33</t>
  </si>
  <si>
    <t>ZL213277 Corp</t>
  </si>
  <si>
    <t>CNP 5.4 03/01/33</t>
  </si>
  <si>
    <t>ZL213276 Corp</t>
  </si>
  <si>
    <t>CNP 5 ¼ 03/01/28</t>
  </si>
  <si>
    <t>ZJ013814 Corp</t>
  </si>
  <si>
    <t>VVC 5.172 05/15/41</t>
  </si>
  <si>
    <t>ZJ013487 Corp</t>
  </si>
  <si>
    <t>VVC 5.026 11/15/36</t>
  </si>
  <si>
    <t>A1</t>
  </si>
  <si>
    <t>ZI894745 Corp</t>
  </si>
  <si>
    <t>CNP 5.2 10/01/28</t>
  </si>
  <si>
    <t>ZI267978 Corp</t>
  </si>
  <si>
    <t>CNP 5 ¼ 08/10/26</t>
  </si>
  <si>
    <t>ZI135086 Corp</t>
  </si>
  <si>
    <t>CNP 4 ¼ 08/15/26</t>
  </si>
  <si>
    <t>ZI000194 Corp</t>
  </si>
  <si>
    <t>CNP 6.1 12/01/35</t>
  </si>
  <si>
    <t>ZD321710 Corp</t>
  </si>
  <si>
    <t>CNP 5.15 03/01/34</t>
  </si>
  <si>
    <t>ZB989855 Corp</t>
  </si>
  <si>
    <t>CNP 5.4 06/01/29</t>
  </si>
  <si>
    <t>YX813819 Corp</t>
  </si>
  <si>
    <t>CNP 5.4 07/01/34</t>
  </si>
  <si>
    <t>YV109959 Corp</t>
  </si>
  <si>
    <t>CNP 6.85 02/15/55</t>
  </si>
  <si>
    <t>YV100585 Corp</t>
  </si>
  <si>
    <t>CNP 7 02/15/55</t>
  </si>
  <si>
    <t>YU882369 Corp</t>
  </si>
  <si>
    <t>CNP 5.05 03/01/35</t>
  </si>
  <si>
    <t>YU853372 Corp</t>
  </si>
  <si>
    <t>CNP 6.7 05/15/55</t>
  </si>
  <si>
    <t>YR802341 Corp</t>
  </si>
  <si>
    <t>CNP 4.8 03/15/30</t>
  </si>
  <si>
    <t>YM986861 Corp</t>
  </si>
  <si>
    <t>CNP 4.95 08/15/35</t>
  </si>
  <si>
    <t>AQ</t>
  </si>
  <si>
    <t>YM778544 Corp</t>
  </si>
  <si>
    <t>CNP 3 08/01/28</t>
  </si>
  <si>
    <t>YK568451 Corp</t>
  </si>
  <si>
    <t>CNP 5.95 04/01/56</t>
  </si>
  <si>
    <t>YH350625 Corp</t>
  </si>
  <si>
    <t>CNP 4.864 12/15/39</t>
  </si>
  <si>
    <t>a-3</t>
  </si>
  <si>
    <t>YH347970 Corp</t>
  </si>
  <si>
    <t>CNP 4.48 06/15/35</t>
  </si>
  <si>
    <t>A-2</t>
  </si>
  <si>
    <t>YH343837 Corp</t>
  </si>
  <si>
    <t>CNP 3.899 12/15/30</t>
  </si>
  <si>
    <t>a-1</t>
  </si>
  <si>
    <t>QZ184830 Corp</t>
  </si>
  <si>
    <t>CNP 2.4 09/01/26</t>
  </si>
  <si>
    <t>Z</t>
  </si>
  <si>
    <t>MM133326 Corp</t>
  </si>
  <si>
    <t>VVC 6.34 12/10/27</t>
  </si>
  <si>
    <t>MTNF</t>
  </si>
  <si>
    <t>MM128886 Corp</t>
  </si>
  <si>
    <t>VVC 6.68 07/07/27</t>
  </si>
  <si>
    <t>MM128849 Corp</t>
  </si>
  <si>
    <t>VVC 6.42 07/07/27</t>
  </si>
  <si>
    <t>EK124749 Corp</t>
  </si>
  <si>
    <t>CNP 4 ½ 04/01/44</t>
  </si>
  <si>
    <t>EJ315262 Corp</t>
  </si>
  <si>
    <t>CNP 3.55 08/01/42</t>
  </si>
  <si>
    <t>EI788017 Corp</t>
  </si>
  <si>
    <t>CNP 5.85 01/15/41</t>
  </si>
  <si>
    <t>EG949780 Corp</t>
  </si>
  <si>
    <t>CNP 6 ⅝ 11/01/37</t>
  </si>
  <si>
    <t>EG157251 Corp</t>
  </si>
  <si>
    <t>CNP 6 ¼ 02/01/37</t>
  </si>
  <si>
    <t>ED285036 Corp</t>
  </si>
  <si>
    <t>CNP 6.95 03/15/33</t>
  </si>
  <si>
    <t>K2</t>
  </si>
  <si>
    <t>EC186472 Corp</t>
  </si>
  <si>
    <t>VVC 7.08 10/05/29</t>
  </si>
  <si>
    <t>MTNG</t>
  </si>
  <si>
    <t>EC181642 Corp</t>
  </si>
  <si>
    <t>CNP 3.3692 09/15/29</t>
  </si>
  <si>
    <t>EC002337 Corp</t>
  </si>
  <si>
    <t>VVC 6.55 06/30/28</t>
  </si>
  <si>
    <t>DF837025 Corp</t>
  </si>
  <si>
    <t>CNP 4.85 04/01/36</t>
  </si>
  <si>
    <t>AR</t>
  </si>
  <si>
    <t>DF834854 Corp</t>
  </si>
  <si>
    <t>CNP 2 ⅞ 05/15/29</t>
  </si>
  <si>
    <t>BZ006438 Corp</t>
  </si>
  <si>
    <t>CNP 4.85 10/01/52</t>
  </si>
  <si>
    <t>AJ</t>
  </si>
  <si>
    <t>BZ006433 Corp</t>
  </si>
  <si>
    <t>CNP 4.45 10/01/32</t>
  </si>
  <si>
    <t>ai.</t>
  </si>
  <si>
    <t>BX160646 Corp</t>
  </si>
  <si>
    <t>CNP 5.99 11/30/41</t>
  </si>
  <si>
    <t>BX160577 Corp</t>
  </si>
  <si>
    <t>CNP 5.02 11/30/26</t>
  </si>
  <si>
    <t>BX160464 Corp</t>
  </si>
  <si>
    <t>CNP 5 02/03/42</t>
  </si>
  <si>
    <t>BX160333 Corp</t>
  </si>
  <si>
    <t>CNP 4 ¼ 06/05/43</t>
  </si>
  <si>
    <t>BX159744 Corp</t>
  </si>
  <si>
    <t>CNP 4.36 12/15/45</t>
  </si>
  <si>
    <t>BX050123 Corp</t>
  </si>
  <si>
    <t>CNP 4.4 07/01/32</t>
  </si>
  <si>
    <t>BU749020 Corp</t>
  </si>
  <si>
    <t>CNP 3.6 03/01/52</t>
  </si>
  <si>
    <t>AH</t>
  </si>
  <si>
    <t>BU749014 Corp</t>
  </si>
  <si>
    <t>CNP 3 03/01/32</t>
  </si>
  <si>
    <t>AG</t>
  </si>
  <si>
    <t>BP494754 Corp</t>
  </si>
  <si>
    <t>CNP 2.65 06/01/31</t>
  </si>
  <si>
    <t>BO463674 Corp</t>
  </si>
  <si>
    <t>CNP 3.35 04/01/51</t>
  </si>
  <si>
    <t>AF</t>
  </si>
  <si>
    <t>BO463673 Corp</t>
  </si>
  <si>
    <t>CNP 2.35 04/01/31</t>
  </si>
  <si>
    <t>AE</t>
  </si>
  <si>
    <t>BJ818816 Corp</t>
  </si>
  <si>
    <t>CNP 2.9 07/01/50</t>
  </si>
  <si>
    <t>AD</t>
  </si>
  <si>
    <t>AW645535 Corp</t>
  </si>
  <si>
    <t>CNP 4 ¼ 02/01/49</t>
  </si>
  <si>
    <t>AC</t>
  </si>
  <si>
    <t>AU814405 Corp</t>
  </si>
  <si>
    <t>CNP 4 ¼ 11/01/28</t>
  </si>
  <si>
    <t>AR931230 Corp</t>
  </si>
  <si>
    <t>CNP 4 04/01/28</t>
  </si>
  <si>
    <t>AR501302 Corp</t>
  </si>
  <si>
    <t>CNP 3.95 03/01/48</t>
  </si>
  <si>
    <t>AO844143 Corp</t>
  </si>
  <si>
    <t>CNP 4.1 09/01/47</t>
  </si>
  <si>
    <t>AM077055 Corp</t>
  </si>
  <si>
    <t>CNP 3 02/01/27</t>
  </si>
  <si>
    <t>AA</t>
  </si>
  <si>
    <t>BT999880 Corp</t>
  </si>
  <si>
    <t>1985981D US Equity</t>
  </si>
  <si>
    <t>SCGALO 6 ⅝ 03/01/30</t>
  </si>
  <si>
    <t>Scientific Games Holdings LP</t>
  </si>
  <si>
    <t>BL467971 Corp</t>
  </si>
  <si>
    <t>SCGALO TL B 1L USD Corp</t>
  </si>
  <si>
    <t>BL384340 Corp</t>
  </si>
  <si>
    <t>SCGALO TL B 1L EUR Corp</t>
  </si>
  <si>
    <t>ZP899734 Corp</t>
  </si>
  <si>
    <t>2308386D US Equity</t>
  </si>
  <si>
    <t>SECBEN 9.508 PERP</t>
  </si>
  <si>
    <t>NZC Capital LLC</t>
  </si>
  <si>
    <t>YU722355 Corp</t>
  </si>
  <si>
    <t>SECBEN 7.2 10/30/34</t>
  </si>
  <si>
    <t>YK300943 Corp</t>
  </si>
  <si>
    <t>SECBEN 5.9 09/26/28</t>
  </si>
  <si>
    <t>ED166787 Corp</t>
  </si>
  <si>
    <t>SECBEN 7.45 10/01/33</t>
  </si>
  <si>
    <t>BQ135572 Corp</t>
  </si>
  <si>
    <t>SECBEN 6 ½ PERP</t>
  </si>
  <si>
    <t>BO022481 Corp</t>
  </si>
  <si>
    <t>SECBEN 5 02/18/31</t>
  </si>
  <si>
    <t>ZP566477 Corp</t>
  </si>
  <si>
    <t>1627898D US Equity</t>
  </si>
  <si>
    <t>RADPAR 9 ¼ 02/01/28</t>
  </si>
  <si>
    <t>Radiology Partners Holdings LL</t>
  </si>
  <si>
    <t>ZD303091 Corp</t>
  </si>
  <si>
    <t>RADPAR 9.781 02/15/30</t>
  </si>
  <si>
    <t>YN655208 Corp</t>
  </si>
  <si>
    <t>RADPAR 8 ½ 07/15/32</t>
  </si>
  <si>
    <t>BL514093 Corp</t>
  </si>
  <si>
    <t>RADPAR TL B 1L USD Corp</t>
  </si>
  <si>
    <t>DF476578 Corp</t>
  </si>
  <si>
    <t>AKU CN Equity</t>
  </si>
  <si>
    <t>AKUCN 9 ¾ 08/31/31</t>
  </si>
  <si>
    <t>Akumin Inc</t>
  </si>
  <si>
    <t>BL523447 Corp</t>
  </si>
  <si>
    <t>1652144D US Equity</t>
  </si>
  <si>
    <t>SUMBEH TL 1L USD Corp</t>
  </si>
  <si>
    <t>Summit Behavioral Healthcare L</t>
  </si>
  <si>
    <t>BL523446 Corp</t>
  </si>
  <si>
    <t>BL375657 Corp</t>
  </si>
  <si>
    <t>SUMBEH REV 1L USD Corp</t>
  </si>
  <si>
    <t>YV910290 Corp</t>
  </si>
  <si>
    <t>1808159D US Equity</t>
  </si>
  <si>
    <t>PETSAF 9 ½ 10/15/29</t>
  </si>
  <si>
    <t>CD&amp;R Smokey Buyer Inc</t>
  </si>
  <si>
    <t>DF618868 Corp</t>
  </si>
  <si>
    <t>1897811D US Equity</t>
  </si>
  <si>
    <t>MIK 11 03/15/34</t>
  </si>
  <si>
    <t>DF616786 Corp</t>
  </si>
  <si>
    <t>MIK 8 ½ 03/15/33</t>
  </si>
  <si>
    <t>BL556149 Corp</t>
  </si>
  <si>
    <t>MIK TL B 1L USD Corp</t>
  </si>
  <si>
    <t>YV017893 Corp</t>
  </si>
  <si>
    <t>JELD US Equity</t>
  </si>
  <si>
    <t>JELD 7 09/01/32</t>
  </si>
  <si>
    <t>JELD-WEN Holding Inc</t>
  </si>
  <si>
    <t>AQ306610 Corp</t>
  </si>
  <si>
    <t>JELD 4 ⅞ 12/15/27</t>
  </si>
  <si>
    <t>BL456270 Corp</t>
  </si>
  <si>
    <t>JELD TL B 1L USD Corp</t>
  </si>
  <si>
    <t>BL160486 Corp</t>
  </si>
  <si>
    <t>JELD REV 1L USD Corp</t>
  </si>
  <si>
    <t>ZR663785 Corp</t>
  </si>
  <si>
    <t>FMC US Equity</t>
  </si>
  <si>
    <t>FMC 4 ½ 10/01/49</t>
  </si>
  <si>
    <t>FMC Corp</t>
  </si>
  <si>
    <t>ZR663783 Corp</t>
  </si>
  <si>
    <t>FMC 3.45 10/01/29</t>
  </si>
  <si>
    <t>ZK661623 Corp</t>
  </si>
  <si>
    <t>FMC 6 ⅜ 05/18/53</t>
  </si>
  <si>
    <t>ZK661622 Corp</t>
  </si>
  <si>
    <t>FMC 5.65 05/18/33</t>
  </si>
  <si>
    <t>YO679552 Corp</t>
  </si>
  <si>
    <t>FMC 8.45 11/01/55</t>
  </si>
  <si>
    <t>DK916705 Corp</t>
  </si>
  <si>
    <t>FMC 8 06/01/31</t>
  </si>
  <si>
    <t>BL833805 Corp</t>
  </si>
  <si>
    <t>FMC REV 1L USD Corp</t>
  </si>
  <si>
    <t>BL383410 Corp</t>
  </si>
  <si>
    <t>2307417D US Equity</t>
  </si>
  <si>
    <t>VACHOL TL B 1L USD Corp</t>
  </si>
  <si>
    <t>Vaco Intermediate Holdings LLC</t>
  </si>
  <si>
    <t>1440 Foods Topco LLC</t>
  </si>
  <si>
    <t>BL553047 Corp</t>
  </si>
  <si>
    <t>8397611Z US Equity</t>
  </si>
  <si>
    <t>SPECRE TL DD 1L USD Corp</t>
  </si>
  <si>
    <t>SpecialtyCare Inc</t>
  </si>
  <si>
    <t>BL553046 Corp</t>
  </si>
  <si>
    <t>SPECRE TL 1L USD Corp</t>
  </si>
  <si>
    <t>BL366395 Corp</t>
  </si>
  <si>
    <t>BL10016S Corp</t>
  </si>
  <si>
    <t>YN344424 Corp</t>
  </si>
  <si>
    <t>UIS US Equity</t>
  </si>
  <si>
    <t>UIS 10 ⅝ 01/15/31</t>
  </si>
  <si>
    <t>Unisys Corp</t>
  </si>
  <si>
    <t>Geon Performance Solutions LLC</t>
  </si>
  <si>
    <t>Onity Group Inc</t>
  </si>
  <si>
    <t>BV483265 Corp</t>
  </si>
  <si>
    <t>EMBC US Equity</t>
  </si>
  <si>
    <t>EMBC 6 ¾ 02/15/30</t>
  </si>
  <si>
    <t>Embecta Corp</t>
  </si>
  <si>
    <t>BT727732 Corp</t>
  </si>
  <si>
    <t>EMBC 5 02/15/30</t>
  </si>
  <si>
    <t>BL383763 Corp</t>
  </si>
  <si>
    <t>EMBC TL B 1L USD Corp</t>
  </si>
  <si>
    <t>DI389955 Corp</t>
  </si>
  <si>
    <t>1473995D US Equity</t>
  </si>
  <si>
    <t>DEXAXL 7 ½ 04/15/32</t>
  </si>
  <si>
    <t>Dexko Global Inc</t>
  </si>
  <si>
    <t>BL566162 Corp</t>
  </si>
  <si>
    <t>DEXAXL TL 1L EUR Corp</t>
  </si>
  <si>
    <t>BL559411 Corp</t>
  </si>
  <si>
    <t>BL559410 Corp</t>
  </si>
  <si>
    <t>DEXAXL TL 1L USD Corp</t>
  </si>
  <si>
    <t>BL559408 Corp</t>
  </si>
  <si>
    <t>BL371822 Corp</t>
  </si>
  <si>
    <t>DEXAXL REV 1L USD Corp</t>
  </si>
  <si>
    <t>YX028278 Corp</t>
  </si>
  <si>
    <t>1899151D US Equity</t>
  </si>
  <si>
    <t>EXETFI 12 ¼ 11/01/29</t>
  </si>
  <si>
    <t>Exeter Finance LLC</t>
  </si>
  <si>
    <t>BR648956 Corp</t>
  </si>
  <si>
    <t>EXETFI 6 ⅜ 11/01/29</t>
  </si>
  <si>
    <t>BN724397 Corp</t>
  </si>
  <si>
    <t>GTM US Equity</t>
  </si>
  <si>
    <t>ZMINFO 3 ⅞ 02/01/29</t>
  </si>
  <si>
    <t>ZoomInfo Technologies Inc</t>
  </si>
  <si>
    <t>BL466639 Corp</t>
  </si>
  <si>
    <t>ZMINFO TL B 1L USD Corp</t>
  </si>
  <si>
    <t>BL293160 Corp</t>
  </si>
  <si>
    <t>ZMINFO REV 1L USD Corp</t>
  </si>
  <si>
    <t>YV103586 Corp</t>
  </si>
  <si>
    <t>3167676Z US Equity</t>
  </si>
  <si>
    <t>MIDCON 8 08/15/32</t>
  </si>
  <si>
    <t>Midcontinent Communications</t>
  </si>
  <si>
    <t>BL511609 Corp</t>
  </si>
  <si>
    <t>RAZFFS TL UNSEC USD Corp</t>
  </si>
  <si>
    <t>BL473299 Corp</t>
  </si>
  <si>
    <t>MIDCON TL B 1L USD Corp</t>
  </si>
  <si>
    <t>EJ950479 Corp</t>
  </si>
  <si>
    <t>2596985D US Equity</t>
  </si>
  <si>
    <t>UFS 6 ¾ 02/15/44</t>
  </si>
  <si>
    <t>Pearl Excellence Holdco LP</t>
  </si>
  <si>
    <t>EJ332584 Corp</t>
  </si>
  <si>
    <t>UFS 6 ¼ 09/01/42</t>
  </si>
  <si>
    <t>BR676860 Corp</t>
  </si>
  <si>
    <t>UFS 6 ¾ 10/01/28</t>
  </si>
  <si>
    <t>BL506940 Corp</t>
  </si>
  <si>
    <t>UFS TL 1L USD Corp</t>
  </si>
  <si>
    <t>BL446680 Corp</t>
  </si>
  <si>
    <t>UFS TL B 1L USD Corp</t>
  </si>
  <si>
    <t>BL446679 Corp</t>
  </si>
  <si>
    <t>UFS TL A 1L USD Corp</t>
  </si>
  <si>
    <t>BL372175 Corp</t>
  </si>
  <si>
    <t>UFS REV 1L USD Corp</t>
  </si>
  <si>
    <t>BL372011 Corp</t>
  </si>
  <si>
    <t>YR253054 Corp</t>
  </si>
  <si>
    <t>TEAD US Equity</t>
  </si>
  <si>
    <t>OB 10 02/15/30</t>
  </si>
  <si>
    <t>Teads Holding Co</t>
  </si>
  <si>
    <t>ZO480146 Corp</t>
  </si>
  <si>
    <t>2623796D US Equity</t>
  </si>
  <si>
    <t>AMGENE 9 ½ 10/01/28</t>
  </si>
  <si>
    <t>PM General Aggregator LP</t>
  </si>
  <si>
    <t>BL351774 Corp</t>
  </si>
  <si>
    <t>AMGENE TL 1L USD Corp</t>
  </si>
  <si>
    <t>ZQ772775 Corp</t>
  </si>
  <si>
    <t>BRKM5 BZ Equity</t>
  </si>
  <si>
    <t>MX</t>
  </si>
  <si>
    <t>BAKIDE 7.45 11/15/29</t>
  </si>
  <si>
    <t>Braskem SA</t>
  </si>
  <si>
    <t>ZQ357922 Corp</t>
  </si>
  <si>
    <t>BRASKM 5 ⅞ 01/31/50</t>
  </si>
  <si>
    <t>ZQ357901 Corp</t>
  </si>
  <si>
    <t>BRASKM 4 ½ 01/31/30</t>
  </si>
  <si>
    <t>ZN888084 Corp</t>
  </si>
  <si>
    <t>BRASKM Float 11/09/32</t>
  </si>
  <si>
    <t>B8</t>
  </si>
  <si>
    <t>ZN887990 Corp</t>
  </si>
  <si>
    <t>BRASKM Float 11/09/29</t>
  </si>
  <si>
    <t>A81</t>
  </si>
  <si>
    <t>ZM956762 Corp</t>
  </si>
  <si>
    <t>BRASKM 7 ¼ 02/13/33</t>
  </si>
  <si>
    <t>ZI808332 Corp</t>
  </si>
  <si>
    <t>BRASKM 8 ½ 01/12/31</t>
  </si>
  <si>
    <t>YV435605 Corp</t>
  </si>
  <si>
    <t>DISTBZ 8.8526 08/15/32</t>
  </si>
  <si>
    <t>YU415516 Corp</t>
  </si>
  <si>
    <t>BRASKM 8 10/15/34</t>
  </si>
  <si>
    <t>YR885276 Corp</t>
  </si>
  <si>
    <t>CTREBZ Float 02/14/32</t>
  </si>
  <si>
    <t>EI756490 Corp</t>
  </si>
  <si>
    <t>BRASKM 7 ⅛ 07/22/41</t>
  </si>
  <si>
    <t>BX123405 Corp</t>
  </si>
  <si>
    <t>BRASKM Float 05/12/32</t>
  </si>
  <si>
    <t>B6</t>
  </si>
  <si>
    <t>BX122675 Corp</t>
  </si>
  <si>
    <t>BRASKM Float 05/12/29</t>
  </si>
  <si>
    <t>A6</t>
  </si>
  <si>
    <t>BR969578 Corp</t>
  </si>
  <si>
    <t>BAKIDE 6.99 02/20/32</t>
  </si>
  <si>
    <t>BK589483 Corp</t>
  </si>
  <si>
    <t>BRASKM 12.004 01/23/2081</t>
  </si>
  <si>
    <t>AP428711 Corp</t>
  </si>
  <si>
    <t>BRASKM 4 ½ 01/10/28</t>
  </si>
  <si>
    <t>BL453702 Corp</t>
  </si>
  <si>
    <t>BRASKM TL 1L USD Corp</t>
  </si>
  <si>
    <t>BL380773 Corp</t>
  </si>
  <si>
    <t>ETE REV GUAR USD Corp</t>
  </si>
  <si>
    <t>BL378876 Corp</t>
  </si>
  <si>
    <t>BAKIDE TL GUAR USD Corp</t>
  </si>
  <si>
    <t>BL360281 Corp</t>
  </si>
  <si>
    <t>BRASKM TL GUAR USD Corp</t>
  </si>
  <si>
    <t>BL345625 Corp</t>
  </si>
  <si>
    <t>BL298570 Corp</t>
  </si>
  <si>
    <t>BL272920 Corp</t>
  </si>
  <si>
    <t>ETE TL DD 1L USD Corp</t>
  </si>
  <si>
    <t>BL088886 Corp</t>
  </si>
  <si>
    <t>BAKIDE TL 1L USD Corp</t>
  </si>
  <si>
    <t>BL088882 Corp</t>
  </si>
  <si>
    <t>BL072930 Corp</t>
  </si>
  <si>
    <t>YK513572 Corp</t>
  </si>
  <si>
    <t>2310490D US Equity</t>
  </si>
  <si>
    <t>GRUB 13 07/31/30</t>
  </si>
  <si>
    <t>Wonder Group Inc/NY</t>
  </si>
  <si>
    <t>YL574077 Corp</t>
  </si>
  <si>
    <t>3480862Z US Equity</t>
  </si>
  <si>
    <t>GTRC 8 ½ 01/15/29</t>
  </si>
  <si>
    <t>Guitar Center Holdings Inc</t>
  </si>
  <si>
    <t>BK399090 Corp</t>
  </si>
  <si>
    <t>GTRC 13 04/15/22</t>
  </si>
  <si>
    <t>144$</t>
  </si>
  <si>
    <t>BK396927 Corp</t>
  </si>
  <si>
    <t>BJ569721 Corp</t>
  </si>
  <si>
    <t>GTRC 9 ½ 10/15/21</t>
  </si>
  <si>
    <t>BJ569523 Corp</t>
  </si>
  <si>
    <t>BJ569247 Corp</t>
  </si>
  <si>
    <t>BJ566444 Corp</t>
  </si>
  <si>
    <t>GTRC 10 05/15/22</t>
  </si>
  <si>
    <t>AS177380 Corp</t>
  </si>
  <si>
    <t>AR725330 Corp</t>
  </si>
  <si>
    <t>BL356914 Corp</t>
  </si>
  <si>
    <t>GTRC REV EXIT 1L USD Corp</t>
  </si>
  <si>
    <t>YM780664 Corp</t>
  </si>
  <si>
    <t>HELIQ US Equity</t>
  </si>
  <si>
    <t>CHHCF 11 ¾ 09/01/30</t>
  </si>
  <si>
    <t>CHC Group Ltd</t>
  </si>
  <si>
    <t>YU871179 Corp</t>
  </si>
  <si>
    <t>TPGM IT Equity</t>
  </si>
  <si>
    <t>PLDEVE 12 05/15/29</t>
  </si>
  <si>
    <t>Top Gum Industries Ltd</t>
  </si>
  <si>
    <t>BL167407 Corp</t>
  </si>
  <si>
    <t>PLDEVE REV 1L USD Corp</t>
  </si>
  <si>
    <t>BP371171 Corp</t>
  </si>
  <si>
    <t>1885428D US Equity</t>
  </si>
  <si>
    <t>CLUCAR 6 ⅜ 06/01/29</t>
  </si>
  <si>
    <t>MajorDrive Holdings IV LLC</t>
  </si>
  <si>
    <t>BL390886 Corp</t>
  </si>
  <si>
    <t>CLUCAR TL B 1L USD Corp</t>
  </si>
  <si>
    <t>BL361808 Corp</t>
  </si>
  <si>
    <t>BR801978 Corp</t>
  </si>
  <si>
    <t>CNDT US Equity</t>
  </si>
  <si>
    <t>CNDT 6 11/01/29</t>
  </si>
  <si>
    <t>Conduent Inc</t>
  </si>
  <si>
    <t>BL522139 Corp</t>
  </si>
  <si>
    <t>CNDT LC 1L USD Corp</t>
  </si>
  <si>
    <t>ZF583870 Corp</t>
  </si>
  <si>
    <t>DND CN Equity</t>
  </si>
  <si>
    <t>DNDCN 6 ½ 11/01/28</t>
  </si>
  <si>
    <t>Dye &amp; Durham Ltd</t>
  </si>
  <si>
    <t>ZB140302 Corp</t>
  </si>
  <si>
    <t>DNDCN 8 ⅝ 04/15/29</t>
  </si>
  <si>
    <t>BL461299 Corp</t>
  </si>
  <si>
    <t>DNDCN TL B 1L USD Corp</t>
  </si>
  <si>
    <t>ZS765478 Corp</t>
  </si>
  <si>
    <t>GTE US Equity</t>
  </si>
  <si>
    <t>GTE 7 ¾ 05/23/27</t>
  </si>
  <si>
    <t>Gran Tierra Energy Inc</t>
  </si>
  <si>
    <t>ZH327734 Corp</t>
  </si>
  <si>
    <t>GTE 9 ½ 10/15/29</t>
  </si>
  <si>
    <t>DF678644 Corp</t>
  </si>
  <si>
    <t>GTE 9 ¾ 04/15/31</t>
  </si>
  <si>
    <t>BL466483 Corp</t>
  </si>
  <si>
    <t>GTE TL 1L CAD Corp</t>
  </si>
  <si>
    <t>YN478397 Corp</t>
  </si>
  <si>
    <t>2581707D US Equity</t>
  </si>
  <si>
    <t>SIZPLT 9 ½ 07/01/32</t>
  </si>
  <si>
    <t>BCPE Flavor Debt Merger Sub LL</t>
  </si>
  <si>
    <t>BL511920 Corp</t>
  </si>
  <si>
    <t>SIZPLT TL 1L USD Corp</t>
  </si>
  <si>
    <t>YU147266 Corp</t>
  </si>
  <si>
    <t>PGY US Equity</t>
  </si>
  <si>
    <t>IL</t>
  </si>
  <si>
    <t>PGY 6 ⅛ 10/01/29</t>
  </si>
  <si>
    <t>Pagaya Technologies Ltd</t>
  </si>
  <si>
    <t>YM617746 Corp</t>
  </si>
  <si>
    <t>PGY 8 ⅞ 08/01/30</t>
  </si>
  <si>
    <t>BL526152 Corp</t>
  </si>
  <si>
    <t>PGY REV 1L USD Corp</t>
  </si>
  <si>
    <t>ZK657022 Corp</t>
  </si>
  <si>
    <t>MGI US Equity</t>
  </si>
  <si>
    <t>MGI 9 06/01/30</t>
  </si>
  <si>
    <t>MoneyGram International Inc</t>
  </si>
  <si>
    <t>BL466438 Corp</t>
  </si>
  <si>
    <t>MGI TL B 1L USD Corp</t>
  </si>
  <si>
    <t>EP040797 Pfd</t>
  </si>
  <si>
    <t>MGI 0 PERP</t>
  </si>
  <si>
    <t>ZF036808 Corp</t>
  </si>
  <si>
    <t>ACDC US Equity</t>
  </si>
  <si>
    <t>PFHC Float 01/23/29</t>
  </si>
  <si>
    <t>ProFrac Holding Corp</t>
  </si>
  <si>
    <t>BL453737 Corp</t>
  </si>
  <si>
    <t>PROHOC TL 1L USD Corp</t>
  </si>
  <si>
    <t>BGS US Equity</t>
  </si>
  <si>
    <t>B&amp;G Foods Inc</t>
  </si>
  <si>
    <t>ZI871984 Corp</t>
  </si>
  <si>
    <t>BGS 8 09/15/28</t>
  </si>
  <si>
    <t>DL418390 Corp</t>
  </si>
  <si>
    <t>BGS 11 06/15/31</t>
  </si>
  <si>
    <t>BL469307 Corp</t>
  </si>
  <si>
    <t>BGS TL B5 1L USD Corp</t>
  </si>
  <si>
    <t>BL130761 Corp</t>
  </si>
  <si>
    <t>BGS REV 1L USD Corp</t>
  </si>
  <si>
    <t>ZP755285 Corp</t>
  </si>
  <si>
    <t>1864463D US Equity</t>
  </si>
  <si>
    <t>IPHS 9 ⅜ 02/15/28</t>
  </si>
  <si>
    <t>Iris Holdings Inc</t>
  </si>
  <si>
    <t>YS289835 Corp</t>
  </si>
  <si>
    <t>IPHS 11 ½ 06/15/29</t>
  </si>
  <si>
    <t>BL481331 Corp</t>
  </si>
  <si>
    <t>IPHS TL B 1L USD Corp</t>
  </si>
  <si>
    <t>ZG590796 Corp</t>
  </si>
  <si>
    <t>EVH US Equity</t>
  </si>
  <si>
    <t>EVH 3 ½ 12/01/29</t>
  </si>
  <si>
    <t>Evolent Health Inc</t>
  </si>
  <si>
    <t>YL430337 Corp</t>
  </si>
  <si>
    <t>EVH 4 ½ 08/15/31</t>
  </si>
  <si>
    <t>BL520317 Corp</t>
  </si>
  <si>
    <t>EVH TL 2L USD Corp</t>
  </si>
  <si>
    <t>BL489261 Corp</t>
  </si>
  <si>
    <t>EVH TL B-DD 1L USD Corp</t>
  </si>
  <si>
    <t>BL489260 Corp</t>
  </si>
  <si>
    <t>EVH TL A-DD 1L USD Corp</t>
  </si>
  <si>
    <t>BL396996 Corp</t>
  </si>
  <si>
    <t>EVH REV 1L USD Corp</t>
  </si>
  <si>
    <t>BX026951 Corp</t>
  </si>
  <si>
    <t>2070995D US Equity</t>
  </si>
  <si>
    <t>ITPCN 10 12/15/28</t>
  </si>
  <si>
    <t>Iris Holding Inc</t>
  </si>
  <si>
    <t>BL392504 Corp</t>
  </si>
  <si>
    <t>ITPCN REV 1L USD Corp</t>
  </si>
  <si>
    <t>BL392503 Corp</t>
  </si>
  <si>
    <t>ITPCN TL 1L USD Corp</t>
  </si>
  <si>
    <t>DJ112530 Corp</t>
  </si>
  <si>
    <t>2326513D CN Equity</t>
  </si>
  <si>
    <t>CANTAG 9 ¾ 05/08/31</t>
  </si>
  <si>
    <t>Canada Cartage Corp</t>
  </si>
  <si>
    <t>BL456645 Corp</t>
  </si>
  <si>
    <t>CANTAG TL A UNSEC CAD Corp</t>
  </si>
  <si>
    <t>BL456644 Corp</t>
  </si>
  <si>
    <t>RESET_INDEX</t>
  </si>
  <si>
    <t>LN_CURRENT_MARGIN</t>
  </si>
  <si>
    <t>INDUSTRY_GROUP</t>
  </si>
  <si>
    <t>LQA_LIQUIDITY_SCORE</t>
  </si>
  <si>
    <t>Media</t>
  </si>
  <si>
    <t>Fixed Index</t>
  </si>
  <si>
    <t>TSFR1M Index</t>
  </si>
  <si>
    <t>Internet</t>
  </si>
  <si>
    <t>PRIME Index</t>
  </si>
  <si>
    <t>Computers</t>
  </si>
  <si>
    <t>TSFR3M Index</t>
  </si>
  <si>
    <t>EUR003M Index</t>
  </si>
  <si>
    <t>Software</t>
  </si>
  <si>
    <t>EUR001M Index</t>
  </si>
  <si>
    <t>Commercial Services</t>
  </si>
  <si>
    <t>Retail</t>
  </si>
  <si>
    <t>Healthcare-Services</t>
  </si>
  <si>
    <t>Pipelines</t>
  </si>
  <si>
    <t>Transportation</t>
  </si>
  <si>
    <t>Telecommunications</t>
  </si>
  <si>
    <t>Building Materials</t>
  </si>
  <si>
    <t>Auto Parts&amp;Equipment</t>
  </si>
  <si>
    <t>SONIO/N Index</t>
  </si>
  <si>
    <t>Investment Companies</t>
  </si>
  <si>
    <t>Oil&amp;Gas</t>
  </si>
  <si>
    <t>Pharmaceuticals</t>
  </si>
  <si>
    <t>Healthcare-Products</t>
  </si>
  <si>
    <t>US0001M Index</t>
  </si>
  <si>
    <t>Engineering&amp;Construction</t>
  </si>
  <si>
    <t>Airlines</t>
  </si>
  <si>
    <t>Chemicals</t>
  </si>
  <si>
    <t>Mining</t>
  </si>
  <si>
    <t>Office/Business Equip</t>
  </si>
  <si>
    <t>Advertising</t>
  </si>
  <si>
    <t>Leisure Time</t>
  </si>
  <si>
    <t>Packaging&amp;Containers</t>
  </si>
  <si>
    <t>REITS</t>
  </si>
  <si>
    <t>TSFR6M Index</t>
  </si>
  <si>
    <t>Sovereign</t>
  </si>
  <si>
    <t>Diversified Finan Serv</t>
  </si>
  <si>
    <t>SAIB6M Index</t>
  </si>
  <si>
    <t>Auto Manufacturers</t>
  </si>
  <si>
    <t>SAIB3M Index</t>
  </si>
  <si>
    <t>Entertainment</t>
  </si>
  <si>
    <t>Lodging</t>
  </si>
  <si>
    <t>BL1001UX Corp</t>
  </si>
  <si>
    <t>EIGI TL 2L USD Corp</t>
  </si>
  <si>
    <t>BL1001UT Corp</t>
  </si>
  <si>
    <t>EIGI TL 1L USD Corp</t>
  </si>
  <si>
    <t>BL1001TR Corp</t>
  </si>
  <si>
    <t>Household Products/Wares</t>
  </si>
  <si>
    <t>TCOR3M Index</t>
  </si>
  <si>
    <t>Holding Companies-Divers</t>
  </si>
  <si>
    <t>Metal Fabricate/Hardware</t>
  </si>
  <si>
    <t>BL1001V6 Corp</t>
  </si>
  <si>
    <t>MAGBUY PIK-TERM 1L USD Corp</t>
  </si>
  <si>
    <t>Miscellaneous Manufactur</t>
  </si>
  <si>
    <t>Housewares</t>
  </si>
  <si>
    <t>US0003M Index</t>
  </si>
  <si>
    <t>Beverages</t>
  </si>
  <si>
    <t>CDOR01 Index</t>
  </si>
  <si>
    <t>BZDIOVRA Index</t>
  </si>
  <si>
    <t>Distribution/Wholesale</t>
  </si>
  <si>
    <t>Cosmetics/Personal Care</t>
  </si>
  <si>
    <t>EUR006M Index</t>
  </si>
  <si>
    <t>Machinery-Diversified</t>
  </si>
  <si>
    <t>Forest Products&amp;Paper</t>
  </si>
  <si>
    <t>TCOR1M Index</t>
  </si>
  <si>
    <t>Food</t>
  </si>
  <si>
    <t>Home Furnishings</t>
  </si>
  <si>
    <t>Electric</t>
  </si>
  <si>
    <t>Gas</t>
  </si>
  <si>
    <t>H15T5Y Index</t>
  </si>
  <si>
    <t>Water</t>
  </si>
  <si>
    <t>Environmental Control</t>
  </si>
  <si>
    <t>US0006M Index</t>
  </si>
  <si>
    <t>Oil&amp;Gas Services</t>
  </si>
  <si>
    <t>Insurance</t>
  </si>
  <si>
    <t>YI721213 Corp</t>
  </si>
  <si>
    <t>85163Z US Equity</t>
  </si>
  <si>
    <t>BLOCKC 10 ¼ 03/01/31</t>
  </si>
  <si>
    <t>Block Communications Inc</t>
  </si>
  <si>
    <t>BL238491 Corp</t>
  </si>
  <si>
    <t>BLOCKC REV 1L USD Corp</t>
  </si>
  <si>
    <t>BK913520 Corp</t>
  </si>
  <si>
    <t>ANGI US Equity</t>
  </si>
  <si>
    <t>ANGI 3 ⅞ 08/15/28</t>
  </si>
  <si>
    <t>Angi Inc</t>
  </si>
  <si>
    <t>NULL</t>
  </si>
  <si>
    <t>Liberty Global Ltd</t>
  </si>
  <si>
    <t>Scranton Plasma Holding B.V.</t>
  </si>
  <si>
    <t>BL464902</t>
  </si>
  <si>
    <t>Antares</t>
  </si>
  <si>
    <t>Hartree Partners LP</t>
  </si>
  <si>
    <t>IRS</t>
  </si>
  <si>
    <t>Ambac Assurance Corp</t>
  </si>
  <si>
    <t>OCTA Intermediate Holdings LLC</t>
  </si>
  <si>
    <t>BL525344</t>
  </si>
  <si>
    <t>Medical Solutions Holdings Inc</t>
  </si>
  <si>
    <t>Huaxia Bank</t>
  </si>
  <si>
    <t>Riverbed Technology LLC/US</t>
  </si>
  <si>
    <t>BL505703</t>
  </si>
  <si>
    <t>Single Portfolio</t>
  </si>
  <si>
    <t>Encina Performing Credit HoldCo</t>
  </si>
  <si>
    <t>BL472776</t>
  </si>
  <si>
    <t>AMC Entertainment Holdings Inc</t>
  </si>
  <si>
    <t>BL476640</t>
  </si>
  <si>
    <t>Ineos Styrolution Holding GmbH</t>
  </si>
  <si>
    <t>PECF USS Intermediate Holding III LLC</t>
  </si>
  <si>
    <t>CASH</t>
  </si>
  <si>
    <t>Fusion Parent LLC</t>
  </si>
  <si>
    <t>DA247540</t>
  </si>
  <si>
    <t>Newfold Digital Holdings Group Inc</t>
  </si>
  <si>
    <t>Compass Rock Residential Platform</t>
  </si>
  <si>
    <t>Energywell LLC</t>
  </si>
  <si>
    <t>BL539529</t>
  </si>
  <si>
    <t>AIM Hospitality Holdings Limited</t>
  </si>
  <si>
    <t>Spr Construction Pvt Ltd</t>
  </si>
  <si>
    <t>American Energy Partners Holdco LLC</t>
  </si>
  <si>
    <t>BL498637</t>
  </si>
  <si>
    <t>Ariel Re Syndicate 1910</t>
  </si>
  <si>
    <t>BL525886</t>
  </si>
  <si>
    <t>First Brands Group LLC</t>
  </si>
  <si>
    <t>BL482170</t>
  </si>
  <si>
    <t>BL537799</t>
  </si>
  <si>
    <t>OTG Management LLC</t>
  </si>
  <si>
    <t>BH291547</t>
  </si>
  <si>
    <t>Guangzhou Times Holding Group Co Ltd</t>
  </si>
  <si>
    <t>BL491593</t>
  </si>
  <si>
    <t>Endo International PLC</t>
  </si>
  <si>
    <t>Harp Finco Limited</t>
  </si>
  <si>
    <t>AO063630</t>
  </si>
  <si>
    <t>China Evergrande Group</t>
  </si>
  <si>
    <t>Bench Walk OCM I LP</t>
  </si>
  <si>
    <t>Enviva LLC</t>
  </si>
  <si>
    <t>Utmost</t>
  </si>
  <si>
    <t>ZO806419</t>
  </si>
  <si>
    <t>Ligado Networks LLC</t>
  </si>
  <si>
    <t>Surgery Partners Inc</t>
  </si>
  <si>
    <t>DL939093</t>
  </si>
  <si>
    <t>Arsenale SpA</t>
  </si>
  <si>
    <t>Vector Capitano Holdings</t>
  </si>
  <si>
    <t>BL499387</t>
  </si>
  <si>
    <t>Flagship Credit Auto Trust 2022-1</t>
  </si>
  <si>
    <t>Azzurro Holdings Srl</t>
  </si>
  <si>
    <t>Battalion Oil Corp</t>
  </si>
  <si>
    <t>EP058192</t>
  </si>
  <si>
    <t>QVC Inc</t>
  </si>
  <si>
    <t>BL375260</t>
  </si>
  <si>
    <t>EnLink Midstream LLC</t>
  </si>
  <si>
    <t>H-Food Holdings LLC</t>
  </si>
  <si>
    <t>Blazing Star Parent LLC</t>
  </si>
  <si>
    <t>BL398682</t>
  </si>
  <si>
    <t>Piramal Retail Pool</t>
  </si>
  <si>
    <t>BL493837</t>
  </si>
  <si>
    <t>FinThrive Software Intermediate Holdings Inc</t>
  </si>
  <si>
    <t>Meritage JV</t>
  </si>
  <si>
    <t>Midwave Wireless Inc</t>
  </si>
  <si>
    <t>Elecor Intermediate Holding II Corp</t>
  </si>
  <si>
    <t>BL358031</t>
  </si>
  <si>
    <t>Cornerstone Building Brands Inc</t>
  </si>
  <si>
    <t>Blue Moon Metals Inc</t>
  </si>
  <si>
    <t>Anchorage Credit Funding 7</t>
  </si>
  <si>
    <t>LG Stream Sarl</t>
  </si>
  <si>
    <t>QZ429974</t>
  </si>
  <si>
    <t>DISH Network Corp</t>
  </si>
  <si>
    <t>OPPS Origis Holdings LP</t>
  </si>
  <si>
    <t>Caerus Oil and Gas LLC</t>
  </si>
  <si>
    <t>StubHub JV (Andro STA Fund I)</t>
  </si>
  <si>
    <t>BL393975</t>
  </si>
  <si>
    <t>BL295611</t>
  </si>
  <si>
    <t>Hill Street Properties LLC</t>
  </si>
  <si>
    <t>AZ434652</t>
  </si>
  <si>
    <t>BL446210</t>
  </si>
  <si>
    <t>BL428444</t>
  </si>
  <si>
    <t>HMH CO</t>
  </si>
  <si>
    <t>Edelweiss ARC</t>
  </si>
  <si>
    <t>BL387996</t>
  </si>
  <si>
    <t>Inbrew Holdings Pte Ltd</t>
  </si>
  <si>
    <t>BL474626</t>
  </si>
  <si>
    <t>Magenta Security Holdings LLC</t>
  </si>
  <si>
    <t>Garrett Motion Inc</t>
  </si>
  <si>
    <t>AM SPA</t>
  </si>
  <si>
    <t>YX230220</t>
  </si>
  <si>
    <t>Staples Inc</t>
  </si>
  <si>
    <t>BL437990</t>
  </si>
  <si>
    <t>US Renal Care Inc</t>
  </si>
  <si>
    <t>Oakstar 2024</t>
  </si>
  <si>
    <t>Interest Rate Cap</t>
  </si>
  <si>
    <t>Sprite (WSA Aviation JV)</t>
  </si>
  <si>
    <t>Azorra Aviation Holdings LLC</t>
  </si>
  <si>
    <t>BL571307</t>
  </si>
  <si>
    <t>Gannett Holdings LLC</t>
  </si>
  <si>
    <t>Goldman Sachs Group Inc/The</t>
  </si>
  <si>
    <t>Lightbox Intermediate LP</t>
  </si>
  <si>
    <t>Fiber Intermediate Holdings LLC</t>
  </si>
  <si>
    <t>ZG635289</t>
  </si>
  <si>
    <t>Samarco Mineracao SA</t>
  </si>
  <si>
    <t>WP CPP Holdings LLC</t>
  </si>
  <si>
    <t>BL478590</t>
  </si>
  <si>
    <t>Crown Buyer Inc</t>
  </si>
  <si>
    <t>BL493833</t>
  </si>
  <si>
    <t>Partially Blocked Structure</t>
  </si>
  <si>
    <t>GA Joann Retail Partnership LLC</t>
  </si>
  <si>
    <t>Intralot Capital Luxembourg SA</t>
  </si>
  <si>
    <t>SP310ZSB</t>
  </si>
  <si>
    <t>Deutsche Pfandbriefbank AG</t>
  </si>
  <si>
    <t>BL498585</t>
  </si>
  <si>
    <t>Tempo Acquisition LLC</t>
  </si>
  <si>
    <t>Grand Hotel Via Veneto SpA</t>
  </si>
  <si>
    <t>Hartree Maritime Partners LLC</t>
  </si>
  <si>
    <t>EK578135</t>
  </si>
  <si>
    <t>Babcock International Group PLC</t>
  </si>
  <si>
    <t>Brigade Debt Funding II</t>
  </si>
  <si>
    <t>Napoleon TPO Capital Holdings LLC</t>
  </si>
  <si>
    <t>BL507023</t>
  </si>
  <si>
    <t>Pure Data Centres Group Ltd</t>
  </si>
  <si>
    <t>National Asset Management Agency</t>
  </si>
  <si>
    <t>BL467574</t>
  </si>
  <si>
    <t>Doriath sarl</t>
  </si>
  <si>
    <t>Teleios Parent Holdings PT LLC</t>
  </si>
  <si>
    <t>FBB Holdings I</t>
  </si>
  <si>
    <t>Global Opps US</t>
  </si>
  <si>
    <t>Redwood Canopy HoldCo LLC</t>
  </si>
  <si>
    <t>Endo LP</t>
  </si>
  <si>
    <t>BL525016</t>
  </si>
  <si>
    <t>AO063629</t>
  </si>
  <si>
    <t>BM016465</t>
  </si>
  <si>
    <t>TSMZ4</t>
  </si>
  <si>
    <t>Healthcare.com Corp</t>
  </si>
  <si>
    <t>Centralsquare Technologies LLC</t>
  </si>
  <si>
    <t>BL408882</t>
  </si>
  <si>
    <t>BW NHHC Holdco Inc</t>
  </si>
  <si>
    <t>Aethon United BR LP</t>
  </si>
  <si>
    <t>BJ819175</t>
  </si>
  <si>
    <t>BL490656</t>
  </si>
  <si>
    <t>BL555206</t>
  </si>
  <si>
    <t>Kleopatra Holdings 1 SCA</t>
  </si>
  <si>
    <t>Ari Swiller and Cole Frates</t>
  </si>
  <si>
    <t>ZS089767</t>
  </si>
  <si>
    <t>BP Gulf of Mexico Midstream Holding LLC</t>
  </si>
  <si>
    <t>GK TS1</t>
  </si>
  <si>
    <t>BL463198</t>
  </si>
  <si>
    <t>MEH Inc</t>
  </si>
  <si>
    <t>Altice France SA</t>
  </si>
  <si>
    <t>United Road Services</t>
  </si>
  <si>
    <t>Acumera Inc</t>
  </si>
  <si>
    <t>Olea Aviation DAC</t>
  </si>
  <si>
    <t>Oakstar Cargo Opportunities</t>
  </si>
  <si>
    <t>BL525019</t>
  </si>
  <si>
    <t>Tahmoor Coal Pty Ltd</t>
  </si>
  <si>
    <t>Sycamore Development Partners LLC</t>
  </si>
  <si>
    <t>EI520669</t>
  </si>
  <si>
    <t>QZ513404</t>
  </si>
  <si>
    <t>Charger Shale Oil Co LLC</t>
  </si>
  <si>
    <t>BL241238</t>
  </si>
  <si>
    <t>Ocean Rig UDW Inc</t>
  </si>
  <si>
    <t>ZP079110</t>
  </si>
  <si>
    <t>Shenzhen Logan Holdings Co Ltd</t>
  </si>
  <si>
    <t>Barclays Back Leverage Loans</t>
  </si>
  <si>
    <t>SUP Parent Holdings LLC</t>
  </si>
  <si>
    <t>UserZoom Technologies Inc</t>
  </si>
  <si>
    <t>BL465135</t>
  </si>
  <si>
    <t>Needle Holdings LLC</t>
  </si>
  <si>
    <t>Acacia Holdings Ltd</t>
  </si>
  <si>
    <t>Merlin Parent Holdings 2026, Inc</t>
  </si>
  <si>
    <t>YK281821</t>
  </si>
  <si>
    <t>Nephila Waratah Fund</t>
  </si>
  <si>
    <t>TPI Composites Inc</t>
  </si>
  <si>
    <t>BL466074</t>
  </si>
  <si>
    <t>BL362567</t>
  </si>
  <si>
    <t>Solera Holdings Inc</t>
  </si>
  <si>
    <t>Merchants Bank of Indiana</t>
  </si>
  <si>
    <t>BL468437</t>
  </si>
  <si>
    <t>RideNow Group Inc</t>
  </si>
  <si>
    <t>TI Automotive</t>
  </si>
  <si>
    <t>SEI Holdings Corp</t>
  </si>
  <si>
    <t>Triple 8 KK</t>
  </si>
  <si>
    <t>ZS089765</t>
  </si>
  <si>
    <t>ZB812845</t>
  </si>
  <si>
    <t>888 Acquisitions Ltd</t>
  </si>
  <si>
    <t>Great American Holdings LLC</t>
  </si>
  <si>
    <t>Vmo Aircraft Leasing</t>
  </si>
  <si>
    <t>BL458119</t>
  </si>
  <si>
    <t>Clue Opco LLC</t>
  </si>
  <si>
    <t>KIK Lux Finco Sarl</t>
  </si>
  <si>
    <t>EJ771877</t>
  </si>
  <si>
    <t>United 3 - Huarong NPL Portfolio</t>
  </si>
  <si>
    <t>Aggregator</t>
  </si>
  <si>
    <t>Marco</t>
  </si>
  <si>
    <t>BL355684</t>
  </si>
  <si>
    <t>Peraton Corp</t>
  </si>
  <si>
    <t>Pluralsight Inc</t>
  </si>
  <si>
    <t>BTR Residential Limited</t>
  </si>
  <si>
    <t>FC Internazionale Milano SpA</t>
  </si>
  <si>
    <t>Los Angeles Department of Water &amp; Power</t>
  </si>
  <si>
    <t>QH HoldCo GmbH &amp; Co KG</t>
  </si>
  <si>
    <t>BL504589</t>
  </si>
  <si>
    <t>AN001647</t>
  </si>
  <si>
    <t>Marvel Parent LLC</t>
  </si>
  <si>
    <t>Viper Energy Inc</t>
  </si>
  <si>
    <t>BL362614</t>
  </si>
  <si>
    <t>Hiscox Re</t>
  </si>
  <si>
    <t>Liberty Latin America Ltd</t>
  </si>
  <si>
    <t>Keenova Therapeutics PLC</t>
  </si>
  <si>
    <t>DaVinciRe Holdings Ltd</t>
  </si>
  <si>
    <t>Edison International</t>
  </si>
  <si>
    <t>Accurus Aerospace Holdings LLC</t>
  </si>
  <si>
    <t>BL479924</t>
  </si>
  <si>
    <t>Rayonier Advanced Materials Inc</t>
  </si>
  <si>
    <t>Triumvirate SuperHoldco LP</t>
  </si>
  <si>
    <t>Empower Brands Holdings Group LLC</t>
  </si>
  <si>
    <t>Velocity Holdco LLC</t>
  </si>
  <si>
    <t>Encina Performing Credit SPV</t>
  </si>
  <si>
    <t>Nelson Intermediate Holdings Two Corp</t>
  </si>
  <si>
    <t>Batam sarl</t>
  </si>
  <si>
    <t>QUID</t>
  </si>
  <si>
    <t>BL436660</t>
  </si>
  <si>
    <t>Kalyan Jewellers India Ltd</t>
  </si>
  <si>
    <t>BL476642</t>
  </si>
  <si>
    <t>BL399773</t>
  </si>
  <si>
    <t>Nielsen Holdings Ltd</t>
  </si>
  <si>
    <t>Acosta Inc</t>
  </si>
  <si>
    <t>BL520453</t>
  </si>
  <si>
    <t>Bausch + Lomb Corp</t>
  </si>
  <si>
    <t>Megha Engineering &amp; Infrastructures Ltd</t>
  </si>
  <si>
    <t>Baffinland Iron Mines Corp</t>
  </si>
  <si>
    <t>AEP Lender Holdings LLC</t>
  </si>
  <si>
    <t>GSO Diamond Portfolio Fund LP</t>
  </si>
  <si>
    <t>BL465266</t>
  </si>
  <si>
    <t>Astra Acquisition Corp</t>
  </si>
  <si>
    <t>ZO409971</t>
  </si>
  <si>
    <t>Superior Industries International Inc</t>
  </si>
  <si>
    <t>Advantage Raheja Hotels</t>
  </si>
  <si>
    <t>Seniorcare UK Propco Limited</t>
  </si>
  <si>
    <t>BL535843</t>
  </si>
  <si>
    <t>Meerbaum Capital Solutions</t>
  </si>
  <si>
    <t>Aspen Re</t>
  </si>
  <si>
    <t>DC143003</t>
  </si>
  <si>
    <t>Sector Re V Ltd</t>
  </si>
  <si>
    <t>BG163668</t>
  </si>
  <si>
    <t>Saks Transaction Dead Deal</t>
  </si>
  <si>
    <t>BL342525</t>
  </si>
  <si>
    <t>Gainwell Acquisition Corp</t>
  </si>
  <si>
    <t>Greycoat UK Resi Warehouse Platform</t>
  </si>
  <si>
    <t>ACRES Capital</t>
  </si>
  <si>
    <t>YH309735</t>
  </si>
  <si>
    <t>SIRVA Worldwide Inc</t>
  </si>
  <si>
    <t>BL354791</t>
  </si>
  <si>
    <t>BL368386</t>
  </si>
  <si>
    <t>Hunter Holdco 3 Ltd</t>
  </si>
  <si>
    <t>BCC3G2GJ</t>
  </si>
  <si>
    <t>SLTL 2024-1</t>
  </si>
  <si>
    <t>BL473724</t>
  </si>
  <si>
    <t>SK Mohawk Holdings SCS</t>
  </si>
  <si>
    <t>Indiabulls Retail Pool</t>
  </si>
  <si>
    <t>Trenchtown Productions LLC</t>
  </si>
  <si>
    <t>Renewables SCSp</t>
  </si>
  <si>
    <t>Draslovka Beta Sarl</t>
  </si>
  <si>
    <t>ZP537902</t>
  </si>
  <si>
    <t>WSOU Investments LLC</t>
  </si>
  <si>
    <t>BL512057</t>
  </si>
  <si>
    <t>BL420721</t>
  </si>
  <si>
    <t>Solaris Capital Holdings LLC</t>
  </si>
  <si>
    <t>Telephone and Data Systems Inc</t>
  </si>
  <si>
    <t>BL465264</t>
  </si>
  <si>
    <t>Beckett Collectibles Holdings LLC</t>
  </si>
  <si>
    <t>Bm Ii Fundo De Investimento Imobiliario</t>
  </si>
  <si>
    <t>BL316906</t>
  </si>
  <si>
    <t>BL361935</t>
  </si>
  <si>
    <t>Tenet Equity</t>
  </si>
  <si>
    <t>ZP537863</t>
  </si>
  <si>
    <t>ABN Amro Energy</t>
  </si>
  <si>
    <t>OCM ABC Holdings LP</t>
  </si>
  <si>
    <t>EP059248</t>
  </si>
  <si>
    <t>BL478592</t>
  </si>
  <si>
    <t>Gaudi</t>
  </si>
  <si>
    <t>Cybercity Madhapur Development Pvt Ltd</t>
  </si>
  <si>
    <t>AM915538</t>
  </si>
  <si>
    <t>ZQ597295</t>
  </si>
  <si>
    <t>WH Topco LP</t>
  </si>
  <si>
    <t>FBB Holdings III Inc</t>
  </si>
  <si>
    <t>BL558164</t>
  </si>
  <si>
    <t>Pretium PKG Holdings Inc</t>
  </si>
  <si>
    <t>Jonah Energy South Texas LLC</t>
  </si>
  <si>
    <t>OCM System One Parent-Holdings LLC</t>
  </si>
  <si>
    <t>Noble Trading Hold Co Ltd</t>
  </si>
  <si>
    <t>RedCat Pub Co Ltd</t>
  </si>
  <si>
    <t>BL446209</t>
  </si>
  <si>
    <t>Omaxe New Chandigarh Developers Pvt Ltd</t>
  </si>
  <si>
    <t>17Capital (New Orleans) Co-Invest LP</t>
  </si>
  <si>
    <t>NAPEC Inc/Canada</t>
  </si>
  <si>
    <t>Expand Energy Corp</t>
  </si>
  <si>
    <t>BP331373</t>
  </si>
  <si>
    <t>Runway Growth Finance Corp</t>
  </si>
  <si>
    <t>AQ709524</t>
  </si>
  <si>
    <t>Azorra Eagle Holdings DAC</t>
  </si>
  <si>
    <t>Terminal Mezz II LP</t>
  </si>
  <si>
    <t>Family Dollar Stores LLC</t>
  </si>
  <si>
    <t>BL493835</t>
  </si>
  <si>
    <t>PWMP Ventures LLC</t>
  </si>
  <si>
    <t>BL481053</t>
  </si>
  <si>
    <t>ASP LS Acquisition Corp</t>
  </si>
  <si>
    <t>Cineworld Group PLC</t>
  </si>
  <si>
    <t>BL520454</t>
  </si>
  <si>
    <t>Catalent Inc</t>
  </si>
  <si>
    <t>YT762614</t>
  </si>
  <si>
    <t>Sai Srushti Group</t>
  </si>
  <si>
    <t>Bourn Airfield</t>
  </si>
  <si>
    <t>PetVet Care Centers LLC</t>
  </si>
  <si>
    <t>Perfect Elite Ventures Limited</t>
  </si>
  <si>
    <t>FR BR Aggregator LLC</t>
  </si>
  <si>
    <t>Primary Wave Music IP Holdings LP</t>
  </si>
  <si>
    <t>EP055987</t>
  </si>
  <si>
    <t>ZP258857</t>
  </si>
  <si>
    <t>ZI004941</t>
  </si>
  <si>
    <t>OCM Source Holdings LP</t>
  </si>
  <si>
    <t>Heniff + Superior</t>
  </si>
  <si>
    <t>Carestream Dental Technology Inc</t>
  </si>
  <si>
    <t>ProAmpac LLC</t>
  </si>
  <si>
    <t>BL407889</t>
  </si>
  <si>
    <t>Merchants Automotive Group Inc</t>
  </si>
  <si>
    <t>ZS089766</t>
  </si>
  <si>
    <t>Redwood Holding Iberia S.L.</t>
  </si>
  <si>
    <t>FTX Trading Ltd</t>
  </si>
  <si>
    <t>New Blackboard LLC</t>
  </si>
  <si>
    <t>OCM MEIN Holdings LLC</t>
  </si>
  <si>
    <t>Veleta Capital LLC</t>
  </si>
  <si>
    <t>Non-US APAC - Indiabulls REO</t>
  </si>
  <si>
    <t>Arch Re Tremeau</t>
  </si>
  <si>
    <t>JPM Back Leverage Loans</t>
  </si>
  <si>
    <t>AZ166931</t>
  </si>
  <si>
    <t>Clover Holdings 2 LLC</t>
  </si>
  <si>
    <t>BL568553</t>
  </si>
  <si>
    <t>Jinja JV Holdco Pte Ltd</t>
  </si>
  <si>
    <t>BL491608</t>
  </si>
  <si>
    <t>Octave Specialty Group Inc</t>
  </si>
  <si>
    <t>DM048506</t>
  </si>
  <si>
    <t>SharonAI Holdings Inc</t>
  </si>
  <si>
    <t>BL420720</t>
  </si>
  <si>
    <t>Modern Living Developments Jersey Property Unit Trust</t>
  </si>
  <si>
    <t>BL493834</t>
  </si>
  <si>
    <t>Adhunik Metaliks Ltd</t>
  </si>
  <si>
    <t>Gopher Resource LLC</t>
  </si>
  <si>
    <t>Runway Growth Capital LLC</t>
  </si>
  <si>
    <t>ASHFORD REIT</t>
  </si>
  <si>
    <t>BL385232</t>
  </si>
  <si>
    <t>Cheplapharm Arzneimittel GmbH</t>
  </si>
  <si>
    <t>BL445830</t>
  </si>
  <si>
    <t>BRC Group Holdings Inc</t>
  </si>
  <si>
    <t>YU084256</t>
  </si>
  <si>
    <t>Ampere Re Ltd</t>
  </si>
  <si>
    <t>Retiro Mortgage Securities DAC</t>
  </si>
  <si>
    <t>AV670494</t>
  </si>
  <si>
    <t>FG Parent LLC</t>
  </si>
  <si>
    <t>BL368457</t>
  </si>
  <si>
    <t>Plainvim International properties Development Holdings (Cayman) Limited</t>
  </si>
  <si>
    <t>Kaith Re Ltd</t>
  </si>
  <si>
    <t>BL512060</t>
  </si>
  <si>
    <t>BL370725</t>
  </si>
  <si>
    <t>Arrivia Holdings LLC</t>
  </si>
  <si>
    <t>BL466575</t>
  </si>
  <si>
    <t>Learning Care Group Inc</t>
  </si>
  <si>
    <t>Sunnova Solstice Borrower LLC</t>
  </si>
  <si>
    <t>Sunnova Energy International Inc</t>
  </si>
  <si>
    <t>Premium Parent LLC</t>
  </si>
  <si>
    <t>Simply Good Foods Co/The</t>
  </si>
  <si>
    <t>IEEPA</t>
  </si>
  <si>
    <t>Pennsylvania Real Estate Investment Trust</t>
  </si>
  <si>
    <t>HC Innovative Partners LP</t>
  </si>
  <si>
    <t>BL387429</t>
  </si>
  <si>
    <t>Westmoreland Mining Holdings LLC</t>
  </si>
  <si>
    <t>MC Beagle Fund I LP</t>
  </si>
  <si>
    <t>Digicel International Finance Ltd</t>
  </si>
  <si>
    <t>BJ676246</t>
  </si>
  <si>
    <t>PECF USS Intermediate Holding II Corporation</t>
  </si>
  <si>
    <t>Lioncor Developments Group Holdings Ltd</t>
  </si>
  <si>
    <t>LOOKUP_IDENTIFIER</t>
  </si>
  <si>
    <t>VOLUME_5D</t>
  </si>
  <si>
    <t>INDUSTRY</t>
  </si>
  <si>
    <t>INDUSTRY_SUBGROUP</t>
  </si>
  <si>
    <t>Cable &amp; Satellite</t>
  </si>
  <si>
    <t>Cable/Satellite TV</t>
  </si>
  <si>
    <t>Wireline Telecommunications Services</t>
  </si>
  <si>
    <t>Internet Telephony</t>
  </si>
  <si>
    <t>Software &amp; Services</t>
  </si>
  <si>
    <t>Enterprise Software/Serv</t>
  </si>
  <si>
    <t>Computer Software</t>
  </si>
  <si>
    <t>Consumer Services</t>
  </si>
  <si>
    <t>Computer Services</t>
  </si>
  <si>
    <t>Computer Data Security</t>
  </si>
  <si>
    <t>Property &amp; Casualty Insurance</t>
  </si>
  <si>
    <t>Multi-line Insurance</t>
  </si>
  <si>
    <t>Retail - Consumer Discretionary</t>
  </si>
  <si>
    <t>Retail-Office Supplies</t>
  </si>
  <si>
    <t>Health Care Facilities &amp; Services</t>
  </si>
  <si>
    <t>Medical Information Sys</t>
  </si>
  <si>
    <t>Medical Labs&amp;Testing Srv</t>
  </si>
  <si>
    <t>Applications Software</t>
  </si>
  <si>
    <t>Internet Financial Svcs</t>
  </si>
  <si>
    <t>Commercial Serv-Finance</t>
  </si>
  <si>
    <t>Retail-Building Products</t>
  </si>
  <si>
    <t>Auto Parts Manufacturing</t>
  </si>
  <si>
    <t>Auto/Trk Prts&amp;Equip-Orig</t>
  </si>
  <si>
    <t>Financial Services</t>
  </si>
  <si>
    <t>Refining &amp; Marketing</t>
  </si>
  <si>
    <t>Oil Refining&amp;Marketing</t>
  </si>
  <si>
    <t>Medical-Drugs</t>
  </si>
  <si>
    <t>Medical Equipment &amp; Devices Manufacturing</t>
  </si>
  <si>
    <t>Optical Supplies</t>
  </si>
  <si>
    <t>Publishing &amp; Broadcasting</t>
  </si>
  <si>
    <t>Television</t>
  </si>
  <si>
    <t>Containers &amp; Packaging</t>
  </si>
  <si>
    <t>Containers-Paper/Plastic</t>
  </si>
  <si>
    <t>Chemicals-Specialty</t>
  </si>
  <si>
    <t>Metals &amp; Mining</t>
  </si>
  <si>
    <t>Diversified Minerals</t>
  </si>
  <si>
    <t>Rental Auto/Equipment</t>
  </si>
  <si>
    <t>DM426863 Corp</t>
  </si>
  <si>
    <t>HTZ 6 ¾ 07/01/30</t>
  </si>
  <si>
    <t>Hardware</t>
  </si>
  <si>
    <t>Office Automation&amp;Equip</t>
  </si>
  <si>
    <t>Medical-Whsle Drug Dist</t>
  </si>
  <si>
    <t>Entertainment Resources</t>
  </si>
  <si>
    <t>Travel Services</t>
  </si>
  <si>
    <t>Construction Materials Manufacturing</t>
  </si>
  <si>
    <t>Bldg Prod-Doors&amp;Windows</t>
  </si>
  <si>
    <t>Real Estate</t>
  </si>
  <si>
    <t>REITS-Health Care</t>
  </si>
  <si>
    <t>Home Improvement</t>
  </si>
  <si>
    <t>Bldg&amp;Construct Prod-Misc</t>
  </si>
  <si>
    <t>Chemicals-Diversified</t>
  </si>
  <si>
    <t>Wireless Telecommunications Services</t>
  </si>
  <si>
    <t>Cellular Telecom</t>
  </si>
  <si>
    <t>Sovereigns</t>
  </si>
  <si>
    <t>Consumer Finance</t>
  </si>
  <si>
    <t>Finance-Mtge Loan/Banker</t>
  </si>
  <si>
    <t>Automobiles Manufacturing</t>
  </si>
  <si>
    <t>Auto-Cars/Light Trucks</t>
  </si>
  <si>
    <t>DM262434 Corp</t>
  </si>
  <si>
    <t>Commercial Finance</t>
  </si>
  <si>
    <t>Finance-Leasing Compan</t>
  </si>
  <si>
    <t>AVILES 5 ½ 06/30/31</t>
  </si>
  <si>
    <t>Finance-Other Services</t>
  </si>
  <si>
    <t>Resorts/Theme Parks</t>
  </si>
  <si>
    <t>Industrial Other</t>
  </si>
  <si>
    <t>Building-Heavy Construct</t>
  </si>
  <si>
    <t>Travel &amp; Lodging</t>
  </si>
  <si>
    <t>Hotels&amp;Motels</t>
  </si>
  <si>
    <t>Computers-Integrated Sys</t>
  </si>
  <si>
    <t>Educational Software</t>
  </si>
  <si>
    <t>Consumer Products</t>
  </si>
  <si>
    <t>Soap&amp;Cleaning Prepar</t>
  </si>
  <si>
    <t>Finance-Consumer Loans</t>
  </si>
  <si>
    <t>Leisure&amp;Rec/Games</t>
  </si>
  <si>
    <t>Finance-Commercial</t>
  </si>
  <si>
    <t>Manufactured Goods</t>
  </si>
  <si>
    <t>Metal Processors&amp;Fabrica</t>
  </si>
  <si>
    <t>Telecom Services</t>
  </si>
  <si>
    <t>Auction House/Art Dealer</t>
  </si>
  <si>
    <t>Telephone-Integrated</t>
  </si>
  <si>
    <t>Diversified Operations</t>
  </si>
  <si>
    <t>Advertising &amp; Marketing</t>
  </si>
  <si>
    <t>Advertising Services</t>
  </si>
  <si>
    <t>ZG119116 Corp</t>
  </si>
  <si>
    <t>2521258D US Equity</t>
  </si>
  <si>
    <t>Distributors - Consumer Discretionary</t>
  </si>
  <si>
    <t>VRTV 10 ½ 11/30/30</t>
  </si>
  <si>
    <t>Verde Ultimate Holdings LP</t>
  </si>
  <si>
    <t>BL499043 Corp</t>
  </si>
  <si>
    <t>VRTV TL B 1L USD Corp</t>
  </si>
  <si>
    <t>Pipeline</t>
  </si>
  <si>
    <t>Advanced Materials/Prd</t>
  </si>
  <si>
    <t>Home &amp; Office Products Manufacturing</t>
  </si>
  <si>
    <t>Home Decoration Products</t>
  </si>
  <si>
    <t>Casinos &amp; Gaming</t>
  </si>
  <si>
    <t>Casino Services</t>
  </si>
  <si>
    <t>Gambling (Non-Hotel)</t>
  </si>
  <si>
    <t>Entertainment Content</t>
  </si>
  <si>
    <t>Broadcast Serv/Program</t>
  </si>
  <si>
    <t>Multimedia</t>
  </si>
  <si>
    <t>Food &amp; Beverage</t>
  </si>
  <si>
    <t>Beverages-Non-alcoholic</t>
  </si>
  <si>
    <t>Veterinary Diagnostics</t>
  </si>
  <si>
    <t>Satellite Telecom</t>
  </si>
  <si>
    <t>Transportation &amp; Logistics</t>
  </si>
  <si>
    <t>Auto-Truck Trailers</t>
  </si>
  <si>
    <t>Exploration &amp; Production</t>
  </si>
  <si>
    <t>Oil Comp-Explor&amp;Prodtn</t>
  </si>
  <si>
    <t>Human Resources</t>
  </si>
  <si>
    <t>DM251953 Corp</t>
  </si>
  <si>
    <t>BL358617 Corp</t>
  </si>
  <si>
    <t>NFE REV NONEXT 1L USD Corp</t>
  </si>
  <si>
    <t>Transport-Marine</t>
  </si>
  <si>
    <t>Containers-Metal/Glass</t>
  </si>
  <si>
    <t>Electrical Equipment Manufacturing</t>
  </si>
  <si>
    <t>Engineering/R&amp;D Services</t>
  </si>
  <si>
    <t>Internet Media</t>
  </si>
  <si>
    <t>E-Commerce/Services</t>
  </si>
  <si>
    <t>Transport-Services</t>
  </si>
  <si>
    <t>Networking Products</t>
  </si>
  <si>
    <t>Machinery Manufacturing</t>
  </si>
  <si>
    <t>Machinery-Therml Process</t>
  </si>
  <si>
    <t>Phys Therapy/Rehab Cntrs</t>
  </si>
  <si>
    <t>Printing-Commercial</t>
  </si>
  <si>
    <t>Biotechnology</t>
  </si>
  <si>
    <t>Communications Equipment</t>
  </si>
  <si>
    <t>Telecom Eq Fiber Optics</t>
  </si>
  <si>
    <t>Educational Services</t>
  </si>
  <si>
    <t>Schools</t>
  </si>
  <si>
    <t>Medical-Hospitals</t>
  </si>
  <si>
    <t>Forest &amp; Paper Products Manufacturing</t>
  </si>
  <si>
    <t>Paper&amp;Related Products</t>
  </si>
  <si>
    <t>Bldg Prod-Wood</t>
  </si>
  <si>
    <t>Internet Connectiv Svcs</t>
  </si>
  <si>
    <t>Electric-Integrated</t>
  </si>
  <si>
    <t>Gas-Distribution</t>
  </si>
  <si>
    <t>Electric-Distribution</t>
  </si>
  <si>
    <t>Lottery Services</t>
  </si>
  <si>
    <t>MRI/Medical Diag Imaging</t>
  </si>
  <si>
    <t>Retail-Arts&amp;Crafts</t>
  </si>
  <si>
    <t>Consulting Services</t>
  </si>
  <si>
    <t>Specified Purpose Acquis</t>
  </si>
  <si>
    <t>YT718588 Corp</t>
  </si>
  <si>
    <t>2519664D US Equity</t>
  </si>
  <si>
    <t>PLNFIN 10 ½ 12/15/29</t>
  </si>
  <si>
    <t>Planet Financial Group LLC</t>
  </si>
  <si>
    <t>Medical-Outptnt/Home Med</t>
  </si>
  <si>
    <t>Retail-Mail Order</t>
  </si>
  <si>
    <t>Retail-Catalog Shopping</t>
  </si>
  <si>
    <t>Waste &amp; Environment Services &amp; Equipment</t>
  </si>
  <si>
    <t>Environ Consulting&amp;Eng</t>
  </si>
  <si>
    <t>Petrochemicals</t>
  </si>
  <si>
    <t>Direct Marketing</t>
  </si>
  <si>
    <t>Retail-Music Store</t>
  </si>
  <si>
    <t>Oil &amp; Gas Services &amp; Equipment</t>
  </si>
  <si>
    <t>Oil-Field Services</t>
  </si>
  <si>
    <t>Cosmetics&amp;Toiletries</t>
  </si>
  <si>
    <t>Medical-Generic Drugs</t>
  </si>
  <si>
    <t>Leisure Products Manufacturing</t>
  </si>
  <si>
    <t>Golf</t>
  </si>
  <si>
    <t>Restaurants</t>
  </si>
  <si>
    <t>Retail-Restaurants</t>
  </si>
  <si>
    <t>Medical Products</t>
  </si>
  <si>
    <t>Food-Misc/Diversified</t>
  </si>
  <si>
    <t>Food-Confectionery</t>
  </si>
  <si>
    <t>Web Hosting/Design</t>
  </si>
  <si>
    <t>Life Insurance</t>
  </si>
  <si>
    <t>Life/Health Insurance</t>
  </si>
  <si>
    <t>Managed Care</t>
  </si>
  <si>
    <t>Transport-Truck</t>
  </si>
  <si>
    <t>Finance-Auto Loans</t>
  </si>
  <si>
    <t>Bloomberg Industry</t>
  </si>
  <si>
    <t>Oaktree Sector</t>
  </si>
  <si>
    <t>Oaktree Sub-Sector</t>
  </si>
  <si>
    <t>Analyst 1</t>
  </si>
  <si>
    <t>Analyst 2</t>
  </si>
  <si>
    <t>Analyst 3</t>
  </si>
  <si>
    <t>Notes</t>
  </si>
  <si>
    <t>Consumer</t>
  </si>
  <si>
    <t>Nick Basso (MD)</t>
  </si>
  <si>
    <t>Sherman Lau (MD)</t>
  </si>
  <si>
    <t>Nick Murray (VP)</t>
  </si>
  <si>
    <t>Energy Services</t>
  </si>
  <si>
    <t>Bobby LaRoche (MD)</t>
  </si>
  <si>
    <t>Allen Li (MD)</t>
  </si>
  <si>
    <t>Midstream Oil &amp; Gas</t>
  </si>
  <si>
    <t>Ajay Jegadeesan (SVP)</t>
  </si>
  <si>
    <t>Power &amp; Utilities</t>
  </si>
  <si>
    <t>Sam Williams (VP)</t>
  </si>
  <si>
    <t>Mark O'Meara (VP)</t>
  </si>
  <si>
    <t>Refining &amp; Downstream</t>
  </si>
  <si>
    <t>Upstream Oil &amp; Gas</t>
  </si>
  <si>
    <t>FIRE</t>
  </si>
  <si>
    <t>Patrick George (SVP)</t>
  </si>
  <si>
    <t>Dante Quazzo (SVP)</t>
  </si>
  <si>
    <t>Jacob Wagner (MD)</t>
  </si>
  <si>
    <t>Manish Desai (MD)</t>
  </si>
  <si>
    <t>Healthcare</t>
  </si>
  <si>
    <t>Olivia Guthorn (MD)</t>
  </si>
  <si>
    <t>Sherman Lau (SVP)</t>
  </si>
  <si>
    <t>Reed Westerman (VP)</t>
  </si>
  <si>
    <t>Zhe Zhao (SVP)</t>
  </si>
  <si>
    <t>Automotive</t>
  </si>
  <si>
    <t>Building Products</t>
  </si>
  <si>
    <t>David Nicoll (MD)</t>
  </si>
  <si>
    <t>Diversified Mfg &amp; Services</t>
  </si>
  <si>
    <t>Paper &amp; Packaging</t>
  </si>
  <si>
    <t>Bill Sharp (SVP)</t>
  </si>
  <si>
    <t>Media &amp; Telecom</t>
  </si>
  <si>
    <t>Evan Kramer (SVP)</t>
  </si>
  <si>
    <t>Satellites / Spectrum</t>
  </si>
  <si>
    <t>Telecom</t>
  </si>
  <si>
    <t>Analyst 4</t>
  </si>
  <si>
    <t>Bronte Golick (SVP)</t>
  </si>
  <si>
    <t>Broadcasters</t>
  </si>
  <si>
    <t>LTM_ACCRUAL</t>
  </si>
  <si>
    <t>CALC_TYPE</t>
  </si>
  <si>
    <t>DM212310 Corp</t>
  </si>
  <si>
    <t>Dealer Tire Holdings LLC</t>
  </si>
  <si>
    <t>DEATIR 10 ⅜ 10/01/31</t>
  </si>
  <si>
    <t>ZB795330 Corp</t>
  </si>
  <si>
    <t>US Acute Care Solutions Holdin</t>
  </si>
  <si>
    <t>USACUT 9 ¾ 05/15/29</t>
  </si>
  <si>
    <t>BL498682 Corp</t>
  </si>
  <si>
    <t>Avatar Topco Inc</t>
  </si>
  <si>
    <t>EABGLO TL B 1L USD Corp</t>
  </si>
  <si>
    <t>BL1000IY Corp</t>
  </si>
  <si>
    <t>BL1000IX Corp</t>
  </si>
  <si>
    <t>YO678533 Corp</t>
  </si>
  <si>
    <t>CRWV US Equity</t>
  </si>
  <si>
    <t>CRWV 9 ¼ 06/01/30</t>
  </si>
  <si>
    <t>CoreWeave Inc</t>
  </si>
  <si>
    <t>YM578924 Corp</t>
  </si>
  <si>
    <t>CRWV 9 02/01/31</t>
  </si>
  <si>
    <t>YK504698 Corp</t>
  </si>
  <si>
    <t>CRWV Float 09/29/30</t>
  </si>
  <si>
    <t>DL799120 Corp</t>
  </si>
  <si>
    <t>CRWV 8 ½ 07/15/32</t>
  </si>
  <si>
    <t>RegS</t>
  </si>
  <si>
    <t>DL798763 Corp</t>
  </si>
  <si>
    <t>CRWV 9 ⅝ 07/15/32</t>
  </si>
  <si>
    <t>DI194686 Corp</t>
  </si>
  <si>
    <t>CRWV 1 ¾ 10/01/32</t>
  </si>
  <si>
    <t>DI194651 Corp</t>
  </si>
  <si>
    <t>CRWV 9 ¾ 10/01/31</t>
  </si>
  <si>
    <t>DC202482 Corp</t>
  </si>
  <si>
    <t>CRWV 1 ¾ 12/01/31</t>
  </si>
  <si>
    <t>BL526160 Corp</t>
  </si>
  <si>
    <t>CRWV TL DD-CAPEX 1L USD Corp</t>
  </si>
  <si>
    <t>BL510511 Corp</t>
  </si>
  <si>
    <t>CRWV TL DD 1L USD Corp</t>
  </si>
  <si>
    <t>BL502513 Corp</t>
  </si>
  <si>
    <t>BL485216 Corp</t>
  </si>
  <si>
    <t>CRWV PIK-TERM 1L USD Corp</t>
  </si>
  <si>
    <t>BL472511 Corp</t>
  </si>
  <si>
    <t>CRWV TL 1L USD Corp</t>
  </si>
  <si>
    <t>BL472510 Corp</t>
  </si>
  <si>
    <t>BL370646 Corp</t>
  </si>
  <si>
    <t>CSOD US Equity</t>
  </si>
  <si>
    <t>CSOD TL 2L USD Corp</t>
  </si>
  <si>
    <t>Cornerstone OnDemand Inc</t>
  </si>
  <si>
    <t>BL370641 Corp</t>
  </si>
  <si>
    <t>CSOD REV 1L USD Corp</t>
  </si>
  <si>
    <t>BL370440 Corp</t>
  </si>
  <si>
    <t>CSOD TL B 1L USD Corp</t>
  </si>
  <si>
    <t>BL450371 Corp</t>
  </si>
  <si>
    <t>1261307D US Equity</t>
  </si>
  <si>
    <t>Medical-Nursing Homes</t>
  </si>
  <si>
    <t>ASPDEN TL B1 1L USD Corp</t>
  </si>
  <si>
    <t>BL398857 Corp</t>
  </si>
  <si>
    <t>ASPDEN TL B4 1L USD Corp</t>
  </si>
  <si>
    <t>BL364270 Corp</t>
  </si>
  <si>
    <t>ASPDEN TL B3 1L USD Corp</t>
  </si>
  <si>
    <t>BL354791 Corp</t>
  </si>
  <si>
    <t>ASPDEN TL B2 1L USD Corp</t>
  </si>
  <si>
    <t>BL462976 Corp</t>
  </si>
  <si>
    <t>2413190D US Equity</t>
  </si>
  <si>
    <t>ENUSCO TL B 1L USD Corp</t>
  </si>
  <si>
    <t>Modena Buyer LLC</t>
  </si>
  <si>
    <t>BL133775 Corp</t>
  </si>
  <si>
    <t>MPW REV GUAR USD Corp</t>
  </si>
  <si>
    <t>BL368461 Corp</t>
  </si>
  <si>
    <t>CLDR US Equity</t>
  </si>
  <si>
    <t>CLDR TL 2L USD Corp</t>
  </si>
  <si>
    <t>BL368457 Corp</t>
  </si>
  <si>
    <t>CLDR TL B 1L USD Corp</t>
  </si>
  <si>
    <t>BL484581 Corp</t>
  </si>
  <si>
    <t>1637973D US Equity</t>
  </si>
  <si>
    <t>Internet Content-Info/Ne</t>
  </si>
  <si>
    <t>INET TL B 1L USD Corp</t>
  </si>
  <si>
    <t>IB Aggregator II LP</t>
  </si>
  <si>
    <t>BL426365 Corp</t>
  </si>
  <si>
    <t>INET TL B3 1L USD Corp</t>
  </si>
  <si>
    <t>BL355867 Corp</t>
  </si>
  <si>
    <t>INET REV 1L USD Corp</t>
  </si>
  <si>
    <t>BL355752 Corp</t>
  </si>
  <si>
    <t>INET TL 2L USD Corp</t>
  </si>
  <si>
    <t>BL552409 Corp</t>
  </si>
  <si>
    <t>1319348D US Equity</t>
  </si>
  <si>
    <t>DRY TL 1L USD Corp</t>
  </si>
  <si>
    <t>CSC ServiceWorks Holdings Inc</t>
  </si>
  <si>
    <t>BL552408 Corp</t>
  </si>
  <si>
    <t>BL511671 Corp</t>
  </si>
  <si>
    <t>3911784Z US Equity</t>
  </si>
  <si>
    <t>LANSOF TL 2L USD Corp</t>
  </si>
  <si>
    <t>Ivanti Inc</t>
  </si>
  <si>
    <t>BL509344 Corp</t>
  </si>
  <si>
    <t>LANSOF TL 1L USD Corp</t>
  </si>
  <si>
    <t>BL343630 Corp</t>
  </si>
  <si>
    <t>PULSEC TL B 1L USD Corp</t>
  </si>
  <si>
    <t>ZL050201 Corp</t>
  </si>
  <si>
    <t>0456319D CN Equity</t>
  </si>
  <si>
    <t>CCACN 5.299 02/16/33</t>
  </si>
  <si>
    <t>Gestion Audem Inc</t>
  </si>
  <si>
    <t>ZD252277 Corp</t>
  </si>
  <si>
    <t>CCACN 6 ⅛ 02/27/29</t>
  </si>
  <si>
    <t>YR260246 Corp</t>
  </si>
  <si>
    <t>CCACN 4.743 02/06/35</t>
  </si>
  <si>
    <t>BR429942 Corp</t>
  </si>
  <si>
    <t>CCACN 2.991 09/22/31</t>
  </si>
  <si>
    <t>AZ319668 Corp</t>
  </si>
  <si>
    <t>CCACN 4.29 09/01/26</t>
  </si>
  <si>
    <t>BL444353 Corp</t>
  </si>
  <si>
    <t>CCACN TL 1L USD Corp</t>
  </si>
  <si>
    <t>BL442034 Corp</t>
  </si>
  <si>
    <t>CCACN TL B1 1L USD Corp</t>
  </si>
  <si>
    <t>BL367965 Corp</t>
  </si>
  <si>
    <t>CCACN TL B 1L USD Corp</t>
  </si>
  <si>
    <t>BL1001VH Corp</t>
  </si>
  <si>
    <t>CAONREPO Index</t>
  </si>
  <si>
    <t>CGOCN TL 1L CAD Corp</t>
  </si>
  <si>
    <t>BL041061 Corp</t>
  </si>
  <si>
    <t>CGOCN REV 1L CAD Corp</t>
  </si>
  <si>
    <t>BL399866 Corp</t>
  </si>
  <si>
    <t>2087554D US Equity</t>
  </si>
  <si>
    <t>BBBIND TL 2L USD Corp</t>
  </si>
  <si>
    <t>BL394352 Corp</t>
  </si>
  <si>
    <t>BBBIND REV 1L USD Corp</t>
  </si>
  <si>
    <t>BL393975 Corp</t>
  </si>
  <si>
    <t>BBBIND TL B 1L USD Corp</t>
  </si>
  <si>
    <t>BL467574 Corp</t>
  </si>
  <si>
    <t>0843427D US Equity</t>
  </si>
  <si>
    <t>IDERA TL B2 1L USD Corp</t>
  </si>
  <si>
    <t>BL354687 Corp</t>
  </si>
  <si>
    <t>IDERA TL 2L USD Corp</t>
  </si>
  <si>
    <t>ZF544663 Corp</t>
  </si>
  <si>
    <t>2114579D US Equity</t>
  </si>
  <si>
    <t>Auto Repair Centers</t>
  </si>
  <si>
    <t>CRASHC 8 ¾ 02/15/29</t>
  </si>
  <si>
    <t>Carnelian Point Holdings LP</t>
  </si>
  <si>
    <t>BL496978 Corp</t>
  </si>
  <si>
    <t>CHCHLC TL 2L USD Corp</t>
  </si>
  <si>
    <t>BL457509 Corp</t>
  </si>
  <si>
    <t>CRASHC TL B 1L USD Corp</t>
  </si>
  <si>
    <t>BL525739 Corp</t>
  </si>
  <si>
    <t>779263Z US Equity</t>
  </si>
  <si>
    <t>Data Processing/Mgmt</t>
  </si>
  <si>
    <t>CALBRI TL 1L USD Corp</t>
  </si>
  <si>
    <t>Calabrio Inc</t>
  </si>
  <si>
    <t>BL525400 Corp</t>
  </si>
  <si>
    <t>BL466505 Corp</t>
  </si>
  <si>
    <t>1669618D US Equity</t>
  </si>
  <si>
    <t>EYEPAR PIK-TERM D 1L USD Corp</t>
  </si>
  <si>
    <t>BL466503 Corp</t>
  </si>
  <si>
    <t>EYEPAR PIK-TERM C 1L USD Corp</t>
  </si>
  <si>
    <t>BL466502 Corp</t>
  </si>
  <si>
    <t>EYEPAR PIK-TERM B 1L USD Corp</t>
  </si>
  <si>
    <t>BL465008 Corp</t>
  </si>
  <si>
    <t>EYEPAR TL A 1L USD Corp</t>
  </si>
  <si>
    <t>BL398682 Corp</t>
  </si>
  <si>
    <t>EYEPAR TL 1L USD Corp</t>
  </si>
  <si>
    <t>BL375199 Corp</t>
  </si>
  <si>
    <t>EYEPAR TL 2L USD Corp</t>
  </si>
  <si>
    <t>BL375150 Corp</t>
  </si>
  <si>
    <t>BL329014 Corp</t>
  </si>
  <si>
    <t>BL517599 Corp</t>
  </si>
  <si>
    <t>INLOT TL B 1L GBP Corp</t>
  </si>
  <si>
    <t>BL532639 Corp</t>
  </si>
  <si>
    <t>1315593D US Equity</t>
  </si>
  <si>
    <t>HELPSY PIK-TERM 1L USD Corp</t>
  </si>
  <si>
    <t>HS Group Holdings Inc</t>
  </si>
  <si>
    <t>BL532526 Corp</t>
  </si>
  <si>
    <t>HELPSY PIK-TERM 2L USD Corp</t>
  </si>
  <si>
    <t>BL532518 Corp</t>
  </si>
  <si>
    <t>HELPSY TL 1L USD Corp</t>
  </si>
  <si>
    <t>BL1001UA Corp</t>
  </si>
  <si>
    <t>BL370768 Corp</t>
  </si>
  <si>
    <t>1728096D US Equity</t>
  </si>
  <si>
    <t>CONNEC TL B 1L USD Corp</t>
  </si>
  <si>
    <t>ConnectWise LLC</t>
  </si>
  <si>
    <t>BL428444 Corp</t>
  </si>
  <si>
    <t>HMHC US Equity</t>
  </si>
  <si>
    <t>Publishing-Books</t>
  </si>
  <si>
    <t>HMHC TL B 1L USD Corp</t>
  </si>
  <si>
    <t>BL388094 Corp</t>
  </si>
  <si>
    <t>HMHC TL 2L USD Corp</t>
  </si>
  <si>
    <t>BL387996 Corp</t>
  </si>
  <si>
    <t>BL499501 Corp</t>
  </si>
  <si>
    <t>3251569Z US Equity</t>
  </si>
  <si>
    <t>DTIHOL TL B 1L USD Corp</t>
  </si>
  <si>
    <t>DTI Holdco Inc</t>
  </si>
  <si>
    <t>BL365609 Corp</t>
  </si>
  <si>
    <t>1886021D US Equity</t>
  </si>
  <si>
    <t>CNGA REV 1L USD Corp</t>
  </si>
  <si>
    <t>BL361938 Corp</t>
  </si>
  <si>
    <t>CNGA TL 2L USD Corp</t>
  </si>
  <si>
    <t>BL361935 Corp</t>
  </si>
  <si>
    <t>CNGA TL B 1L USD Corp</t>
  </si>
  <si>
    <t>NFEBRF 12 05/15/29</t>
  </si>
  <si>
    <t>BL513380 Corp</t>
  </si>
  <si>
    <t>926474Z US Equity</t>
  </si>
  <si>
    <t>INMARI TL B 1L USD Corp</t>
  </si>
  <si>
    <t>Inmar Inc</t>
  </si>
  <si>
    <t>BL391048 Corp</t>
  </si>
  <si>
    <t>CUDA US Equity</t>
  </si>
  <si>
    <t>Internet Infrastr Sftwr</t>
  </si>
  <si>
    <t>CUDA TL 2L USD Corp</t>
  </si>
  <si>
    <t>Barracuda Networks Inc</t>
  </si>
  <si>
    <t>BL391042 Corp</t>
  </si>
  <si>
    <t>CUDA TL 1L USD Corp</t>
  </si>
  <si>
    <t>BL478850 Corp</t>
  </si>
  <si>
    <t>2610135D KY Equity</t>
  </si>
  <si>
    <t>NZ</t>
  </si>
  <si>
    <t>Invest Mgmnt/Advis Serv</t>
  </si>
  <si>
    <t>FNZGRO TL B 1L GBP Corp</t>
  </si>
  <si>
    <t>Falcon Newco Ltd</t>
  </si>
  <si>
    <t>BL478848 Corp</t>
  </si>
  <si>
    <t>FNZGRO TL A 1L EUR Corp</t>
  </si>
  <si>
    <t>BL478847 Corp</t>
  </si>
  <si>
    <t>FNZGRO TL B 1L USD Corp</t>
  </si>
  <si>
    <t>ZP704771 Corp</t>
  </si>
  <si>
    <t>CISN US Equity</t>
  </si>
  <si>
    <t>CISN 9 ½ 02/15/28</t>
  </si>
  <si>
    <t>Cision Ltd</t>
  </si>
  <si>
    <t>YO000720 Corp</t>
  </si>
  <si>
    <t>CISN 10 06/30/31</t>
  </si>
  <si>
    <t>BL508413 Corp</t>
  </si>
  <si>
    <t>CISN TL B1 1L EUR Corp</t>
  </si>
  <si>
    <t>BL508411 Corp</t>
  </si>
  <si>
    <t>CISN TL B2 1L USD Corp</t>
  </si>
  <si>
    <t>BL508410 Corp</t>
  </si>
  <si>
    <t>CISN TL B1 1L USD Corp</t>
  </si>
  <si>
    <t>BL508409 Corp</t>
  </si>
  <si>
    <t>CISN PIK-TERM 1L EUR Corp</t>
  </si>
  <si>
    <t>BL508407 Corp</t>
  </si>
  <si>
    <t>CISN PIK-TERM 1L USD Corp</t>
  </si>
  <si>
    <t>BL517985 Corp</t>
  </si>
  <si>
    <t>2481018D US Equity</t>
  </si>
  <si>
    <t>DRABUY TL B 1L USD Corp</t>
  </si>
  <si>
    <t>Dragon Buyer Inc</t>
  </si>
  <si>
    <t>BL571355 Corp</t>
  </si>
  <si>
    <t>2623282D KY Equity</t>
  </si>
  <si>
    <t>GXUSCO PIK-TERM 1L USD Corp</t>
  </si>
  <si>
    <t>CD&amp;R associates XI LP</t>
  </si>
  <si>
    <t>BL390437 Corp</t>
  </si>
  <si>
    <t>GXUSCO TL 2L USD Corp</t>
  </si>
  <si>
    <t>BL390435 Corp</t>
  </si>
  <si>
    <t>GXUSCO REV 1L USD Corp</t>
  </si>
  <si>
    <t>BL390217 Corp</t>
  </si>
  <si>
    <t>GXUSCO TL B 1L USD Corp</t>
  </si>
  <si>
    <t>DM584437 Corp</t>
  </si>
  <si>
    <t>RRDPRI 13 PERP</t>
  </si>
  <si>
    <t>BL397042 Corp</t>
  </si>
  <si>
    <t>2153473D US Equity</t>
  </si>
  <si>
    <t>Supermarkets &amp; Pharmacies</t>
  </si>
  <si>
    <t>Food-Retail</t>
  </si>
  <si>
    <t>HISFOO REV 1L USD Corp</t>
  </si>
  <si>
    <t>Heritage Grocers Group LLC</t>
  </si>
  <si>
    <t>BL397041 Corp</t>
  </si>
  <si>
    <t>HISFOO TL B 1L USD Corp</t>
  </si>
  <si>
    <t>YQ072563 Corp</t>
  </si>
  <si>
    <t>1927827D US Equity</t>
  </si>
  <si>
    <t>Machinery-Farm</t>
  </si>
  <si>
    <t>BLT 7 ⅞ 10/15/29</t>
  </si>
  <si>
    <t>Oregon Tool Holdings Inc</t>
  </si>
  <si>
    <t>YP871023 Corp</t>
  </si>
  <si>
    <t>YP869557 Corp</t>
  </si>
  <si>
    <t>BL507708 Corp</t>
  </si>
  <si>
    <t>BLT TL B2 2L USD Corp</t>
  </si>
  <si>
    <t>BL507707 Corp</t>
  </si>
  <si>
    <t>BLT TL B1 2L USD Corp</t>
  </si>
  <si>
    <t>BL501499 Corp</t>
  </si>
  <si>
    <t>BLT TL 2L USD Corp</t>
  </si>
  <si>
    <t>BL501482 Corp</t>
  </si>
  <si>
    <t>BLT TL 1L USD Corp</t>
  </si>
  <si>
    <t>BL375332 Corp</t>
  </si>
  <si>
    <t>BLT REV 1L USD Corp</t>
  </si>
  <si>
    <t>BL372994 Corp</t>
  </si>
  <si>
    <t>BLT TL B 1L USD Corp</t>
  </si>
  <si>
    <t>BL454465 Corp</t>
  </si>
  <si>
    <t>1871683D US Equity</t>
  </si>
  <si>
    <t>N.A. Index</t>
  </si>
  <si>
    <t>EPPURC TL 2L USD Corp</t>
  </si>
  <si>
    <t>EP Purchaser LLC</t>
  </si>
  <si>
    <t>BL428959 Corp</t>
  </si>
  <si>
    <t>EPPURC TL B 1L USD Corp</t>
  </si>
  <si>
    <t>BL375567 Corp</t>
  </si>
  <si>
    <t>BL375564 Corp</t>
  </si>
  <si>
    <t>BL485913 Corp</t>
  </si>
  <si>
    <t>2555220D US Equity</t>
  </si>
  <si>
    <t>ZUO TL B 1L USD Corp</t>
  </si>
  <si>
    <t>Zodiac Purchaser LLC</t>
  </si>
  <si>
    <t>BL514276 Corp</t>
  </si>
  <si>
    <t>CHUBA US Equity</t>
  </si>
  <si>
    <t>CHIAV TL B 1L USD Corp</t>
  </si>
  <si>
    <t>Rithum Holdings Inc</t>
  </si>
  <si>
    <t>BL400111 Corp</t>
  </si>
  <si>
    <t>CHIAV TL 1L USD Corp</t>
  </si>
  <si>
    <t>BL427484 Corp</t>
  </si>
  <si>
    <t>AVYAQ US Equity</t>
  </si>
  <si>
    <t>Communications Software</t>
  </si>
  <si>
    <t>AVYA PIK-TERM EXIT 1L USD Corp</t>
  </si>
  <si>
    <t>Avaya Holdings Corp</t>
  </si>
  <si>
    <t>BL498530 Corp</t>
  </si>
  <si>
    <t>1682820D US Equity</t>
  </si>
  <si>
    <t>BMC TL B 1L EUR Corp</t>
  </si>
  <si>
    <t>Banff Parent Inc</t>
  </si>
  <si>
    <t>BL498529 Corp</t>
  </si>
  <si>
    <t>BMC TL B 1L USD Corp</t>
  </si>
  <si>
    <t>BL469882 Corp</t>
  </si>
  <si>
    <t>BMC TL 2L USD Corp</t>
  </si>
  <si>
    <t>BL483208 Corp</t>
  </si>
  <si>
    <t>2503014D US Equity</t>
  </si>
  <si>
    <t>FOODTO TL 2L USD Corp</t>
  </si>
  <si>
    <t>BL482170 Corp</t>
  </si>
  <si>
    <t>FOODTO TL B 1L USD Corp</t>
  </si>
  <si>
    <t>BL480746 Corp</t>
  </si>
  <si>
    <t>FOODTO REV 1L USD Corp</t>
  </si>
  <si>
    <t>BL464902 Corp</t>
  </si>
  <si>
    <t>1871830D US Equity</t>
  </si>
  <si>
    <t>GEPESO TL B 1L USD Corp</t>
  </si>
  <si>
    <t>YX229738 Corp</t>
  </si>
  <si>
    <t>ALTG US Equity</t>
  </si>
  <si>
    <t>ALTG 9 06/01/29</t>
  </si>
  <si>
    <t>Alta Equipment Group Inc</t>
  </si>
  <si>
    <t>BL301200 Corp</t>
  </si>
  <si>
    <t>ALTG REV 1L USD Corp</t>
  </si>
  <si>
    <t>EP059710 Pfd</t>
  </si>
  <si>
    <t>ALTG 10 PERP</t>
  </si>
  <si>
    <t>ZF900674 Corp</t>
  </si>
  <si>
    <t>OPITQ US Equity</t>
  </si>
  <si>
    <t>REITS-Office Property</t>
  </si>
  <si>
    <t>OPI 9 03/31/29</t>
  </si>
  <si>
    <t>Office Properties Income Trust</t>
  </si>
  <si>
    <t>YQ030455 Corp</t>
  </si>
  <si>
    <t>OPI 8 01/31/30</t>
  </si>
  <si>
    <t>DM122633 Corp</t>
  </si>
  <si>
    <t>OPI 10 03/31/31</t>
  </si>
  <si>
    <t>BL460723 Corp</t>
  </si>
  <si>
    <t>OPI TL 1L USD Corp</t>
  </si>
  <si>
    <t>BL159592 Corp</t>
  </si>
  <si>
    <t>OPI REV 1L USD Corp</t>
  </si>
  <si>
    <t>IDF 14 Financeco LLC</t>
  </si>
  <si>
    <t>Openai Deployment Co LLC/The</t>
  </si>
  <si>
    <t>BL1001RP</t>
  </si>
  <si>
    <t>BL1001RR</t>
  </si>
  <si>
    <t>BL478327</t>
  </si>
  <si>
    <t>ASP Unifrax Holdings Inc</t>
  </si>
  <si>
    <t>BL576474 Corp</t>
  </si>
  <si>
    <t>WRATOP REV 1L USD Corp</t>
  </si>
  <si>
    <t>BL576193 Corp</t>
  </si>
  <si>
    <t>WRATOP TL DD 1L USD Corp</t>
  </si>
  <si>
    <t>DM906323 Corp</t>
  </si>
  <si>
    <t>SRCSUK 5 ⅜ 07/14/36</t>
  </si>
  <si>
    <t>DM906322 Corp</t>
  </si>
  <si>
    <t>SRCSUK 5 01/14/32</t>
  </si>
  <si>
    <t>ZD220711 Corp</t>
  </si>
  <si>
    <t>GR</t>
  </si>
  <si>
    <t>INLOT 6 02/27/29</t>
  </si>
  <si>
    <t>YU427365 Corp</t>
  </si>
  <si>
    <t>ABR US Equity</t>
  </si>
  <si>
    <t>REITS-Mortgage</t>
  </si>
  <si>
    <t>ABR 9 10/15/27</t>
  </si>
  <si>
    <t>QIB</t>
  </si>
  <si>
    <t>Arbor Realty Trust Inc</t>
  </si>
  <si>
    <t>YN885650 Corp</t>
  </si>
  <si>
    <t>ABR 7 ⅞ 07/15/30</t>
  </si>
  <si>
    <t>DM675106 Corp</t>
  </si>
  <si>
    <t>ABR 6 ¼ 07/01/29</t>
  </si>
  <si>
    <t>DC312881 Corp</t>
  </si>
  <si>
    <t>ABR 8 ½ 12/15/28</t>
  </si>
  <si>
    <t>DC299029 Corp</t>
  </si>
  <si>
    <t>BZ589384 Corp</t>
  </si>
  <si>
    <t>ABR 8 ½ 10/15/27</t>
  </si>
  <si>
    <t>BZ589383 Corp</t>
  </si>
  <si>
    <t>BT123369 Corp</t>
  </si>
  <si>
    <t>ABR 5 12/30/28</t>
  </si>
  <si>
    <t>BR259602 Corp</t>
  </si>
  <si>
    <t>ABR 4 ½ 09/01/26</t>
  </si>
  <si>
    <t>BG194045 Corp</t>
  </si>
  <si>
    <t>ABR 4 ½ 03/15/27</t>
  </si>
  <si>
    <t>EP059993 Pfd</t>
  </si>
  <si>
    <t>ABR 6 ¼ PERP</t>
  </si>
  <si>
    <t>EP059943 Pfd</t>
  </si>
  <si>
    <t>E</t>
  </si>
  <si>
    <t>EP059862 Pfd</t>
  </si>
  <si>
    <t>ABR 6 ⅜ PERP</t>
  </si>
  <si>
    <t>EP049227 Pfd</t>
  </si>
  <si>
    <t>Special Purpose Entity</t>
  </si>
  <si>
    <t>ARBCRE 0 PERP</t>
  </si>
  <si>
    <t>EP017920 Pfd</t>
  </si>
  <si>
    <t>ABR 0 04/11/41</t>
  </si>
  <si>
    <t>ZF667267 Corp</t>
  </si>
  <si>
    <t>2366679D US Equity</t>
  </si>
  <si>
    <t>SHEARE 7 ⅞ 03/01/31</t>
  </si>
  <si>
    <t>Fiesta Purchaser Inc</t>
  </si>
  <si>
    <t>YV626992 Corp</t>
  </si>
  <si>
    <t>SHEARE 9 ⅝ 09/15/32</t>
  </si>
  <si>
    <t>BL517977 Corp</t>
  </si>
  <si>
    <t>SHEARE TL B 1L USD Corp</t>
  </si>
  <si>
    <t>ACAP</t>
  </si>
  <si>
    <t>Atlas Capital Resources V LP</t>
  </si>
  <si>
    <t>Helen of Troy Ltd</t>
  </si>
  <si>
    <t>Project Transener</t>
  </si>
  <si>
    <t>Project Zeppelin</t>
  </si>
  <si>
    <t>Webasto</t>
  </si>
  <si>
    <t>AN101023</t>
  </si>
  <si>
    <t>Abengoa SA</t>
  </si>
  <si>
    <t>WellPet LLC</t>
  </si>
  <si>
    <t>EP061140 Pfd</t>
  </si>
  <si>
    <t>LABL 12 PERP</t>
  </si>
  <si>
    <t>ZM930859 Corp</t>
  </si>
  <si>
    <t>2466345D US Equity</t>
  </si>
  <si>
    <t>BWY 9 ¼ 04/15/27</t>
  </si>
  <si>
    <t>SCI PH Parent Inc</t>
  </si>
  <si>
    <t>ZB341567 Corp</t>
  </si>
  <si>
    <t>BWY 7 ⅞ 04/15/27</t>
  </si>
  <si>
    <t>DA770413 Corp</t>
  </si>
  <si>
    <t>BWY 9 ¼ 04/15/30</t>
  </si>
  <si>
    <t>DA769846 Corp</t>
  </si>
  <si>
    <t>BWY 7 ⅞ 04/15/30</t>
  </si>
  <si>
    <t>BL528592 Corp</t>
  </si>
  <si>
    <t>BWY TL B 1L USD Corp</t>
  </si>
  <si>
    <t>BL420691 Corp</t>
  </si>
  <si>
    <t>BWY TL FILO 1L USD Corp</t>
  </si>
  <si>
    <t>BL081950 Corp</t>
  </si>
  <si>
    <t>BWY REV 1L USD Corp</t>
  </si>
  <si>
    <t>ZQ635622 Corp</t>
  </si>
  <si>
    <t>CYH US Equity</t>
  </si>
  <si>
    <t>CYH 6 ⅞ 04/01/28</t>
  </si>
  <si>
    <t>Community Health Systems Inc</t>
  </si>
  <si>
    <t>ZG691142 Corp</t>
  </si>
  <si>
    <t>CYH 10 ⅞ 01/15/32</t>
  </si>
  <si>
    <t>YO013297 Corp</t>
  </si>
  <si>
    <t>CYH 10 ¾ 06/15/33</t>
  </si>
  <si>
    <t>YM779009 Corp</t>
  </si>
  <si>
    <t>CYH 9 ¾ 01/15/34</t>
  </si>
  <si>
    <t>BT662863 Corp</t>
  </si>
  <si>
    <t>CYH 5 ¼ 05/15/30</t>
  </si>
  <si>
    <t>BP390489 Corp</t>
  </si>
  <si>
    <t>CYH 6 ⅛ 04/01/30</t>
  </si>
  <si>
    <t>BN747395 Corp</t>
  </si>
  <si>
    <t>CYH 4 ¾ 02/15/31</t>
  </si>
  <si>
    <t>BN619857 Corp</t>
  </si>
  <si>
    <t>CYH 6 ⅞ 04/15/29</t>
  </si>
  <si>
    <t>BN054032 Corp</t>
  </si>
  <si>
    <t>CYH 6 01/15/29</t>
  </si>
  <si>
    <t>BL573287 Corp</t>
  </si>
  <si>
    <t>CYH TL DD 1L USD Corp</t>
  </si>
  <si>
    <t>BL502130 Corp</t>
  </si>
  <si>
    <t>BL482438 Corp</t>
  </si>
  <si>
    <t>CYH TL A 1L USD Corp</t>
  </si>
  <si>
    <t>BL384064 Corp</t>
  </si>
  <si>
    <t>ZO253424 Corp</t>
  </si>
  <si>
    <t>ECHO US Equity</t>
  </si>
  <si>
    <t>DISH 7 ⅜ 07/01/28</t>
  </si>
  <si>
    <t>EchoStar Corp</t>
  </si>
  <si>
    <t>ZN138286 Corp</t>
  </si>
  <si>
    <t>DISH 11 ¾ 11/15/27</t>
  </si>
  <si>
    <t>YT184153 Corp</t>
  </si>
  <si>
    <t>ECHO 10 ¾ 11/30/29</t>
  </si>
  <si>
    <t>YT134692 Corp</t>
  </si>
  <si>
    <t>ECHO 3 ⅞ 11/30/30</t>
  </si>
  <si>
    <t>YT123670 Corp</t>
  </si>
  <si>
    <t>ECHO 6 ¾ 11/30/30</t>
  </si>
  <si>
    <t>QZ429974 Corp</t>
  </si>
  <si>
    <t>DISH 7 ¾ PERP</t>
  </si>
  <si>
    <t>QZ123790 Corp</t>
  </si>
  <si>
    <t>DISH 3 ⅜ 08/15/26</t>
  </si>
  <si>
    <t>LW952636 Corp</t>
  </si>
  <si>
    <t>ECHO 6 ⅝ 08/01/26</t>
  </si>
  <si>
    <t>LW952624 Corp</t>
  </si>
  <si>
    <t>ECHO 5 ¼ 08/01/26</t>
  </si>
  <si>
    <t>LW378927 Corp</t>
  </si>
  <si>
    <t>BS363560 Corp</t>
  </si>
  <si>
    <t>DISH 5 ¾ 12/01/28</t>
  </si>
  <si>
    <t>BS363543 Corp</t>
  </si>
  <si>
    <t>DISH 5 ¼ 12/01/26</t>
  </si>
  <si>
    <t>BQ855070 Corp</t>
  </si>
  <si>
    <t>DISH 5 ⅛ 06/01/29</t>
  </si>
  <si>
    <t>BP472819 Corp</t>
  </si>
  <si>
    <t>BK232014 Corp</t>
  </si>
  <si>
    <t>AN258612 Corp</t>
  </si>
  <si>
    <t>AN258530 Corp</t>
  </si>
  <si>
    <t>YL531950 Corp</t>
  </si>
  <si>
    <t>SRPT US Equity</t>
  </si>
  <si>
    <t>Medical-Biomedical/Gene</t>
  </si>
  <si>
    <t>SRPT 4 ⅞ 09/01/30</t>
  </si>
  <si>
    <t>Sarepta Therapeutics Inc</t>
  </si>
  <si>
    <t>BZ029108 Corp</t>
  </si>
  <si>
    <t>SRPT 1 ¼ 09/15/27</t>
  </si>
  <si>
    <t>ZI113660 Corp</t>
  </si>
  <si>
    <t>1398309D US Equity</t>
  </si>
  <si>
    <t>RGCARE 9 ⅞ 08/15/30</t>
  </si>
  <si>
    <t>DSB Holdings Inc</t>
  </si>
  <si>
    <t>YX014619 Corp</t>
  </si>
  <si>
    <t>RGCARE 10 06/01/32</t>
  </si>
  <si>
    <t>YS646077 Corp</t>
  </si>
  <si>
    <t>RGCARE 8 ⅜ 02/15/32</t>
  </si>
  <si>
    <t>DI510089 Corp</t>
  </si>
  <si>
    <t>RGCARE 7 05/01/34</t>
  </si>
  <si>
    <t>BM830989 Corp</t>
  </si>
  <si>
    <t>RGCARE 5 ⅜ 01/15/29</t>
  </si>
  <si>
    <t>BL481222 Corp</t>
  </si>
  <si>
    <t>RGCARE TL B 1L USD Corp</t>
  </si>
  <si>
    <t>BL475560 Corp</t>
  </si>
  <si>
    <t>BL279565 Corp</t>
  </si>
  <si>
    <t>RGCARE REV 1L USD Corp</t>
  </si>
  <si>
    <t>BL1001MI Corp</t>
  </si>
  <si>
    <t>RGCARE TL B1 1L USD Corp</t>
  </si>
  <si>
    <t>BL370793 Corp</t>
  </si>
  <si>
    <t>DEXAXL TL B-DD 1L USD Corp</t>
  </si>
  <si>
    <t>BL370792 Corp</t>
  </si>
  <si>
    <t>DEXAXL TL B 1L USD Corp</t>
  </si>
  <si>
    <t>YO992664 Corp</t>
  </si>
  <si>
    <t>EOSE US Equity</t>
  </si>
  <si>
    <t>Renewable Energy</t>
  </si>
  <si>
    <t>Energy-Alternate Sources</t>
  </si>
  <si>
    <t>EOSE 6 ¾ 06/15/30</t>
  </si>
  <si>
    <t>Eos Energy Enterprises Inc</t>
  </si>
  <si>
    <t>DA692681 Corp</t>
  </si>
  <si>
    <t>EOSE 1 ¾ 12/01/31</t>
  </si>
  <si>
    <t>BL484725 Corp</t>
  </si>
  <si>
    <t>EOSE TL DD 1L USD Corp</t>
  </si>
  <si>
    <t>DELAY-DRAW PIK TERM</t>
  </si>
  <si>
    <t>ZB467964 Corp</t>
  </si>
  <si>
    <t>2261466Z US Equity</t>
  </si>
  <si>
    <t>ROCSOF 9 11/28/28</t>
  </si>
  <si>
    <t>Rocket Software Inc</t>
  </si>
  <si>
    <t>BN748257 Corp</t>
  </si>
  <si>
    <t>ROCSOF 6 ½ 02/15/29</t>
  </si>
  <si>
    <t>BL516237 Corp</t>
  </si>
  <si>
    <t>ROCSOF TL B 1L EUR Corp</t>
  </si>
  <si>
    <t>BL516236 Corp</t>
  </si>
  <si>
    <t>ROCSOF TL B 1L USD Corp</t>
  </si>
  <si>
    <t>YN253017 Corp</t>
  </si>
  <si>
    <t>2218494D IT Equity</t>
  </si>
  <si>
    <t>ODD 0 06/15/30</t>
  </si>
  <si>
    <t>Oddity Tech Ltd</t>
  </si>
  <si>
    <t>YK463308 Corp</t>
  </si>
  <si>
    <t>1990519D US Equity</t>
  </si>
  <si>
    <t>PRIMBP 8 ¾ 12/31/30</t>
  </si>
  <si>
    <t>Park River Holdings LP</t>
  </si>
  <si>
    <t>YK263719 Corp</t>
  </si>
  <si>
    <t>PRIMBP 8 03/15/31</t>
  </si>
  <si>
    <t>BL524058 Corp</t>
  </si>
  <si>
    <t>PRIMBP TL B 1L USD Corp</t>
  </si>
  <si>
    <t>BL354543 Corp</t>
  </si>
  <si>
    <t>PRIMBP REV 1L USD Corp</t>
  </si>
  <si>
    <t>ZK270445 Corp</t>
  </si>
  <si>
    <t>ENVX US Equity</t>
  </si>
  <si>
    <t>Electronics</t>
  </si>
  <si>
    <t>Electronic Compo-Misc</t>
  </si>
  <si>
    <t>ENVX 3 05/01/28</t>
  </si>
  <si>
    <t>Enovix Corp</t>
  </si>
  <si>
    <t>YK059317 Corp</t>
  </si>
  <si>
    <t>ENVX 4 ¾ 09/15/30</t>
  </si>
  <si>
    <t>YL259397 Corp</t>
  </si>
  <si>
    <t>2588441D US Equity</t>
  </si>
  <si>
    <t>Finance-Invest Bnkr/Brkr</t>
  </si>
  <si>
    <t>BSCHBB Float 06/13/35</t>
  </si>
  <si>
    <t>BL519578 Corp</t>
  </si>
  <si>
    <t>1999753D FH Equity</t>
  </si>
  <si>
    <t>FI</t>
  </si>
  <si>
    <t>Real Estate Mgmnt/Servic</t>
  </si>
  <si>
    <t>PALBID TL 1L EUR Corp</t>
  </si>
  <si>
    <t>BL519577 Corp</t>
  </si>
  <si>
    <t>SEK</t>
  </si>
  <si>
    <t>PALBID TL 1L SEK Corp</t>
  </si>
  <si>
    <t>BL519575 Corp</t>
  </si>
  <si>
    <t>NOK</t>
  </si>
  <si>
    <t>PALBID TL 1L NOK Corp</t>
  </si>
  <si>
    <t>BL395602 Corp</t>
  </si>
  <si>
    <t>2334224Z US Equity</t>
  </si>
  <si>
    <t>IMONCO TL A 1L USD Corp</t>
  </si>
  <si>
    <t>YJ112529 Corp</t>
  </si>
  <si>
    <t>BYND US Equity</t>
  </si>
  <si>
    <t>BYND 7 10/15/30</t>
  </si>
  <si>
    <t>Beyond Meat Inc</t>
  </si>
  <si>
    <t>BO352534 Corp</t>
  </si>
  <si>
    <t>BYND 0 03/15/27</t>
  </si>
  <si>
    <t>BL524147 Corp</t>
  </si>
  <si>
    <t>FIXED Index</t>
  </si>
  <si>
    <t>BYND TL DD 1L USD Corp</t>
  </si>
  <si>
    <t>loanid</t>
  </si>
  <si>
    <t>issuer</t>
  </si>
  <si>
    <t>Albion</t>
  </si>
  <si>
    <t>Arzan Hotels</t>
  </si>
  <si>
    <t>Evoke Plc P2P</t>
  </si>
  <si>
    <t>Fondo Leone</t>
  </si>
  <si>
    <t>Global Opps Non-US</t>
  </si>
  <si>
    <t>GLOBAL OPPS NON-US potential deals</t>
  </si>
  <si>
    <t>Harbour Energy PLC</t>
  </si>
  <si>
    <t>Megha Engineering (Tranche 2)</t>
  </si>
  <si>
    <t>Midtown Niseko</t>
  </si>
  <si>
    <t>Pembroke Developments Topco Sarl</t>
  </si>
  <si>
    <t>Perfin</t>
  </si>
  <si>
    <t>Project Astera</t>
  </si>
  <si>
    <t>Project Champs Elysee</t>
  </si>
  <si>
    <t>Project DC (Tempo Automation)</t>
  </si>
  <si>
    <t>RELA</t>
  </si>
  <si>
    <t>RFR/PBB</t>
  </si>
  <si>
    <t>Serta Simmons Bedding LLC</t>
  </si>
  <si>
    <t>Thames Water</t>
  </si>
  <si>
    <t>United Saudi Co.</t>
  </si>
  <si>
    <t>Vedad</t>
  </si>
  <si>
    <t>BL1001IX</t>
  </si>
  <si>
    <t>MIS Acquisition LLC</t>
  </si>
  <si>
    <t>BL240219</t>
  </si>
  <si>
    <t>Sirona BidCo SAS</t>
  </si>
  <si>
    <t>BL562223</t>
  </si>
  <si>
    <t>Cia Siderurgica Nacional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</si>
</sst>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43" fontId="0" fillId="0" borderId="0" xfId="1" applyFont="1"/>
    <xf numFmtId="1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BDP|17890147547421336912</stp>
        <tr r="AA699" s="1"/>
      </tp>
      <tp t="s">
        <v>#N/A N/A</v>
        <stp/>
        <stp>BDP|10168786560889152210</stp>
        <tr r="Y362" s="1"/>
      </tp>
      <tp t="s">
        <v>#N/A N/A</v>
        <stp/>
        <stp>BDP|13606877217537627793</stp>
        <tr r="Y1257" s="1"/>
      </tp>
      <tp t="s">
        <v>#N/A N/A</v>
        <stp/>
        <stp>BDP|13387788847078378265</stp>
        <tr r="Y238" s="1"/>
      </tp>
      <tp t="s">
        <v>#N/A N/A</v>
        <stp/>
        <stp>BDP|15764289891481634518</stp>
        <tr r="Z1099" s="1"/>
      </tp>
      <tp t="s">
        <v>#N/A N/A</v>
        <stp/>
        <stp>BDP|10714229327602907829</stp>
        <tr r="AA248" s="1"/>
      </tp>
      <tp t="s">
        <v>#N/A N/A</v>
        <stp/>
        <stp>BDP|13055599251208166112</stp>
        <tr r="AA1282" s="1"/>
      </tp>
      <tp t="s">
        <v>#N/A N/A</v>
        <stp/>
        <stp>BDP|12696471497383776693</stp>
        <tr r="Y56" s="1"/>
      </tp>
      <tp t="s">
        <v>#N/A N/A</v>
        <stp/>
        <stp>BDP|11205787695643626612</stp>
        <tr r="Z147" s="1"/>
      </tp>
      <tp t="s">
        <v>#N/A N/A</v>
        <stp/>
        <stp>BDP|12658983136197832583</stp>
        <tr r="AA267" s="1"/>
      </tp>
      <tp t="s">
        <v>#N/A N/A</v>
        <stp/>
        <stp>BDP|16623828661416979473</stp>
        <tr r="Z716" s="1"/>
      </tp>
      <tp t="s">
        <v>#N/A N/A</v>
        <stp/>
        <stp>BDP|15769899107457252007</stp>
        <tr r="Y192" s="1"/>
      </tp>
      <tp t="s">
        <v>#N/A N/A</v>
        <stp/>
        <stp>BDP|13072345906359853319</stp>
        <tr r="Z900" s="1"/>
      </tp>
      <tp t="s">
        <v>#N/A N/A</v>
        <stp/>
        <stp>BDP|18342408209652064410</stp>
        <tr r="AA1206" s="1"/>
      </tp>
      <tp t="s">
        <v>#N/A N/A</v>
        <stp/>
        <stp>BDP|18108227068680811683</stp>
        <tr r="AA625" s="1"/>
      </tp>
      <tp t="s">
        <v>#N/A N/A</v>
        <stp/>
        <stp>BDP|11527414647379071280</stp>
        <tr r="AA757" s="1"/>
      </tp>
      <tp t="s">
        <v>#N/A N/A</v>
        <stp/>
        <stp>BDP|13536857357735844147</stp>
        <tr r="AA220" s="1"/>
      </tp>
      <tp t="s">
        <v>#N/A N/A</v>
        <stp/>
        <stp>BDP|12311600472559998038</stp>
        <tr r="Y211" s="1"/>
      </tp>
      <tp t="s">
        <v>#N/A N/A</v>
        <stp/>
        <stp>BDP|12127286636319576015</stp>
        <tr r="Y161" s="1"/>
      </tp>
      <tp t="s">
        <v>#N/A N/A</v>
        <stp/>
        <stp>BDP|12387548029059116659</stp>
        <tr r="Z208" s="1"/>
      </tp>
      <tp t="s">
        <v>#N/A N/A</v>
        <stp/>
        <stp>BDP|16334431797284598585</stp>
        <tr r="Z570" s="1"/>
      </tp>
      <tp t="s">
        <v>#N/A N/A</v>
        <stp/>
        <stp>BDP|13222092593598632841</stp>
        <tr r="AA892" s="1"/>
      </tp>
      <tp t="s">
        <v>#N/A N/A</v>
        <stp/>
        <stp>BDP|13931439286201353459</stp>
        <tr r="Z456" s="1"/>
      </tp>
      <tp t="s">
        <v>#N/A N/A</v>
        <stp/>
        <stp>BDP|14004381293083282741</stp>
        <tr r="Y1189" s="1"/>
      </tp>
      <tp t="s">
        <v>#N/A N/A</v>
        <stp/>
        <stp>BDP|11925888734985884505</stp>
        <tr r="Z679" s="1"/>
      </tp>
      <tp t="s">
        <v>#N/A N/A</v>
        <stp/>
        <stp>BDP|12298192282418190955</stp>
        <tr r="AA872" s="1"/>
      </tp>
      <tp t="s">
        <v>#N/A N/A</v>
        <stp/>
        <stp>BDP|12482315538061398934</stp>
        <tr r="AA817" s="1"/>
      </tp>
      <tp t="s">
        <v>#N/A N/A</v>
        <stp/>
        <stp>BDP|13752352957758879707</stp>
        <tr r="Z869" s="1"/>
      </tp>
      <tp t="s">
        <v>#N/A N/A</v>
        <stp/>
        <stp>BDP|15861769899965803420</stp>
        <tr r="Y1242" s="1"/>
      </tp>
      <tp t="s">
        <v>#N/A N/A</v>
        <stp/>
        <stp>BDP|13484674484414273389</stp>
        <tr r="Z989" s="1"/>
      </tp>
      <tp t="s">
        <v>#N/A N/A</v>
        <stp/>
        <stp>BDP|14359491011192339953</stp>
        <tr r="Z690" s="1"/>
      </tp>
      <tp t="s">
        <v>#N/A N/A</v>
        <stp/>
        <stp>BDP|10910140231408346025</stp>
        <tr r="Y888" s="1"/>
      </tp>
      <tp t="s">
        <v>#N/A N/A</v>
        <stp/>
        <stp>BDP|12663698378208317199</stp>
        <tr r="AA980" s="1"/>
      </tp>
      <tp t="s">
        <v>#N/A N/A</v>
        <stp/>
        <stp>BDP|10886105982423019066</stp>
        <tr r="Y376" s="1"/>
      </tp>
      <tp t="s">
        <v>#N/A N/A</v>
        <stp/>
        <stp>BDP|13169667524845739889</stp>
        <tr r="Y38" s="1"/>
      </tp>
      <tp t="s">
        <v>#N/A N/A</v>
        <stp/>
        <stp>BDP|18178696034426917196</stp>
        <tr r="Y715" s="1"/>
      </tp>
      <tp t="s">
        <v>#N/A N/A</v>
        <stp/>
        <stp>BDP|10341819351976565198</stp>
        <tr r="Z358" s="1"/>
      </tp>
      <tp t="s">
        <v>#N/A N/A</v>
        <stp/>
        <stp>BDP|15784935458245370600</stp>
        <tr r="AA334" s="1"/>
      </tp>
      <tp t="s">
        <v>#N/A N/A</v>
        <stp/>
        <stp>BDP|10901968799829010392</stp>
        <tr r="Z645" s="1"/>
      </tp>
      <tp t="s">
        <v>#N/A N/A</v>
        <stp/>
        <stp>BDP|10147223893419667894</stp>
        <tr r="Y447" s="1"/>
      </tp>
      <tp t="s">
        <v>#N/A N/A</v>
        <stp/>
        <stp>BDP|15739705998717468647</stp>
        <tr r="AA647" s="1"/>
      </tp>
      <tp t="s">
        <v>#N/A N/A</v>
        <stp/>
        <stp>BDP|10963387629109669211</stp>
        <tr r="AA294" s="1"/>
      </tp>
      <tp t="s">
        <v>#N/A N/A</v>
        <stp/>
        <stp>BDP|10901920214755243724</stp>
        <tr r="AA1181" s="1"/>
      </tp>
      <tp t="s">
        <v>#N/A N/A</v>
        <stp/>
        <stp>BDP|12341829307902883207</stp>
        <tr r="Y1045" s="1"/>
      </tp>
      <tp t="s">
        <v>#N/A N/A</v>
        <stp/>
        <stp>BDP|16700488275437018847</stp>
        <tr r="AA753" s="1"/>
      </tp>
      <tp t="s">
        <v>#N/A N/A</v>
        <stp/>
        <stp>BDP|12611601148563134913</stp>
        <tr r="AA1016" s="1"/>
      </tp>
      <tp t="s">
        <v>#N/A N/A</v>
        <stp/>
        <stp>BDP|16552194790843839754</stp>
        <tr r="AA1171" s="1"/>
      </tp>
      <tp t="s">
        <v>#N/A N/A</v>
        <stp/>
        <stp>BDP|12844060594614940524</stp>
        <tr r="Y85" s="1"/>
      </tp>
      <tp t="s">
        <v>#N/A N/A</v>
        <stp/>
        <stp>BDP|13696090740968677585</stp>
        <tr r="AA805" s="1"/>
      </tp>
      <tp t="s">
        <v>#N/A N/A</v>
        <stp/>
        <stp>BDP|16101201141333737967</stp>
        <tr r="Y177" s="1"/>
      </tp>
      <tp t="s">
        <v>#N/A N/A</v>
        <stp/>
        <stp>BDP|16419428380191140169</stp>
        <tr r="Y1324" s="1"/>
      </tp>
      <tp t="s">
        <v>#N/A N/A</v>
        <stp/>
        <stp>BDP|10234368611389712120</stp>
        <tr r="Y999" s="1"/>
      </tp>
      <tp t="s">
        <v>#N/A N/A</v>
        <stp/>
        <stp>BDP|13438664101339090635</stp>
        <tr r="AA1219" s="1"/>
      </tp>
      <tp t="s">
        <v>#N/A N/A</v>
        <stp/>
        <stp>BDP|17304752465875225914</stp>
        <tr r="Y34" s="1"/>
      </tp>
      <tp t="s">
        <v>#N/A N/A</v>
        <stp/>
        <stp>BDP|13430977892801140809</stp>
        <tr r="AA905" s="1"/>
      </tp>
      <tp t="s">
        <v>#N/A N/A</v>
        <stp/>
        <stp>BDP|10555917296952032829</stp>
        <tr r="Y598" s="1"/>
      </tp>
      <tp t="s">
        <v>#N/A N/A</v>
        <stp/>
        <stp>BDP|12813211614893404898</stp>
        <tr r="Z1086" s="1"/>
      </tp>
      <tp t="s">
        <v>#N/A N/A</v>
        <stp/>
        <stp>BDP|11559475092481048707</stp>
        <tr r="Z80" s="1"/>
      </tp>
      <tp t="s">
        <v>#N/A N/A</v>
        <stp/>
        <stp>BDP|14074352766633267810</stp>
        <tr r="Y441" s="1"/>
      </tp>
      <tp t="s">
        <v>#N/A N/A</v>
        <stp/>
        <stp>BDP|16680968702987229231</stp>
        <tr r="AA482" s="1"/>
      </tp>
      <tp t="s">
        <v>#N/A N/A</v>
        <stp/>
        <stp>BDP|16748072184831687518</stp>
        <tr r="AA613" s="1"/>
      </tp>
      <tp t="s">
        <v>#N/A N/A</v>
        <stp/>
        <stp>BDP|18226773413395602135</stp>
        <tr r="Z1162" s="1"/>
      </tp>
      <tp t="s">
        <v>#N/A N/A</v>
        <stp/>
        <stp>BDP|12695365776139719534</stp>
        <tr r="Y1246" s="1"/>
      </tp>
      <tp t="s">
        <v>#N/A N/A</v>
        <stp/>
        <stp>BDP|16489803224894369219</stp>
        <tr r="Z484" s="1"/>
      </tp>
      <tp t="s">
        <v>#N/A N/A</v>
        <stp/>
        <stp>BDP|11310130286476552411</stp>
        <tr r="Y131" s="1"/>
      </tp>
      <tp t="s">
        <v>#N/A N/A</v>
        <stp/>
        <stp>BDP|17680123134867430861</stp>
        <tr r="Y492" s="1"/>
      </tp>
      <tp t="s">
        <v>#N/A N/A</v>
        <stp/>
        <stp>BDP|13016608555798272259</stp>
        <tr r="Z17" s="1"/>
      </tp>
      <tp t="s">
        <v>#N/A N/A</v>
        <stp/>
        <stp>BDP|16410530264419332626</stp>
        <tr r="Y105" s="1"/>
      </tp>
      <tp t="s">
        <v>#N/A N/A</v>
        <stp/>
        <stp>BDP|13802920939656536542</stp>
        <tr r="AA186" s="1"/>
      </tp>
      <tp t="s">
        <v>#N/A N/A</v>
        <stp/>
        <stp>BDP|14141995699948062645</stp>
        <tr r="Y115" s="1"/>
      </tp>
      <tp t="s">
        <v>#N/A N/A</v>
        <stp/>
        <stp>BDP|10460238862537420940</stp>
        <tr r="Z755" s="1"/>
      </tp>
      <tp t="s">
        <v>#N/A N/A</v>
        <stp/>
        <stp>BDP|11971330026832908806</stp>
        <tr r="Z1031" s="1"/>
      </tp>
      <tp t="s">
        <v>#N/A N/A</v>
        <stp/>
        <stp>BDP|18237739790209530512</stp>
        <tr r="Z108" s="1"/>
      </tp>
      <tp t="s">
        <v>#N/A N/A</v>
        <stp/>
        <stp>BDP|13862976932660800307</stp>
        <tr r="AA448" s="1"/>
      </tp>
      <tp t="s">
        <v>#N/A N/A</v>
        <stp/>
        <stp>BDP|12357530512464282858</stp>
        <tr r="AA283" s="1"/>
      </tp>
      <tp t="s">
        <v>#N/A N/A</v>
        <stp/>
        <stp>BDP|10479175726720931996</stp>
        <tr r="Y1202" s="1"/>
      </tp>
      <tp t="s">
        <v>#N/A N/A</v>
        <stp/>
        <stp>BDP|17104544033569342200</stp>
        <tr r="AA129" s="1"/>
      </tp>
      <tp t="s">
        <v>#N/A N/A</v>
        <stp/>
        <stp>BDP|16950941224965559287</stp>
        <tr r="Y244" s="1"/>
      </tp>
      <tp t="s">
        <v>#N/A N/A</v>
        <stp/>
        <stp>BDP|12794103567206379971</stp>
        <tr r="Z890" s="1"/>
      </tp>
      <tp t="s">
        <v>#N/A N/A</v>
        <stp/>
        <stp>BDP|18137138994789591373</stp>
        <tr r="Y42" s="1"/>
      </tp>
      <tp t="s">
        <v>#N/A N/A</v>
        <stp/>
        <stp>BDP|10619813106236078451</stp>
        <tr r="Z693" s="1"/>
      </tp>
      <tp t="s">
        <v>#N/A N/A</v>
        <stp/>
        <stp>BDP|15080568282494368636</stp>
        <tr r="AA996" s="1"/>
      </tp>
      <tp t="s">
        <v>#N/A N/A</v>
        <stp/>
        <stp>BDP|16778706392477192536</stp>
        <tr r="Z886" s="1"/>
      </tp>
      <tp t="s">
        <v>#N/A N/A</v>
        <stp/>
        <stp>BDP|17590113287754653027</stp>
        <tr r="AA291" s="1"/>
      </tp>
      <tp t="s">
        <v>#N/A N/A</v>
        <stp/>
        <stp>BDP|11172525191197582006</stp>
        <tr r="Z150" s="1"/>
      </tp>
      <tp t="s">
        <v>#N/A N/A</v>
        <stp/>
        <stp>BDP|16428548380825128461</stp>
        <tr r="AA1056" s="1"/>
      </tp>
      <tp t="s">
        <v>#N/A N/A</v>
        <stp/>
        <stp>BDP|16169933462751673215</stp>
        <tr r="AA102" s="1"/>
      </tp>
      <tp t="s">
        <v>#N/A N/A</v>
        <stp/>
        <stp>BDP|15078099482866463187</stp>
        <tr r="AA51" s="1"/>
      </tp>
      <tp t="s">
        <v>#N/A N/A</v>
        <stp/>
        <stp>BDP|18261956261644623972</stp>
        <tr r="Z741" s="1"/>
      </tp>
      <tp t="s">
        <v>#N/A N/A</v>
        <stp/>
        <stp>BDP|13945123789551570103</stp>
        <tr r="Y744" s="1"/>
      </tp>
      <tp t="s">
        <v>#N/A N/A</v>
        <stp/>
        <stp>BDP|11818682789237856261</stp>
        <tr r="Z698" s="1"/>
      </tp>
      <tp t="s">
        <v>#N/A N/A</v>
        <stp/>
        <stp>BDP|10256569794814403231</stp>
        <tr r="AA138" s="1"/>
      </tp>
      <tp t="s">
        <v>#N/A N/A</v>
        <stp/>
        <stp>BDP|13341378953196128902</stp>
        <tr r="Y300" s="1"/>
      </tp>
      <tp t="s">
        <v>#N/A N/A</v>
        <stp/>
        <stp>BDP|18048308677130791666</stp>
        <tr r="Y1035" s="1"/>
      </tp>
      <tp t="s">
        <v>#N/A N/A</v>
        <stp/>
        <stp>BDP|11102802636744876497</stp>
        <tr r="Z4" s="1"/>
      </tp>
      <tp t="s">
        <v>#N/A N/A</v>
        <stp/>
        <stp>BDP|16008999103917728348</stp>
        <tr r="AA998" s="1"/>
      </tp>
      <tp t="s">
        <v>#N/A N/A</v>
        <stp/>
        <stp>BDP|10198911528979328920</stp>
        <tr r="Z33" s="1"/>
      </tp>
      <tp t="s">
        <v>#N/A N/A</v>
        <stp/>
        <stp>BDP|17427096621327065951</stp>
        <tr r="Y1223" s="1"/>
      </tp>
      <tp t="s">
        <v>#N/A N/A</v>
        <stp/>
        <stp>BDP|13416076771048934724</stp>
        <tr r="Z936" s="1"/>
      </tp>
      <tp t="s">
        <v>#N/A N/A</v>
        <stp/>
        <stp>BDP|12560565217805836849</stp>
        <tr r="Z1180" s="1"/>
      </tp>
      <tp t="s">
        <v>#N/A N/A</v>
        <stp/>
        <stp>BDP|11847488578061843889</stp>
        <tr r="AA111" s="1"/>
      </tp>
      <tp t="s">
        <v>#N/A N/A</v>
        <stp/>
        <stp>BDP|13125414092192982738</stp>
        <tr r="Y919" s="1"/>
      </tp>
      <tp t="s">
        <v>#N/A N/A</v>
        <stp/>
        <stp>BDP|16352034600394884935</stp>
        <tr r="AA1249" s="1"/>
      </tp>
      <tp t="s">
        <v>#N/A N/A</v>
        <stp/>
        <stp>BDP|12592987112631223066</stp>
        <tr r="AA924" s="1"/>
      </tp>
      <tp t="s">
        <v>#N/A N/A</v>
        <stp/>
        <stp>BDP|16089931407961603591</stp>
        <tr r="AA237" s="1"/>
      </tp>
      <tp t="s">
        <v>#N/A N/A</v>
        <stp/>
        <stp>BDP|13751195275126662867</stp>
        <tr r="AA972" s="1"/>
      </tp>
      <tp t="s">
        <v>#N/A N/A</v>
        <stp/>
        <stp>BDP|17280264801768976678</stp>
        <tr r="AA957" s="1"/>
      </tp>
      <tp t="s">
        <v>#N/A N/A</v>
        <stp/>
        <stp>BDP|16497896340198248953</stp>
        <tr r="Y1179" s="1"/>
      </tp>
      <tp t="s">
        <v>#N/A N/A</v>
        <stp/>
        <stp>BDP|15418988083567342866</stp>
        <tr r="Y491" s="1"/>
      </tp>
      <tp t="s">
        <v>#N/A N/A</v>
        <stp/>
        <stp>BDP|12925579536116534974</stp>
        <tr r="AA1228" s="1"/>
      </tp>
      <tp t="s">
        <v>#N/A N/A</v>
        <stp/>
        <stp>BDP|11684214895257805608</stp>
        <tr r="Y59" s="1"/>
      </tp>
      <tp t="s">
        <v>#N/A N/A</v>
        <stp/>
        <stp>BDP|10342891077516061272</stp>
        <tr r="Z879" s="1"/>
      </tp>
      <tp t="s">
        <v>#N/A N/A</v>
        <stp/>
        <stp>BDP|17348559188144205515</stp>
        <tr r="Z957" s="1"/>
      </tp>
      <tp t="s">
        <v>#N/A N/A</v>
        <stp/>
        <stp>BDP|15840875735930079570</stp>
        <tr r="Z322" s="1"/>
      </tp>
      <tp t="s">
        <v>#N/A N/A</v>
        <stp/>
        <stp>BDP|17342401186319880901</stp>
        <tr r="Y353" s="1"/>
      </tp>
      <tp t="s">
        <v>#N/A N/A</v>
        <stp/>
        <stp>BDP|12510485066559717212</stp>
        <tr r="Y1172" s="1"/>
      </tp>
      <tp t="s">
        <v>#N/A N/A</v>
        <stp/>
        <stp>BDP|10677184327121651920</stp>
        <tr r="AA202" s="1"/>
      </tp>
      <tp t="s">
        <v>#N/A N/A</v>
        <stp/>
        <stp>BDP|14234050265348805177</stp>
        <tr r="AA989" s="1"/>
      </tp>
      <tp t="s">
        <v>#N/A N/A</v>
        <stp/>
        <stp>BDP|17933553891059731977</stp>
        <tr r="Y961" s="1"/>
      </tp>
      <tp t="s">
        <v>#N/A N/A</v>
        <stp/>
        <stp>BDP|18317138259560115746</stp>
        <tr r="Y2" s="1"/>
      </tp>
      <tp t="s">
        <v>#N/A N/A</v>
        <stp/>
        <stp>BDP|16404097189404925119</stp>
        <tr r="AA1208" s="1"/>
      </tp>
      <tp t="s">
        <v>#N/A N/A</v>
        <stp/>
        <stp>BDP|10424907462387286381</stp>
        <tr r="AA792" s="1"/>
      </tp>
      <tp t="s">
        <v>#N/A N/A</v>
        <stp/>
        <stp>BDP|15958395608145568818</stp>
        <tr r="AA412" s="1"/>
      </tp>
      <tp t="s">
        <v>#N/A N/A</v>
        <stp/>
        <stp>BDP|12031905176731861629</stp>
        <tr r="AA173" s="1"/>
      </tp>
      <tp t="s">
        <v>#N/A N/A</v>
        <stp/>
        <stp>BDP|12457295940157314823</stp>
        <tr r="AA1125" s="1"/>
      </tp>
      <tp t="s">
        <v>#N/A N/A</v>
        <stp/>
        <stp>BDP|13330337059298139646</stp>
        <tr r="AA164" s="1"/>
      </tp>
      <tp t="s">
        <v>#N/A N/A</v>
        <stp/>
        <stp>BDP|14553032048539643246</stp>
        <tr r="Y583" s="1"/>
      </tp>
      <tp t="s">
        <v>#N/A N/A</v>
        <stp/>
        <stp>BDP|17870652727550740813</stp>
        <tr r="Z1200" s="1"/>
      </tp>
      <tp t="s">
        <v>#N/A N/A</v>
        <stp/>
        <stp>BDP|14135311879168346361</stp>
        <tr r="Z1144" s="1"/>
      </tp>
      <tp t="s">
        <v>#N/A N/A</v>
        <stp/>
        <stp>BDP|13025672558949356209</stp>
        <tr r="Z986" s="1"/>
      </tp>
      <tp t="s">
        <v>#N/A N/A</v>
        <stp/>
        <stp>BDP|15609141799482093447</stp>
        <tr r="AA884" s="1"/>
      </tp>
      <tp t="s">
        <v>#N/A N/A</v>
        <stp/>
        <stp>BDP|17056706438789599125</stp>
        <tr r="Z378" s="1"/>
      </tp>
      <tp t="s">
        <v>#N/A N/A</v>
        <stp/>
        <stp>BDP|13439841543193849749</stp>
        <tr r="Y973" s="1"/>
      </tp>
      <tp t="s">
        <v>#N/A N/A</v>
        <stp/>
        <stp>BDP|10747829869484027137</stp>
        <tr r="Z186" s="1"/>
      </tp>
      <tp t="s">
        <v>#N/A N/A</v>
        <stp/>
        <stp>BDP|13628190325872505909</stp>
        <tr r="Y622" s="1"/>
      </tp>
      <tp t="s">
        <v>#N/A N/A</v>
        <stp/>
        <stp>BDP|14110485665024648950</stp>
        <tr r="Y580" s="1"/>
      </tp>
      <tp t="s">
        <v>#N/A N/A</v>
        <stp/>
        <stp>BDP|13859549098945257196</stp>
        <tr r="Y209" s="1"/>
      </tp>
      <tp t="s">
        <v>#N/A N/A</v>
        <stp/>
        <stp>BDP|11236832769030368443</stp>
        <tr r="Y373" s="1"/>
      </tp>
      <tp t="s">
        <v>#N/A N/A</v>
        <stp/>
        <stp>BDP|13594998347647417202</stp>
        <tr r="Y944" s="1"/>
      </tp>
      <tp t="s">
        <v>#N/A N/A</v>
        <stp/>
        <stp>BDP|12925697749872160966</stp>
        <tr r="Y407" s="1"/>
      </tp>
      <tp t="s">
        <v>#N/A N/A</v>
        <stp/>
        <stp>BDP|11099828408444653623</stp>
        <tr r="AA442" s="1"/>
      </tp>
      <tp t="s">
        <v>#N/A N/A</v>
        <stp/>
        <stp>BDP|15349461593766874505</stp>
        <tr r="Z338" s="1"/>
      </tp>
      <tp t="s">
        <v>#N/A N/A</v>
        <stp/>
        <stp>BDP|16234745893101228293</stp>
        <tr r="Y101" s="1"/>
      </tp>
      <tp t="s">
        <v>#N/A N/A</v>
        <stp/>
        <stp>BDP|15628575674204929822</stp>
        <tr r="AA530" s="1"/>
      </tp>
      <tp t="s">
        <v>#N/A N/A</v>
        <stp/>
        <stp>BDP|10065590092080916738</stp>
        <tr r="AA287" s="1"/>
      </tp>
      <tp t="s">
        <v>#N/A N/A</v>
        <stp/>
        <stp>BDP|15810819113861384686</stp>
        <tr r="Z103" s="1"/>
      </tp>
      <tp t="s">
        <v>#N/A N/A</v>
        <stp/>
        <stp>BDP|15452565039018279086</stp>
        <tr r="Y980" s="1"/>
      </tp>
      <tp t="s">
        <v>#N/A N/A</v>
        <stp/>
        <stp>BDP|18353249648073751699</stp>
        <tr r="Z1258" s="1"/>
      </tp>
      <tp t="s">
        <v>#N/A N/A</v>
        <stp/>
        <stp>BDP|10690394528509039373</stp>
        <tr r="Z871" s="1"/>
      </tp>
      <tp t="s">
        <v>#N/A N/A</v>
        <stp/>
        <stp>BDP|17625961762264680741</stp>
        <tr r="AA122" s="1"/>
      </tp>
      <tp t="s">
        <v>#N/A N/A</v>
        <stp/>
        <stp>BDP|13007858406740458077</stp>
        <tr r="Z1114" s="1"/>
      </tp>
      <tp t="s">
        <v>#N/A N/A</v>
        <stp/>
        <stp>BDP|15047659645264666864</stp>
        <tr r="Y1072" s="1"/>
      </tp>
      <tp t="s">
        <v>#N/A N/A</v>
        <stp/>
        <stp>BDP|15025022323425281930</stp>
        <tr r="Z202" s="1"/>
      </tp>
      <tp t="s">
        <v>#N/A N/A</v>
        <stp/>
        <stp>BDP|16423565774939103672</stp>
        <tr r="Y325" s="1"/>
      </tp>
      <tp t="s">
        <v>#N/A N/A</v>
        <stp/>
        <stp>BDP|16025539557269521418</stp>
        <tr r="AA590" s="1"/>
      </tp>
      <tp t="s">
        <v>#N/A N/A</v>
        <stp/>
        <stp>BDP|14472975642251067315</stp>
        <tr r="Y189" s="1"/>
      </tp>
      <tp t="s">
        <v>#N/A N/A</v>
        <stp/>
        <stp>BDP|11011934558763932523</stp>
        <tr r="Y683" s="1"/>
      </tp>
      <tp t="s">
        <v>#N/A N/A</v>
        <stp/>
        <stp>BDP|10808771305104363897</stp>
        <tr r="Y437" s="1"/>
      </tp>
      <tp t="s">
        <v>#N/A N/A</v>
        <stp/>
        <stp>BDP|16006978757344025508</stp>
        <tr r="AA651" s="1"/>
      </tp>
      <tp t="s">
        <v>#N/A N/A</v>
        <stp/>
        <stp>BDP|16975031700074206987</stp>
        <tr r="Z661" s="1"/>
      </tp>
      <tp t="s">
        <v>#N/A N/A</v>
        <stp/>
        <stp>BDP|18057978878214973968</stp>
        <tr r="Y863" s="1"/>
      </tp>
      <tp t="s">
        <v>#N/A N/A</v>
        <stp/>
        <stp>BDP|17100859072065090667</stp>
        <tr r="Z996" s="1"/>
      </tp>
      <tp t="s">
        <v>#N/A N/A</v>
        <stp/>
        <stp>BDP|15362894911800248799</stp>
        <tr r="Y903" s="1"/>
      </tp>
      <tp t="s">
        <v>#N/A N/A</v>
        <stp/>
        <stp>BDP|14701922705734407242</stp>
        <tr r="AA923" s="1"/>
      </tp>
      <tp t="s">
        <v>#N/A N/A</v>
        <stp/>
        <stp>BDP|11601041904022170873</stp>
        <tr r="AA468" s="1"/>
      </tp>
      <tp t="s">
        <v>#N/A N/A</v>
        <stp/>
        <stp>BDP|15436475063578223424</stp>
        <tr r="AA1115" s="1"/>
      </tp>
      <tp t="s">
        <v>#N/A N/A</v>
        <stp/>
        <stp>BDP|14541793897539800836</stp>
        <tr r="AA827" s="1"/>
      </tp>
      <tp t="s">
        <v>#N/A N/A</v>
        <stp/>
        <stp>BDP|15516141384440397756</stp>
        <tr r="Y703" s="1"/>
      </tp>
      <tp t="s">
        <v>#N/A N/A</v>
        <stp/>
        <stp>BDP|13820894698340854928</stp>
        <tr r="AA1218" s="1"/>
      </tp>
      <tp t="s">
        <v>#N/A N/A</v>
        <stp/>
        <stp>BDP|13174119514538158060</stp>
        <tr r="AA439" s="1"/>
      </tp>
      <tp t="s">
        <v>#N/A N/A</v>
        <stp/>
        <stp>BDP|16640850142743014222</stp>
        <tr r="Z363" s="1"/>
      </tp>
      <tp t="s">
        <v>#N/A N/A</v>
        <stp/>
        <stp>BDP|15055012595603131479</stp>
        <tr r="AA697" s="1"/>
      </tp>
      <tp t="s">
        <v>#N/A N/A</v>
        <stp/>
        <stp>BDP|17668736946889869694</stp>
        <tr r="AA1160" s="1"/>
      </tp>
      <tp t="s">
        <v>#N/A N/A</v>
        <stp/>
        <stp>BDP|11080995729643640240</stp>
        <tr r="Z605" s="1"/>
      </tp>
      <tp t="s">
        <v>#N/A N/A</v>
        <stp/>
        <stp>BDP|11356664907415287920</stp>
        <tr r="Y54" s="1"/>
      </tp>
      <tp t="s">
        <v>#N/A N/A</v>
        <stp/>
        <stp>BDP|12709554925216091852</stp>
        <tr r="Z848" s="1"/>
      </tp>
      <tp t="s">
        <v>#N/A N/A</v>
        <stp/>
        <stp>BDP|15377954248682478181</stp>
        <tr r="AA215" s="1"/>
      </tp>
      <tp t="s">
        <v>#N/A N/A</v>
        <stp/>
        <stp>BDP|15556215997160934585</stp>
        <tr r="Y803" s="1"/>
      </tp>
      <tp t="s">
        <v>#N/A N/A</v>
        <stp/>
        <stp>BDP|11815776984747150282</stp>
        <tr r="AA1296" s="1"/>
      </tp>
      <tp t="s">
        <v>#N/A N/A</v>
        <stp/>
        <stp>BDP|11300926175877729367</stp>
        <tr r="AA808" s="1"/>
      </tp>
      <tp t="s">
        <v>#N/A N/A</v>
        <stp/>
        <stp>BDP|10424210909469056099</stp>
        <tr r="AA347" s="1"/>
      </tp>
      <tp t="s">
        <v>#N/A N/A</v>
        <stp/>
        <stp>BDP|16939257996597909168</stp>
        <tr r="Y798" s="1"/>
      </tp>
      <tp t="s">
        <v>#N/A N/A</v>
        <stp/>
        <stp>BDP|14484732283141576143</stp>
        <tr r="AA975" s="1"/>
      </tp>
      <tp t="s">
        <v>#N/A N/A</v>
        <stp/>
        <stp>BDP|18346079210605140700</stp>
        <tr r="Z331" s="1"/>
      </tp>
      <tp t="s">
        <v>#N/A N/A</v>
        <stp/>
        <stp>BDP|10578100780772739071</stp>
        <tr r="Z509" s="1"/>
      </tp>
      <tp t="s">
        <v>#N/A N/A</v>
        <stp/>
        <stp>BDP|16799258516247741967</stp>
        <tr r="Y642" s="1"/>
      </tp>
      <tp t="s">
        <v>#N/A N/A</v>
        <stp/>
        <stp>BDP|13874687273510543931</stp>
        <tr r="Y846" s="1"/>
      </tp>
      <tp t="s">
        <v>#N/A N/A</v>
        <stp/>
        <stp>BDP|13082915019258925856</stp>
        <tr r="AA268" s="1"/>
      </tp>
      <tp t="s">
        <v>#N/A N/A</v>
        <stp/>
        <stp>BDP|18121027708470685394</stp>
        <tr r="AA794" s="1"/>
      </tp>
      <tp t="s">
        <v>#N/A N/A</v>
        <stp/>
        <stp>BDP|17787216480360017621</stp>
        <tr r="AA70" s="1"/>
      </tp>
      <tp t="s">
        <v>#N/A N/A</v>
        <stp/>
        <stp>BDP|11026370871449501775</stp>
        <tr r="Z151" s="1"/>
      </tp>
      <tp t="s">
        <v>#N/A N/A</v>
        <stp/>
        <stp>BDP|14379631087928595966</stp>
        <tr r="Y460" s="1"/>
      </tp>
      <tp t="s">
        <v>#N/A N/A</v>
        <stp/>
        <stp>BDP|15094957271023009309</stp>
        <tr r="Z822" s="1"/>
      </tp>
      <tp t="s">
        <v>#N/A N/A</v>
        <stp/>
        <stp>BDP|14726012840308134336</stp>
        <tr r="AA1151" s="1"/>
      </tp>
      <tp t="s">
        <v>#N/A N/A</v>
        <stp/>
        <stp>BDP|16285212396055068323</stp>
        <tr r="Z249" s="1"/>
      </tp>
      <tp t="s">
        <v>#N/A N/A</v>
        <stp/>
        <stp>BDP|18220341160615332329</stp>
        <tr r="Y593" s="1"/>
      </tp>
      <tp t="s">
        <v>#N/A N/A</v>
        <stp/>
        <stp>BDP|17440549781092739310</stp>
        <tr r="Z667" s="1"/>
      </tp>
      <tp t="s">
        <v>#N/A N/A</v>
        <stp/>
        <stp>BDP|15412647347945361934</stp>
        <tr r="AA1105" s="1"/>
      </tp>
      <tp t="s">
        <v>#N/A N/A</v>
        <stp/>
        <stp>BDP|17811423316569362083</stp>
        <tr r="AA1254" s="1"/>
      </tp>
      <tp t="s">
        <v>#N/A N/A</v>
        <stp/>
        <stp>BDP|18031055372005332137</stp>
        <tr r="AA107" s="1"/>
      </tp>
      <tp t="s">
        <v>#N/A N/A</v>
        <stp/>
        <stp>BDP|16547038380083771677</stp>
        <tr r="Z32" s="1"/>
      </tp>
      <tp t="s">
        <v>#N/A N/A</v>
        <stp/>
        <stp>BDP|14616209974683282965</stp>
        <tr r="Y651" s="1"/>
      </tp>
      <tp t="s">
        <v>#N/A N/A</v>
        <stp/>
        <stp>BDP|15380947495048240668</stp>
        <tr r="Z177" s="1"/>
      </tp>
      <tp t="s">
        <v>#N/A N/A</v>
        <stp/>
        <stp>BDP|18155987807542157892</stp>
        <tr r="Y10" s="1"/>
      </tp>
      <tp t="s">
        <v>#N/A N/A</v>
        <stp/>
        <stp>BDP|14225738867846100812</stp>
        <tr r="Y575" s="1"/>
      </tp>
      <tp t="s">
        <v>#N/A N/A</v>
        <stp/>
        <stp>BDP|18088948222998281027</stp>
        <tr r="Z81" s="1"/>
      </tp>
      <tp t="s">
        <v>#N/A N/A</v>
        <stp/>
        <stp>BDP|13100403498853869582</stp>
        <tr r="Y262" s="1"/>
      </tp>
      <tp t="s">
        <v>#N/A N/A</v>
        <stp/>
        <stp>BDP|10376425290960152592</stp>
        <tr r="Y1007" s="1"/>
      </tp>
      <tp t="s">
        <v>#N/A N/A</v>
        <stp/>
        <stp>BDP|13536954771596974316</stp>
        <tr r="Z1267" s="1"/>
      </tp>
      <tp t="s">
        <v>#N/A N/A</v>
        <stp/>
        <stp>BDP|12466045551407856800</stp>
        <tr r="AA983" s="1"/>
      </tp>
      <tp t="s">
        <v>#N/A N/A</v>
        <stp/>
        <stp>BDP|16210717292164100495</stp>
        <tr r="AA1067" s="1"/>
      </tp>
      <tp t="s">
        <v>#N/A N/A</v>
        <stp/>
        <stp>BDP|12596343090306888606</stp>
        <tr r="AA493" s="1"/>
      </tp>
      <tp t="s">
        <v>#N/A N/A</v>
        <stp/>
        <stp>BDP|16609259897096998347</stp>
        <tr r="AA295" s="1"/>
      </tp>
      <tp t="s">
        <v>#N/A N/A</v>
        <stp/>
        <stp>BDP|11548453385451501495</stp>
        <tr r="Y1051" s="1"/>
      </tp>
      <tp t="s">
        <v>#N/A N/A</v>
        <stp/>
        <stp>BDP|14980312183443153423</stp>
        <tr r="AA633" s="1"/>
      </tp>
      <tp t="s">
        <v>#N/A N/A</v>
        <stp/>
        <stp>BDP|18340484072374078714</stp>
        <tr r="Z1038" s="1"/>
      </tp>
      <tp t="s">
        <v>#N/A N/A</v>
        <stp/>
        <stp>BDP|11952240545826049935</stp>
        <tr r="Z11" s="1"/>
      </tp>
      <tp t="s">
        <v>#N/A N/A</v>
        <stp/>
        <stp>BDP|18350731411737873125</stp>
        <tr r="Y579" s="1"/>
      </tp>
      <tp t="s">
        <v>#N/A N/A</v>
        <stp/>
        <stp>BDP|14503429485723003398</stp>
        <tr r="Y339" s="1"/>
      </tp>
      <tp t="s">
        <v>#N/A N/A</v>
        <stp/>
        <stp>BDP|14278635099383262012</stp>
        <tr r="Z1237" s="1"/>
      </tp>
      <tp t="s">
        <v>#N/A N/A</v>
        <stp/>
        <stp>BDP|12543038085841124392</stp>
        <tr r="AA796" s="1"/>
      </tp>
      <tp t="s">
        <v>#N/A N/A</v>
        <stp/>
        <stp>BDP|13131322512789281095</stp>
        <tr r="AA166" s="1"/>
      </tp>
      <tp t="s">
        <v>#N/A N/A</v>
        <stp/>
        <stp>BDP|18181816432409891208</stp>
        <tr r="Z736" s="1"/>
      </tp>
      <tp t="s">
        <v>#N/A N/A</v>
        <stp/>
        <stp>BDP|14392949755374095481</stp>
        <tr r="Y774" s="1"/>
      </tp>
      <tp t="s">
        <v>#N/A N/A</v>
        <stp/>
        <stp>BDP|16282813639781089407</stp>
        <tr r="Y1002" s="1"/>
      </tp>
      <tp t="s">
        <v>#N/A N/A</v>
        <stp/>
        <stp>BDP|10919131844528762530</stp>
        <tr r="Z218" s="1"/>
      </tp>
      <tp t="s">
        <v>#N/A N/A</v>
        <stp/>
        <stp>BDP|11599043157879411583</stp>
        <tr r="Y1135" s="1"/>
      </tp>
      <tp t="s">
        <v>#N/A N/A</v>
        <stp/>
        <stp>BDP|16300536999635486701</stp>
        <tr r="AA477" s="1"/>
      </tp>
      <tp t="s">
        <v>#N/A N/A</v>
        <stp/>
        <stp>BDP|18313390323772793337</stp>
        <tr r="Y609" s="1"/>
      </tp>
      <tp t="s">
        <v>#N/A N/A</v>
        <stp/>
        <stp>BDP|10765777865578939118</stp>
        <tr r="Z584" s="1"/>
      </tp>
      <tp t="s">
        <v>#N/A N/A</v>
        <stp/>
        <stp>BDP|11336872265982989550</stp>
        <tr r="AA744" s="1"/>
      </tp>
      <tp t="s">
        <v>#N/A N/A</v>
        <stp/>
        <stp>BDP|18238853905159932162</stp>
        <tr r="Y178" s="1"/>
      </tp>
      <tp t="s">
        <v>#N/A N/A</v>
        <stp/>
        <stp>BDP|18237743271029879923</stp>
        <tr r="Y790" s="1"/>
      </tp>
      <tp t="s">
        <v>#N/A N/A</v>
        <stp/>
        <stp>BDP|13402907521559061980</stp>
        <tr r="AA844" s="1"/>
      </tp>
      <tp t="s">
        <v>#N/A N/A</v>
        <stp/>
        <stp>BDP|17166049236709702581</stp>
        <tr r="Y735" s="1"/>
      </tp>
      <tp t="s">
        <v>#N/A N/A</v>
        <stp/>
        <stp>BDP|14887777594137771500</stp>
        <tr r="Z1164" s="1"/>
      </tp>
      <tp t="s">
        <v>#N/A N/A</v>
        <stp/>
        <stp>BDP|14833934155893119336</stp>
        <tr r="Z1044" s="1"/>
      </tp>
      <tp t="s">
        <v>#N/A N/A</v>
        <stp/>
        <stp>BDP|14370785265984466960</stp>
        <tr r="Y1281" s="1"/>
      </tp>
      <tp t="s">
        <v>#N/A N/A</v>
        <stp/>
        <stp>BDP|11166387358346416994</stp>
        <tr r="Y611" s="1"/>
      </tp>
      <tp t="s">
        <v>#N/A N/A</v>
        <stp/>
        <stp>BDP|11423381591001617249</stp>
        <tr r="Y532" s="1"/>
      </tp>
      <tp t="s">
        <v>#N/A N/A</v>
        <stp/>
        <stp>BDP|17206020173360809849</stp>
        <tr r="Y74" s="1"/>
      </tp>
      <tp t="s">
        <v>#N/A N/A</v>
        <stp/>
        <stp>BDP|18155900811598789081</stp>
        <tr r="Y397" s="1"/>
      </tp>
      <tp t="s">
        <v>#N/A N/A</v>
        <stp/>
        <stp>BDP|11156939470587558085</stp>
        <tr r="AA387" s="1"/>
      </tp>
      <tp t="s">
        <v>#N/A N/A</v>
        <stp/>
        <stp>BDP|13811932570536358373</stp>
        <tr r="AA224" s="1"/>
      </tp>
      <tp t="s">
        <v>#N/A N/A</v>
        <stp/>
        <stp>BDP|18126271689003138917</stp>
        <tr r="AA592" s="1"/>
      </tp>
      <tp t="s">
        <v>#N/A N/A</v>
        <stp/>
        <stp>BDP|13760447294464155295</stp>
        <tr r="Y195" s="1"/>
      </tp>
      <tp t="s">
        <v>#N/A N/A</v>
        <stp/>
        <stp>BDP|17368414352587797994</stp>
        <tr r="Y533" s="1"/>
      </tp>
      <tp t="s">
        <v>#N/A N/A</v>
        <stp/>
        <stp>BDP|16534445919082652909</stp>
        <tr r="Z860" s="1"/>
      </tp>
      <tp t="s">
        <v>#N/A N/A</v>
        <stp/>
        <stp>BDP|17747432100122886926</stp>
        <tr r="Y270" s="1"/>
      </tp>
      <tp t="s">
        <v>#N/A N/A</v>
        <stp/>
        <stp>BDP|10854808674424532378</stp>
        <tr r="AA1242" s="1"/>
      </tp>
      <tp t="s">
        <v>#N/A N/A</v>
        <stp/>
        <stp>BDP|12823396788533367247</stp>
        <tr r="Y634" s="1"/>
      </tp>
      <tp t="s">
        <v>#N/A N/A</v>
        <stp/>
        <stp>BDP|18305729894637037947</stp>
        <tr r="Z745" s="1"/>
      </tp>
      <tp t="s">
        <v>#N/A N/A</v>
        <stp/>
        <stp>BDP|13089900508810889215</stp>
        <tr r="AA113" s="1"/>
      </tp>
      <tp t="s">
        <v>#N/A N/A</v>
        <stp/>
        <stp>BDP|10068782939074810889</stp>
        <tr r="Z335" s="1"/>
      </tp>
      <tp t="s">
        <v>#N/A N/A</v>
        <stp/>
        <stp>BDP|13540747987965386145</stp>
        <tr r="AA418" s="1"/>
      </tp>
      <tp t="s">
        <v>#N/A N/A</v>
        <stp/>
        <stp>BDP|14729211363650501813</stp>
        <tr r="Z161" s="1"/>
      </tp>
      <tp t="s">
        <v>#N/A N/A</v>
        <stp/>
        <stp>BDP|17777661982795103437</stp>
        <tr r="Z1188" s="1"/>
      </tp>
      <tp t="s">
        <v>#N/A N/A</v>
        <stp/>
        <stp>BDP|12497957513876546464</stp>
        <tr r="AA754" s="1"/>
      </tp>
      <tp t="s">
        <v>#N/A N/A</v>
        <stp/>
        <stp>BDP|14602915642811689020</stp>
        <tr r="Z686" s="1"/>
      </tp>
      <tp t="s">
        <v>#N/A N/A</v>
        <stp/>
        <stp>BDP|13722446895156287044</stp>
        <tr r="AA1200" s="1"/>
      </tp>
      <tp t="s">
        <v>#N/A N/A</v>
        <stp/>
        <stp>BDP|15424498039053646927</stp>
        <tr r="Y44" s="1"/>
      </tp>
      <tp t="s">
        <v>#N/A N/A</v>
        <stp/>
        <stp>BDP|17016828203812494551</stp>
        <tr r="Z1235" s="1"/>
      </tp>
      <tp t="s">
        <v>#N/A N/A</v>
        <stp/>
        <stp>BDP|11284032589203970217</stp>
        <tr r="Z861" s="1"/>
      </tp>
      <tp t="s">
        <v>#N/A N/A</v>
        <stp/>
        <stp>BDP|17022074272030112848</stp>
        <tr r="Y700" s="1"/>
      </tp>
      <tp t="s">
        <v>#N/A N/A</v>
        <stp/>
        <stp>BDP|14027954737427425160</stp>
        <tr r="AA50" s="1"/>
      </tp>
      <tp t="s">
        <v>#N/A N/A</v>
        <stp/>
        <stp>BDP|13007860675732284618</stp>
        <tr r="AA1007" s="1"/>
      </tp>
      <tp t="s">
        <v>#N/A N/A</v>
        <stp/>
        <stp>BDP|17766431892022567035</stp>
        <tr r="AA942" s="1"/>
      </tp>
      <tp t="s">
        <v>#N/A N/A</v>
        <stp/>
        <stp>BDP|11746808575567431151</stp>
        <tr r="AA1283" s="1"/>
      </tp>
      <tp t="s">
        <v>#N/A N/A</v>
        <stp/>
        <stp>BDP|13153782798485303019</stp>
        <tr r="Z807" s="1"/>
      </tp>
      <tp t="s">
        <v>#N/A N/A</v>
        <stp/>
        <stp>BDP|14784097683973669788</stp>
        <tr r="Z1288" s="1"/>
      </tp>
      <tp t="s">
        <v>#N/A N/A</v>
        <stp/>
        <stp>BDP|16573849479842821337</stp>
        <tr r="Y1043" s="1"/>
      </tp>
      <tp t="s">
        <v>#N/A N/A</v>
        <stp/>
        <stp>BDP|18048574947402147321</stp>
        <tr r="AA1094" s="1"/>
      </tp>
      <tp t="s">
        <v>#N/A N/A</v>
        <stp/>
        <stp>BDP|17049210385182306745</stp>
        <tr r="Y223" s="1"/>
      </tp>
      <tp t="s">
        <v>#N/A N/A</v>
        <stp/>
        <stp>BDP|12780072881723163122</stp>
        <tr r="Y1065" s="1"/>
      </tp>
      <tp t="s">
        <v>#N/A N/A</v>
        <stp/>
        <stp>BDP|12610300789322486393</stp>
        <tr r="Z1033" s="1"/>
      </tp>
      <tp t="s">
        <v>#N/A N/A</v>
        <stp/>
        <stp>BDP|17263671974388056639</stp>
        <tr r="Y535" s="1"/>
      </tp>
      <tp t="s">
        <v>#N/A N/A</v>
        <stp/>
        <stp>BDP|17814816323115120096</stp>
        <tr r="Z123" s="1"/>
      </tp>
      <tp t="s">
        <v>#N/A N/A</v>
        <stp/>
        <stp>BDP|14107645514043407877</stp>
        <tr r="Y378" s="1"/>
      </tp>
      <tp t="s">
        <v>#N/A N/A</v>
        <stp/>
        <stp>BDP|11779843683369155034</stp>
        <tr r="Z1000" s="1"/>
      </tp>
      <tp t="s">
        <v>#N/A N/A</v>
        <stp/>
        <stp>BDP|17924590344626498828</stp>
        <tr r="AA1209" s="1"/>
      </tp>
      <tp t="s">
        <v>#N/A N/A</v>
        <stp/>
        <stp>BDP|12566979377364103016</stp>
        <tr r="AA1217" s="1"/>
      </tp>
      <tp t="s">
        <v>#N/A N/A</v>
        <stp/>
        <stp>BDP|10261848475660080769</stp>
        <tr r="Y409" s="1"/>
      </tp>
      <tp t="s">
        <v>#N/A N/A</v>
        <stp/>
        <stp>BDP|16526037025284793812</stp>
        <tr r="Z969" s="1"/>
      </tp>
      <tp t="s">
        <v>#N/A N/A</v>
        <stp/>
        <stp>BDP|13965091656417579967</stp>
        <tr r="AA425" s="1"/>
      </tp>
      <tp t="s">
        <v>#N/A N/A</v>
        <stp/>
        <stp>BDP|13585746882036559238</stp>
        <tr r="Z859" s="1"/>
      </tp>
      <tp t="s">
        <v>#N/A N/A</v>
        <stp/>
        <stp>BDP|12206191752168954654</stp>
        <tr r="AA402" s="1"/>
      </tp>
      <tp t="s">
        <v>#N/A N/A</v>
        <stp/>
        <stp>BDP|12648870335592519346</stp>
        <tr r="Y319" s="1"/>
      </tp>
      <tp t="s">
        <v>#N/A N/A</v>
        <stp/>
        <stp>BDP|12078103274448171402</stp>
        <tr r="Y809" s="1"/>
      </tp>
      <tp t="s">
        <v>#N/A N/A</v>
        <stp/>
        <stp>BDP|11542350724758850092</stp>
        <tr r="Y259" s="1"/>
      </tp>
      <tp t="s">
        <v>#N/A N/A</v>
        <stp/>
        <stp>BDP|18277389488682271947</stp>
        <tr r="AA1280" s="1"/>
      </tp>
      <tp t="s">
        <v>#N/A N/A</v>
        <stp/>
        <stp>BDP|12951935913107406592</stp>
        <tr r="AA914" s="1"/>
      </tp>
      <tp t="s">
        <v>#N/A N/A</v>
        <stp/>
        <stp>BDP|16277521335050076810</stp>
        <tr r="AA1120" s="1"/>
      </tp>
      <tp t="s">
        <v>#N/A N/A</v>
        <stp/>
        <stp>BDP|17029378284210358448</stp>
        <tr r="AA1196" s="1"/>
      </tp>
      <tp t="s">
        <v>#N/A N/A</v>
        <stp/>
        <stp>BDP|18431968857598634444</stp>
        <tr r="Y162" s="1"/>
      </tp>
      <tp t="s">
        <v>#N/A N/A</v>
        <stp/>
        <stp>BDP|11741152587260293004</stp>
        <tr r="AA210" s="1"/>
      </tp>
      <tp t="s">
        <v>#N/A N/A</v>
        <stp/>
        <stp>BDP|10567316762659372423</stp>
        <tr r="Z477" s="1"/>
      </tp>
      <tp t="s">
        <v>#N/A N/A</v>
        <stp/>
        <stp>BDP|14116405721309317341</stp>
        <tr r="AA257" s="1"/>
      </tp>
      <tp t="s">
        <v>#N/A N/A</v>
        <stp/>
        <stp>BDP|12807168279788893480</stp>
        <tr r="Z49" s="1"/>
      </tp>
      <tp t="s">
        <v>#N/A N/A</v>
        <stp/>
        <stp>BDP|11178820024111838283</stp>
        <tr r="AA626" s="1"/>
      </tp>
      <tp t="s">
        <v>#N/A N/A</v>
        <stp/>
        <stp>BDP|13072125496453133023</stp>
        <tr r="Z695" s="1"/>
      </tp>
      <tp t="s">
        <v>#N/A N/A</v>
        <stp/>
        <stp>BDP|15424343484372291402</stp>
        <tr r="Y1260" s="1"/>
      </tp>
      <tp t="s">
        <v>#N/A N/A</v>
        <stp/>
        <stp>BDP|17953764268796257832</stp>
        <tr r="Z1146" s="1"/>
      </tp>
      <tp t="s">
        <v>#N/A N/A</v>
        <stp/>
        <stp>BDP|10701456165788968281</stp>
        <tr r="Y876" s="1"/>
      </tp>
      <tp t="s">
        <v>#N/A N/A</v>
        <stp/>
        <stp>BDP|11294163044024119981</stp>
        <tr r="Z1157" s="1"/>
      </tp>
      <tp t="s">
        <v>#N/A N/A</v>
        <stp/>
        <stp>BDP|12962081768818841581</stp>
        <tr r="Y1158" s="1"/>
      </tp>
      <tp t="s">
        <v>#N/A N/A</v>
        <stp/>
        <stp>BDP|15837840951351167059</stp>
        <tr r="Z603" s="1"/>
      </tp>
      <tp t="s">
        <v>#N/A N/A</v>
        <stp/>
        <stp>BDP|11816020204240413831</stp>
        <tr r="Z1245" s="1"/>
      </tp>
      <tp t="s">
        <v>#N/A N/A</v>
        <stp/>
        <stp>BDP|15203518239502119829</stp>
        <tr r="Y275" s="1"/>
      </tp>
      <tp t="s">
        <v>#N/A N/A</v>
        <stp/>
        <stp>BDP|11118972676806195091</stp>
        <tr r="Z181" s="1"/>
      </tp>
      <tp t="s">
        <v>#N/A N/A</v>
        <stp/>
        <stp>BDP|15568997449926984741</stp>
        <tr r="Z403" s="1"/>
      </tp>
      <tp t="s">
        <v>#N/A N/A</v>
        <stp/>
        <stp>BDP|18109652535381021592</stp>
        <tr r="AA466" s="1"/>
      </tp>
      <tp t="s">
        <v>#N/A N/A</v>
        <stp/>
        <stp>BDP|16138096397091161763</stp>
        <tr r="Y194" s="1"/>
      </tp>
      <tp t="s">
        <v>#N/A N/A</v>
        <stp/>
        <stp>BDP|18156169308439208963</stp>
        <tr r="Y794" s="1"/>
      </tp>
      <tp t="s">
        <v>#N/A N/A</v>
        <stp/>
        <stp>BDP|13546938755191104790</stp>
        <tr r="Z1256" s="1"/>
      </tp>
      <tp t="s">
        <v>#N/A N/A</v>
        <stp/>
        <stp>BDP|17447553545066602994</stp>
        <tr r="AA348" s="1"/>
      </tp>
      <tp t="s">
        <v>#N/A N/A</v>
        <stp/>
        <stp>BDP|12139931039467377633</stp>
        <tr r="Y26" s="1"/>
      </tp>
      <tp t="s">
        <v>#N/A N/A</v>
        <stp/>
        <stp>BDP|13297479546663002986</stp>
        <tr r="AA263" s="1"/>
      </tp>
      <tp t="s">
        <v>#N/A N/A</v>
        <stp/>
        <stp>BDP|15365971770657900567</stp>
        <tr r="AA551" s="1"/>
      </tp>
      <tp t="s">
        <v>#N/A N/A</v>
        <stp/>
        <stp>BDP|16443903641175995765</stp>
        <tr r="AA306" s="1"/>
      </tp>
      <tp t="s">
        <v>#N/A N/A</v>
        <stp/>
        <stp>BDP|17513660793665325497</stp>
        <tr r="Z926" s="1"/>
      </tp>
      <tp t="s">
        <v>#N/A N/A</v>
        <stp/>
        <stp>BDP|11992901932837111500</stp>
        <tr r="Y484" s="1"/>
      </tp>
      <tp t="s">
        <v>#N/A N/A</v>
        <stp/>
        <stp>BDP|13516841220586328683</stp>
        <tr r="Z647" s="1"/>
      </tp>
      <tp t="s">
        <v>#N/A N/A</v>
        <stp/>
        <stp>BDP|11235889806077163705</stp>
        <tr r="Z74" s="1"/>
      </tp>
      <tp t="s">
        <v>#N/A N/A</v>
        <stp/>
        <stp>BDP|12009623281710980573</stp>
        <tr r="AA1303" s="1"/>
      </tp>
      <tp t="s">
        <v>#N/A N/A</v>
        <stp/>
        <stp>BDP|15669057215978360580</stp>
        <tr r="AA403" s="1"/>
      </tp>
      <tp t="s">
        <v>#N/A N/A</v>
        <stp/>
        <stp>BDP|12168916286979802334</stp>
        <tr r="AA986" s="1"/>
      </tp>
      <tp t="s">
        <v>#N/A N/A</v>
        <stp/>
        <stp>BDP|12895573944263124978</stp>
        <tr r="AA1140" s="1"/>
      </tp>
      <tp t="s">
        <v>#N/A N/A</v>
        <stp/>
        <stp>BDP|15806081363439741390</stp>
        <tr r="Y1129" s="1"/>
      </tp>
      <tp t="s">
        <v>#N/A N/A</v>
        <stp/>
        <stp>BDP|18109772873208160990</stp>
        <tr r="Y1020" s="1"/>
      </tp>
      <tp t="s">
        <v>#N/A N/A</v>
        <stp/>
        <stp>BDP|13448982661077980283</stp>
        <tr r="Z380" s="1"/>
      </tp>
      <tp t="s">
        <v>#N/A N/A</v>
        <stp/>
        <stp>BDP|11484911995729532191</stp>
        <tr r="Z54" s="1"/>
      </tp>
      <tp t="s">
        <v>#N/A N/A</v>
        <stp/>
        <stp>BDP|17115348159549890186</stp>
        <tr r="Z205" s="1"/>
      </tp>
      <tp t="s">
        <v>#N/A N/A</v>
        <stp/>
        <stp>BDP|10540564865879392393</stp>
        <tr r="Y237" s="1"/>
      </tp>
      <tp t="s">
        <v>#N/A N/A</v>
        <stp/>
        <stp>BDP|15903240131318415540</stp>
        <tr r="Z1152" s="1"/>
      </tp>
      <tp t="s">
        <v>#N/A N/A</v>
        <stp/>
        <stp>BDP|17257943610260366693</stp>
        <tr r="Z888" s="1"/>
      </tp>
      <tp t="s">
        <v>#N/A N/A</v>
        <stp/>
        <stp>BDP|12563192317118307345</stp>
        <tr r="AA393" s="1"/>
      </tp>
      <tp t="s">
        <v>#N/A N/A</v>
        <stp/>
        <stp>BDP|13398647788275008106</stp>
        <tr r="Z1022" s="1"/>
      </tp>
      <tp t="s">
        <v>#N/A N/A</v>
        <stp/>
        <stp>BDP|17294417285483119182</stp>
        <tr r="AA24" s="1"/>
      </tp>
      <tp t="s">
        <v>#N/A N/A</v>
        <stp/>
        <stp>BDP|16812377775692385965</stp>
        <tr r="Z1215" s="1"/>
      </tp>
      <tp t="s">
        <v>#N/A N/A</v>
        <stp/>
        <stp>BDP|18137898586937369629</stp>
        <tr r="AA1210" s="1"/>
      </tp>
      <tp t="s">
        <v>#N/A N/A</v>
        <stp/>
        <stp>BDP|16484776828908070240</stp>
        <tr r="Z1173" s="1"/>
      </tp>
      <tp t="s">
        <v>#N/A N/A</v>
        <stp/>
        <stp>BDP|13493527391593983508</stp>
        <tr r="AA508" s="1"/>
      </tp>
      <tp t="s">
        <v>#N/A N/A</v>
        <stp/>
        <stp>BDP|18244333829797543739</stp>
        <tr r="Z392" s="1"/>
      </tp>
      <tp t="s">
        <v>#N/A N/A</v>
        <stp/>
        <stp>BDP|13140355408661743850</stp>
        <tr r="AA1295" s="1"/>
      </tp>
      <tp t="s">
        <v>#N/A N/A</v>
        <stp/>
        <stp>BDP|10170034532068972272</stp>
        <tr r="Y855" s="1"/>
      </tp>
      <tp t="s">
        <v>#N/A N/A</v>
        <stp/>
        <stp>BDP|13832832479312489773</stp>
        <tr r="AA549" s="1"/>
      </tp>
      <tp t="s">
        <v>#N/A N/A</v>
        <stp/>
        <stp>BDP|10540729367609005116</stp>
        <tr r="Z993" s="1"/>
      </tp>
      <tp t="s">
        <v>#N/A N/A</v>
        <stp/>
        <stp>BDP|11971452490482953747</stp>
        <tr r="Z965" s="1"/>
      </tp>
      <tp t="s">
        <v>#N/A N/A</v>
        <stp/>
        <stp>BDP|17332800815117420033</stp>
        <tr r="AA1166" s="1"/>
      </tp>
      <tp t="s">
        <v>#N/A N/A</v>
        <stp/>
        <stp>BDP|18086135000255352519</stp>
        <tr r="AA137" s="1"/>
      </tp>
      <tp t="s">
        <v>#N/A N/A</v>
        <stp/>
        <stp>BDP|14425335130708485528</stp>
        <tr r="Z968" s="1"/>
      </tp>
      <tp t="s">
        <v>#N/A N/A</v>
        <stp/>
        <stp>BDP|18333400420525218200</stp>
        <tr r="Y1224" s="1"/>
      </tp>
      <tp t="s">
        <v>#N/A N/A</v>
        <stp/>
        <stp>BDP|12028484438334047816</stp>
        <tr r="Z258" s="1"/>
      </tp>
      <tp t="s">
        <v>#N/A N/A</v>
        <stp/>
        <stp>BDP|18094388356594892379</stp>
        <tr r="Y1115" s="1"/>
      </tp>
      <tp t="s">
        <v>#N/A N/A</v>
        <stp/>
        <stp>BDP|15133882515646515398</stp>
        <tr r="Z670" s="1"/>
      </tp>
      <tp t="s">
        <v>#N/A N/A</v>
        <stp/>
        <stp>BDP|10523532976812485943</stp>
        <tr r="Y220" s="1"/>
      </tp>
      <tp t="s">
        <v>#N/A N/A</v>
        <stp/>
        <stp>BDP|11484935073463467508</stp>
        <tr r="AA169" s="1"/>
      </tp>
      <tp t="s">
        <v>#N/A N/A</v>
        <stp/>
        <stp>BDP|17535864164264487439</stp>
        <tr r="AA672" s="1"/>
      </tp>
      <tp t="s">
        <v>#N/A N/A</v>
        <stp/>
        <stp>BDP|11182843175502561562</stp>
        <tr r="AA1152" s="1"/>
      </tp>
      <tp t="s">
        <v>#N/A N/A</v>
        <stp/>
        <stp>BDP|11781219724580825895</stp>
        <tr r="Z329" s="1"/>
      </tp>
      <tp t="s">
        <v>#N/A N/A</v>
        <stp/>
        <stp>BDP|15182835334822222574</stp>
        <tr r="Y1060" s="1"/>
      </tp>
      <tp t="s">
        <v>#N/A N/A</v>
        <stp/>
        <stp>BDP|11427328496346637458</stp>
        <tr r="Y293" s="1"/>
      </tp>
      <tp t="s">
        <v>#N/A N/A</v>
        <stp/>
        <stp>BDP|17661176295360236650</stp>
        <tr r="Z1098" s="1"/>
      </tp>
      <tp t="s">
        <v>#N/A N/A</v>
        <stp/>
        <stp>BDP|14526852831514459267</stp>
        <tr r="Y531" s="1"/>
      </tp>
      <tp t="s">
        <v>#N/A N/A</v>
        <stp/>
        <stp>BDP|17514389565492232999</stp>
        <tr r="Y951" s="1"/>
      </tp>
      <tp t="s">
        <v>#N/A N/A</v>
        <stp/>
        <stp>BDP|10494812434944429665</stp>
        <tr r="Y576" s="1"/>
      </tp>
      <tp t="s">
        <v>#N/A N/A</v>
        <stp/>
        <stp>BDP|10581001896052351227</stp>
        <tr r="AA20" s="1"/>
      </tp>
      <tp t="s">
        <v>#N/A N/A</v>
        <stp/>
        <stp>BDP|15566963390945673971</stp>
        <tr r="AA22" s="1"/>
      </tp>
      <tp t="s">
        <v>#N/A N/A</v>
        <stp/>
        <stp>BDP|10969556774992917931</stp>
        <tr r="Y1042" s="1"/>
      </tp>
      <tp t="s">
        <v>#N/A N/A</v>
        <stp/>
        <stp>BDP|11051969773164162262</stp>
        <tr r="Y572" s="1"/>
      </tp>
      <tp t="s">
        <v>#N/A N/A</v>
        <stp/>
        <stp>BDP|16362129753359341230</stp>
        <tr r="AA480" s="1"/>
      </tp>
      <tp t="s">
        <v>#N/A N/A</v>
        <stp/>
        <stp>BDP|14796662589614231781</stp>
        <tr r="Z260" s="1"/>
      </tp>
      <tp t="s">
        <v>#N/A N/A</v>
        <stp/>
        <stp>BDP|15024819776474049758</stp>
        <tr r="Z390" s="1"/>
      </tp>
      <tp t="s">
        <v>#N/A N/A</v>
        <stp/>
        <stp>BDP|14308563036078921384</stp>
        <tr r="Z707" s="1"/>
      </tp>
      <tp t="s">
        <v>#N/A N/A</v>
        <stp/>
        <stp>BDP|10469826034360416246</stp>
        <tr r="Y448" s="1"/>
      </tp>
      <tp t="s">
        <v>#N/A N/A</v>
        <stp/>
        <stp>BDP|17649303503119099405</stp>
        <tr r="AA587" s="1"/>
      </tp>
      <tp t="s">
        <v>#N/A N/A</v>
        <stp/>
        <stp>BDP|11439600685840239665</stp>
        <tr r="AA429" s="1"/>
      </tp>
      <tp t="s">
        <v>#N/A N/A</v>
        <stp/>
        <stp>BDP|15043195890854465083</stp>
        <tr r="AA802" s="1"/>
      </tp>
      <tp t="s">
        <v>#N/A N/A</v>
        <stp/>
        <stp>BDP|11778858752652420719</stp>
        <tr r="Z215" s="1"/>
      </tp>
      <tp t="s">
        <v>#N/A N/A</v>
        <stp/>
        <stp>BDP|13477055480743549110</stp>
        <tr r="AA1213" s="1"/>
      </tp>
      <tp t="s">
        <v>#N/A N/A</v>
        <stp/>
        <stp>BDP|15177386023785684881</stp>
        <tr r="AA246" s="1"/>
      </tp>
      <tp t="s">
        <v>#N/A N/A</v>
        <stp/>
        <stp>BDP|13698897621751895122</stp>
        <tr r="Y1195" s="1"/>
      </tp>
      <tp t="s">
        <v>#N/A N/A</v>
        <stp/>
        <stp>BDP|15520325574111133967</stp>
        <tr r="AA91" s="1"/>
      </tp>
      <tp t="s">
        <v>#N/A N/A</v>
        <stp/>
        <stp>BDP|10617875380328304165</stp>
        <tr r="Y382" s="1"/>
      </tp>
      <tp t="s">
        <v>#N/A N/A</v>
        <stp/>
        <stp>BDP|17161901777389517975</stp>
        <tr r="Z1183" s="1"/>
      </tp>
      <tp t="s">
        <v>#N/A N/A</v>
        <stp/>
        <stp>BDP|15470646555829004619</stp>
        <tr r="Z1310" s="1"/>
      </tp>
      <tp t="s">
        <v>#N/A N/A</v>
        <stp/>
        <stp>BDP|15411880799879365413</stp>
        <tr r="Z462" s="1"/>
      </tp>
      <tp t="s">
        <v>#N/A N/A</v>
        <stp/>
        <stp>BDP|10280657382946296103</stp>
        <tr r="AA235" s="1"/>
      </tp>
      <tp t="s">
        <v>#N/A N/A</v>
        <stp/>
        <stp>BDP|10333836823166362570</stp>
        <tr r="Z512" s="1"/>
      </tp>
      <tp t="s">
        <v>#N/A N/A</v>
        <stp/>
        <stp>BDP|14750964807496276230</stp>
        <tr r="AA1043" s="1"/>
      </tp>
      <tp t="s">
        <v>#N/A N/A</v>
        <stp/>
        <stp>BDP|11568611292291656671</stp>
        <tr r="AA322" s="1"/>
      </tp>
      <tp t="s">
        <v>#N/A N/A</v>
        <stp/>
        <stp>BDP|10639653332465478923</stp>
        <tr r="Y260" s="1"/>
      </tp>
      <tp t="s">
        <v>#N/A N/A</v>
        <stp/>
        <stp>BDP|15076063480806000218</stp>
        <tr r="AA190" s="1"/>
      </tp>
      <tp t="s">
        <v>#N/A N/A</v>
        <stp/>
        <stp>BDP|16106967805225488307</stp>
        <tr r="Z31" s="1"/>
      </tp>
      <tp t="s">
        <v>#N/A N/A</v>
        <stp/>
        <stp>BDP|10275237305342356918</stp>
        <tr r="Y132" s="1"/>
      </tp>
      <tp t="s">
        <v>#N/A N/A</v>
        <stp/>
        <stp>BDP|10341781706148323688</stp>
        <tr r="Y631" s="1"/>
      </tp>
      <tp t="s">
        <v>#N/A N/A</v>
        <stp/>
        <stp>BDP|10475830470017226138</stp>
        <tr r="Y771" s="1"/>
      </tp>
      <tp t="s">
        <v>#N/A N/A</v>
        <stp/>
        <stp>BDP|10966993997599833092</stp>
        <tr r="Y1261" s="1"/>
      </tp>
      <tp t="s">
        <v>#N/A N/A</v>
        <stp/>
        <stp>BDP|10196664292434518268</stp>
        <tr r="AA1318" s="1"/>
      </tp>
      <tp t="s">
        <v>#N/A N/A</v>
        <stp/>
        <stp>BDP|13672313448338984509</stp>
        <tr r="Y568" s="1"/>
      </tp>
      <tp t="s">
        <v>#N/A N/A</v>
        <stp/>
        <stp>BDP|17006828140756638429</stp>
        <tr r="Z34" s="1"/>
      </tp>
      <tp t="s">
        <v>#N/A N/A</v>
        <stp/>
        <stp>BDP|13099530187129944947</stp>
        <tr r="Z79" s="1"/>
      </tp>
      <tp t="s">
        <v>#N/A N/A</v>
        <stp/>
        <stp>BDP|13576219015997996914</stp>
        <tr r="Z560" s="1"/>
      </tp>
      <tp t="s">
        <v>#N/A N/A</v>
        <stp/>
        <stp>BDP|17834735761531187923</stp>
        <tr r="Y1235" s="1"/>
      </tp>
      <tp t="s">
        <v>#N/A N/A</v>
        <stp/>
        <stp>BDP|10692061805627804941</stp>
        <tr r="Y1209" s="1"/>
      </tp>
      <tp t="s">
        <v>#N/A N/A</v>
        <stp/>
        <stp>BDP|10234009782270137684</stp>
        <tr r="AA444" s="1"/>
      </tp>
      <tp t="s">
        <v>#N/A N/A</v>
        <stp/>
        <stp>BDP|13893939107573039758</stp>
        <tr r="Z572" s="1"/>
      </tp>
      <tp t="s">
        <v>#N/A N/A</v>
        <stp/>
        <stp>BDP|17986487241729142082</stp>
        <tr r="Z944" s="1"/>
      </tp>
      <tp t="s">
        <v>#N/A N/A</v>
        <stp/>
        <stp>BDP|13351988844282081269</stp>
        <tr r="Y1291" s="1"/>
      </tp>
      <tp t="s">
        <v>#N/A N/A</v>
        <stp/>
        <stp>BDP|17192348899531407213</stp>
        <tr r="AA97" s="1"/>
      </tp>
      <tp t="s">
        <v>#N/A N/A</v>
        <stp/>
        <stp>BDP|13200743189041553331</stp>
        <tr r="Z1133" s="1"/>
      </tp>
      <tp t="s">
        <v>#N/A N/A</v>
        <stp/>
        <stp>BDP|16865097394515558495</stp>
        <tr r="Z641" s="1"/>
      </tp>
      <tp t="s">
        <v>#N/A N/A</v>
        <stp/>
        <stp>BDP|12921603991911915290</stp>
        <tr r="Y577" s="1"/>
      </tp>
      <tp t="s">
        <v>#N/A N/A</v>
        <stp/>
        <stp>BDP|13246992274833601011</stp>
        <tr r="Z971" s="1"/>
      </tp>
      <tp t="s">
        <v>#N/A N/A</v>
        <stp/>
        <stp>BDP|16205905012842952216</stp>
        <tr r="Z415" s="1"/>
      </tp>
      <tp t="s">
        <v>#N/A N/A</v>
        <stp/>
        <stp>BDP|15943363564556160829</stp>
        <tr r="Z1313" s="1"/>
      </tp>
      <tp t="s">
        <v>#N/A N/A</v>
        <stp/>
        <stp>BDP|14231699901268719455</stp>
        <tr r="Z711" s="1"/>
      </tp>
      <tp t="s">
        <v>#N/A N/A</v>
        <stp/>
        <stp>BDP|13125392352123428860</stp>
        <tr r="AA242" s="1"/>
      </tp>
      <tp t="s">
        <v>#N/A N/A</v>
        <stp/>
        <stp>BDP|14910430222165414940</stp>
        <tr r="Y181" s="1"/>
      </tp>
      <tp t="s">
        <v>#N/A N/A</v>
        <stp/>
        <stp>BDP|17546929529465157778</stp>
        <tr r="Y996" s="1"/>
      </tp>
      <tp t="s">
        <v>#N/A N/A</v>
        <stp/>
        <stp>BDP|12337802558427565659</stp>
        <tr r="Z528" s="1"/>
      </tp>
      <tp t="s">
        <v>#N/A N/A</v>
        <stp/>
        <stp>BDP|12074572088504522518</stp>
        <tr r="AA440" s="1"/>
      </tp>
      <tp t="s">
        <v>#N/A N/A</v>
        <stp/>
        <stp>BDP|18215793643233715648</stp>
        <tr r="Y1148" s="1"/>
      </tp>
      <tp t="s">
        <v>#N/A N/A</v>
        <stp/>
        <stp>BDP|12686774514158770294</stp>
        <tr r="Z1102" s="1"/>
      </tp>
      <tp t="s">
        <v>#N/A N/A</v>
        <stp/>
        <stp>BDP|16244945088688525108</stp>
        <tr r="AA517" s="1"/>
      </tp>
      <tp t="s">
        <v>#N/A N/A</v>
        <stp/>
        <stp>BDP|16882666664219087119</stp>
        <tr r="Y266" s="1"/>
      </tp>
      <tp t="s">
        <v>#N/A N/A</v>
        <stp/>
        <stp>BDP|12322537651559325595</stp>
        <tr r="Y979" s="1"/>
      </tp>
      <tp t="s">
        <v>#N/A N/A</v>
        <stp/>
        <stp>BDP|14953952971311450527</stp>
        <tr r="Z332" s="1"/>
      </tp>
      <tp t="s">
        <v>#N/A N/A</v>
        <stp/>
        <stp>BDP|14445686776272425948</stp>
        <tr r="Y654" s="1"/>
      </tp>
      <tp t="s">
        <v>#N/A N/A</v>
        <stp/>
        <stp>BDP|12935981458847008733</stp>
        <tr r="Z436" s="1"/>
      </tp>
      <tp t="s">
        <v>#N/A N/A</v>
        <stp/>
        <stp>BDP|12117162945210830900</stp>
        <tr r="Y395" s="1"/>
      </tp>
      <tp t="s">
        <v>#N/A N/A</v>
        <stp/>
        <stp>BDP|11537690964787724854</stp>
        <tr r="Y1124" s="1"/>
      </tp>
      <tp t="s">
        <v>#N/A N/A</v>
        <stp/>
        <stp>BDP|13689584360839332776</stp>
        <tr r="Z562" s="1"/>
      </tp>
      <tp t="s">
        <v>#N/A N/A</v>
        <stp/>
        <stp>BDP|17934684658612063831</stp>
        <tr r="AA818" s="1"/>
      </tp>
      <tp t="s">
        <v>#N/A N/A</v>
        <stp/>
        <stp>BDP|14808384794876845613</stp>
        <tr r="AA582" s="1"/>
      </tp>
      <tp t="s">
        <v>#N/A N/A</v>
        <stp/>
        <stp>BDP|17136408728498210767</stp>
        <tr r="Z230" s="1"/>
      </tp>
      <tp t="s">
        <v>#N/A N/A</v>
        <stp/>
        <stp>BDP|12455707479124984895</stp>
        <tr r="Y1062" s="1"/>
      </tp>
      <tp t="s">
        <v>#N/A N/A</v>
        <stp/>
        <stp>BDP|10835644348044906804</stp>
        <tr r="Z1206" s="1"/>
      </tp>
      <tp t="s">
        <v>#N/A N/A</v>
        <stp/>
        <stp>BDP|18342179557293870169</stp>
        <tr r="AA573" s="1"/>
      </tp>
      <tp t="s">
        <v>#N/A N/A</v>
        <stp/>
        <stp>BDP|15072312354925815809</stp>
        <tr r="Z840" s="1"/>
      </tp>
      <tp t="s">
        <v>#N/A N/A</v>
        <stp/>
        <stp>BDP|17957839337473770160</stp>
        <tr r="Z522" s="1"/>
      </tp>
      <tp t="s">
        <v>#N/A N/A</v>
        <stp/>
        <stp>BDP|16284816488701229955</stp>
        <tr r="Z1248" s="1"/>
      </tp>
      <tp t="s">
        <v>#N/A N/A</v>
        <stp/>
        <stp>BDP|10233926169723256279</stp>
        <tr r="Y51" s="1"/>
      </tp>
      <tp t="s">
        <v>#N/A N/A</v>
        <stp/>
        <stp>BDP|11136872277814473490</stp>
        <tr r="AA640" s="1"/>
      </tp>
      <tp t="s">
        <v>#N/A N/A</v>
        <stp/>
        <stp>BDP|18128644049142860683</stp>
        <tr r="Y623" s="1"/>
      </tp>
      <tp t="s">
        <v>#N/A N/A</v>
        <stp/>
        <stp>BDP|13809984401264465091</stp>
        <tr r="Y638" s="1"/>
      </tp>
      <tp t="s">
        <v>#N/A N/A</v>
        <stp/>
        <stp>BDP|14472817569165712177</stp>
        <tr r="Y1279" s="1"/>
      </tp>
      <tp t="s">
        <v>#N/A N/A</v>
        <stp/>
        <stp>BDP|12613356285104248387</stp>
        <tr r="Y590" s="1"/>
      </tp>
      <tp t="s">
        <v>#N/A N/A</v>
        <stp/>
        <stp>BDP|15184540884050893654</stp>
        <tr r="Y466" s="1"/>
      </tp>
      <tp t="s">
        <v>#N/A N/A</v>
        <stp/>
        <stp>BDP|16674657964470969827</stp>
        <tr r="Y9" s="1"/>
      </tp>
      <tp t="s">
        <v>#N/A N/A</v>
        <stp/>
        <stp>BDP|17788294795662248065</stp>
        <tr r="Z838" s="1"/>
      </tp>
      <tp t="s">
        <v>#N/A N/A</v>
        <stp/>
        <stp>BDP|16275574283991824412</stp>
        <tr r="Z265" s="1"/>
      </tp>
      <tp t="s">
        <v>#N/A N/A</v>
        <stp/>
        <stp>BDP|14764939157165511391</stp>
        <tr r="Y1028" s="1"/>
      </tp>
      <tp t="s">
        <v>#N/A N/A</v>
        <stp/>
        <stp>BDP|18349786720874333774</stp>
        <tr r="Z485" s="1"/>
      </tp>
      <tp t="s">
        <v>#N/A N/A</v>
        <stp/>
        <stp>BDP|15648078202528577392</stp>
        <tr r="AA600" s="1"/>
      </tp>
      <tp t="s">
        <v>#N/A N/A</v>
        <stp/>
        <stp>BDP|16528744556393052980</stp>
        <tr r="Y981" s="1"/>
      </tp>
      <tp t="s">
        <v>#N/A N/A</v>
        <stp/>
        <stp>BDP|17146177978969685677</stp>
        <tr r="Z1049" s="1"/>
      </tp>
      <tp t="s">
        <v>#N/A N/A</v>
        <stp/>
        <stp>BDP|15371111438870592903</stp>
        <tr r="Y421" s="1"/>
      </tp>
      <tp t="s">
        <v>#N/A N/A</v>
        <stp/>
        <stp>BDP|15758437360280263989</stp>
        <tr r="Y751" s="1"/>
      </tp>
      <tp t="s">
        <v>#N/A N/A</v>
        <stp/>
        <stp>BDP|13852676641118884784</stp>
        <tr r="Y862" s="1"/>
      </tp>
      <tp t="s">
        <v>#N/A N/A</v>
        <stp/>
        <stp>BDP|15652819689613857883</stp>
        <tr r="Z423" s="1"/>
      </tp>
      <tp t="s">
        <v>#N/A N/A</v>
        <stp/>
        <stp>BDP|16021992190479228155</stp>
        <tr r="Y745" s="1"/>
      </tp>
      <tp t="s">
        <v>#N/A N/A</v>
        <stp/>
        <stp>BDP|15664485685694323363</stp>
        <tr r="Z1078" s="1"/>
      </tp>
      <tp t="s">
        <v>#N/A N/A</v>
        <stp/>
        <stp>BDP|17389706792687203029</stp>
        <tr r="AA1103" s="1"/>
      </tp>
      <tp t="s">
        <v>#N/A N/A</v>
        <stp/>
        <stp>BDP|15612860930506758666</stp>
        <tr r="AA1118" s="1"/>
      </tp>
      <tp t="s">
        <v>#N/A N/A</v>
        <stp/>
        <stp>BDP|12323830937193058463</stp>
        <tr r="Z122" s="1"/>
      </tp>
      <tp t="s">
        <v>#N/A N/A</v>
        <stp/>
        <stp>BDP|11656982451745924668</stp>
        <tr r="Y1114" s="1"/>
      </tp>
      <tp t="s">
        <v>#N/A N/A</v>
        <stp/>
        <stp>BDP|13357100580952740640</stp>
        <tr r="Y212" s="1"/>
      </tp>
      <tp t="s">
        <v>#N/A N/A</v>
        <stp/>
        <stp>BDP|13077855848978915945</stp>
        <tr r="AA619" s="1"/>
      </tp>
      <tp t="s">
        <v>#N/A N/A</v>
        <stp/>
        <stp>BDP|14972306219861400945</stp>
        <tr r="Y893" s="1"/>
      </tp>
      <tp t="s">
        <v>#N/A N/A</v>
        <stp/>
        <stp>BDP|14240641004899279506</stp>
        <tr r="Y1162" s="1"/>
      </tp>
      <tp t="s">
        <v>#N/A N/A</v>
        <stp/>
        <stp>BDP|10178959221070554509</stp>
        <tr r="AA71" s="1"/>
      </tp>
      <tp t="s">
        <v>#N/A N/A</v>
        <stp/>
        <stp>BDP|10966501425448919154</stp>
        <tr r="Y289" s="1"/>
      </tp>
      <tp t="s">
        <v>#N/A N/A</v>
        <stp/>
        <stp>BDP|14495710626998162720</stp>
        <tr r="AA216" s="1"/>
      </tp>
      <tp t="s">
        <v>#N/A N/A</v>
        <stp/>
        <stp>BDP|13593911614973046600</stp>
        <tr r="AA5" s="1"/>
      </tp>
      <tp t="s">
        <v>#N/A N/A</v>
        <stp/>
        <stp>BDP|17617675905167287856</stp>
        <tr r="Y222" s="1"/>
      </tp>
      <tp t="s">
        <v>#N/A N/A</v>
        <stp/>
        <stp>BDP|17219754976878462161</stp>
        <tr r="AA489" s="1"/>
      </tp>
      <tp t="s">
        <v>#N/A N/A</v>
        <stp/>
        <stp>BDP|15862377086545357598</stp>
        <tr r="Z497" s="1"/>
      </tp>
      <tp t="s">
        <v>#N/A N/A</v>
        <stp/>
        <stp>BDP|11737686881822454390</stp>
        <tr r="Z152" s="1"/>
      </tp>
      <tp t="s">
        <v>#N/A N/A</v>
        <stp/>
        <stp>BDP|17096244833351628923</stp>
        <tr r="AA531" s="1"/>
      </tp>
      <tp t="s">
        <v>#N/A N/A</v>
        <stp/>
        <stp>BDP|16089901200173620258</stp>
        <tr r="Y37" s="1"/>
      </tp>
      <tp t="s">
        <v>#N/A N/A</v>
        <stp/>
        <stp>BDP|14643871705444532620</stp>
        <tr r="AA624" s="1"/>
      </tp>
      <tp t="s">
        <v>#N/A N/A</v>
        <stp/>
        <stp>BDP|11181539199807848412</stp>
        <tr r="AA1138" s="1"/>
      </tp>
      <tp t="s">
        <v>#N/A N/A</v>
        <stp/>
        <stp>BDP|14304730998466332299</stp>
        <tr r="Z956" s="1"/>
      </tp>
      <tp t="s">
        <v>#N/A N/A</v>
        <stp/>
        <stp>BDP|15615178041567702952</stp>
        <tr r="Y505" s="1"/>
      </tp>
      <tp t="s">
        <v>#N/A N/A</v>
        <stp/>
        <stp>BDP|18368439969316923222</stp>
        <tr r="Z35" s="1"/>
      </tp>
      <tp t="s">
        <v>#N/A N/A</v>
        <stp/>
        <stp>BDP|14037631080646224235</stp>
        <tr r="Z881" s="1"/>
      </tp>
      <tp t="s">
        <v>#N/A N/A</v>
        <stp/>
        <stp>BDP|14803092102983706969</stp>
        <tr r="Z174" s="1"/>
      </tp>
      <tp t="s">
        <v>#N/A N/A</v>
        <stp/>
        <stp>BDP|16416150895723763315</stp>
        <tr r="Z112" s="1"/>
      </tp>
      <tp t="s">
        <v>#N/A N/A</v>
        <stp/>
        <stp>BDP|12043769701188697330</stp>
        <tr r="Y1098" s="1"/>
      </tp>
      <tp t="s">
        <v>#N/A N/A</v>
        <stp/>
        <stp>BDP|13570049852069036166</stp>
        <tr r="Z259" s="1"/>
      </tp>
      <tp t="s">
        <v>#N/A N/A</v>
        <stp/>
        <stp>BDP|10991082291215531200</stp>
        <tr r="Y295" s="1"/>
      </tp>
      <tp t="s">
        <v>#N/A N/A</v>
        <stp/>
        <stp>BDP|15434032521239128029</stp>
        <tr r="Z1328" s="1"/>
      </tp>
      <tp t="s">
        <v>#N/A N/A</v>
        <stp/>
        <stp>BDP|12084343566408424135</stp>
        <tr r="Z170" s="1"/>
      </tp>
      <tp t="s">
        <v>#N/A N/A</v>
        <stp/>
        <stp>BDP|11384114043239249364</stp>
        <tr r="Z1295" s="1"/>
      </tp>
      <tp t="s">
        <v>#N/A N/A</v>
        <stp/>
        <stp>BDP|17021162585974665402</stp>
        <tr r="Z907" s="1"/>
      </tp>
      <tp t="s">
        <v>#N/A N/A</v>
        <stp/>
        <stp>BDP|16630995579375616348</stp>
        <tr r="Y449" s="1"/>
      </tp>
      <tp t="s">
        <v>#N/A N/A</v>
        <stp/>
        <stp>BDP|16849838426165173788</stp>
        <tr r="Z759" s="1"/>
      </tp>
      <tp t="s">
        <v>#N/A N/A</v>
        <stp/>
        <stp>BDP|13004878131254010229</stp>
        <tr r="Z1168" s="1"/>
      </tp>
      <tp t="s">
        <v>#N/A N/A</v>
        <stp/>
        <stp>BDP|14169615191907136248</stp>
        <tr r="AA239" s="1"/>
      </tp>
      <tp t="s">
        <v>#N/A N/A</v>
        <stp/>
        <stp>BDP|12943542469789701671</stp>
        <tr r="AA572" s="1"/>
      </tp>
      <tp t="s">
        <v>#N/A N/A</v>
        <stp/>
        <stp>BDP|14081795383702477794</stp>
        <tr r="AA839" s="1"/>
      </tp>
      <tp t="s">
        <v>#N/A N/A</v>
        <stp/>
        <stp>BDP|17599532174669645234</stp>
        <tr r="Z126" s="1"/>
      </tp>
      <tp t="s">
        <v>#N/A N/A</v>
        <stp/>
        <stp>BDP|10540900334163163776</stp>
        <tr r="AA907" s="1"/>
      </tp>
      <tp t="s">
        <v>#N/A N/A</v>
        <stp/>
        <stp>BDP|17174131945104367835</stp>
        <tr r="Y613" s="1"/>
      </tp>
      <tp t="s">
        <v>#N/A N/A</v>
        <stp/>
        <stp>BDP|13690048487412741749</stp>
        <tr r="AA333" s="1"/>
      </tp>
      <tp t="s">
        <v>#N/A N/A</v>
        <stp/>
        <stp>BDP|14611577974411037932</stp>
        <tr r="Y652" s="1"/>
      </tp>
      <tp t="s">
        <v>#N/A N/A</v>
        <stp/>
        <stp>BDP|15606429715438665619</stp>
        <tr r="Y1001" s="1"/>
      </tp>
      <tp t="s">
        <v>#N/A N/A</v>
        <stp/>
        <stp>BDP|15728210312440059821</stp>
        <tr r="Y305" s="1"/>
      </tp>
      <tp t="s">
        <v>#N/A N/A</v>
        <stp/>
        <stp>BDP|18359262700324304005</stp>
        <tr r="Y1082" s="1"/>
      </tp>
      <tp t="s">
        <v>#N/A N/A</v>
        <stp/>
        <stp>BDP|18159021222732113665</stp>
        <tr r="Y240" s="1"/>
      </tp>
      <tp t="s">
        <v>#N/A N/A</v>
        <stp/>
        <stp>BDP|15567444952729668334</stp>
        <tr r="Y758" s="1"/>
      </tp>
      <tp t="s">
        <v>#N/A N/A</v>
        <stp/>
        <stp>BDP|12231874037643452403</stp>
        <tr r="Y775" s="1"/>
      </tp>
      <tp t="s">
        <v>#N/A N/A</v>
        <stp/>
        <stp>BDP|14606093383974790728</stp>
        <tr r="Y205" s="1"/>
      </tp>
      <tp t="s">
        <v>#N/A N/A</v>
        <stp/>
        <stp>BDP|12015860141612961378</stp>
        <tr r="Y338" s="1"/>
      </tp>
      <tp t="s">
        <v>#N/A N/A</v>
        <stp/>
        <stp>BDP|11222831436123659689</stp>
        <tr r="Y187" s="1"/>
      </tp>
      <tp t="s">
        <v>#N/A N/A</v>
        <stp/>
        <stp>BDP|14450076644577617887</stp>
        <tr r="Z162" s="1"/>
      </tp>
      <tp t="s">
        <v>#N/A N/A</v>
        <stp/>
        <stp>BDP|13271497373279574645</stp>
        <tr r="Y672" s="1"/>
      </tp>
      <tp t="s">
        <v>#N/A N/A</v>
        <stp/>
        <stp>BDP|11654581389622812178</stp>
        <tr r="Y355" s="1"/>
      </tp>
      <tp t="s">
        <v>#N/A N/A</v>
        <stp/>
        <stp>BDP|13528870051334884533</stp>
        <tr r="Z612" s="1"/>
      </tp>
      <tp t="s">
        <v>#N/A N/A</v>
        <stp/>
        <stp>BDP|10882637668149835630</stp>
        <tr r="AA725" s="1"/>
      </tp>
      <tp t="s">
        <v>#N/A N/A</v>
        <stp/>
        <stp>BDP|13380545674068346684</stp>
        <tr r="AA338" s="1"/>
      </tp>
      <tp t="s">
        <v>#N/A N/A</v>
        <stp/>
        <stp>BDP|10342439489067285439</stp>
        <tr r="AA729" s="1"/>
      </tp>
      <tp t="s">
        <v>#N/A N/A</v>
        <stp/>
        <stp>BDP|12899184882926947232</stp>
        <tr r="Z1045" s="1"/>
      </tp>
      <tp t="s">
        <v>#N/A N/A</v>
        <stp/>
        <stp>BDP|13020253173220670984</stp>
        <tr r="Y742" s="1"/>
      </tp>
      <tp t="s">
        <v>#N/A N/A</v>
        <stp/>
        <stp>BDP|18159583975823510619</stp>
        <tr r="Y927" s="1"/>
      </tp>
      <tp t="s">
        <v>#N/A N/A</v>
        <stp/>
        <stp>BDP|11357810758392766154</stp>
        <tr r="AA690" s="1"/>
      </tp>
      <tp t="s">
        <v>#N/A N/A</v>
        <stp/>
        <stp>BDP|18162048186049873605</stp>
        <tr r="Z772" s="1"/>
      </tp>
      <tp t="s">
        <v>#N/A N/A</v>
        <stp/>
        <stp>BDP|15343819275541403484</stp>
        <tr r="Z998" s="1"/>
      </tp>
      <tp t="s">
        <v>#N/A N/A</v>
        <stp/>
        <stp>BDP|13003918138777246115</stp>
        <tr r="Z606" s="1"/>
      </tp>
      <tp t="s">
        <v>#N/A N/A</v>
        <stp/>
        <stp>BDP|16454929371731510687</stp>
        <tr r="Z29" s="1"/>
      </tp>
      <tp t="s">
        <v>#N/A N/A</v>
        <stp/>
        <stp>BDP|10050872149912624120</stp>
        <tr r="AA1041" s="1"/>
      </tp>
      <tp t="s">
        <v>#N/A N/A</v>
        <stp/>
        <stp>BDP|17364705331678066481</stp>
        <tr r="Z367" s="1"/>
      </tp>
      <tp t="s">
        <v>#N/A N/A</v>
        <stp/>
        <stp>BDP|11234871165619304991</stp>
        <tr r="Z1189" s="1"/>
      </tp>
      <tp t="s">
        <v>#N/A N/A</v>
        <stp/>
        <stp>BDP|10892410817463725945</stp>
        <tr r="Y1188" s="1"/>
      </tp>
      <tp t="s">
        <v>#N/A N/A</v>
        <stp/>
        <stp>BDP|11846441998152030196</stp>
        <tr r="AA309" s="1"/>
      </tp>
      <tp t="s">
        <v>#N/A N/A</v>
        <stp/>
        <stp>BDP|15537408902538806636</stp>
        <tr r="Z234" s="1"/>
      </tp>
      <tp t="s">
        <v>#N/A N/A</v>
        <stp/>
        <stp>BDP|11525821100335874330</stp>
        <tr r="Z320" s="1"/>
      </tp>
      <tp t="s">
        <v>#N/A N/A</v>
        <stp/>
        <stp>BDP|16891717995852133513</stp>
        <tr r="Z83" s="1"/>
      </tp>
      <tp t="s">
        <v>#N/A N/A</v>
        <stp/>
        <stp>BDP|18370631269722360562</stp>
        <tr r="Y578" s="1"/>
      </tp>
      <tp t="s">
        <v>#N/A N/A</v>
        <stp/>
        <stp>BDP|16865637835388404459</stp>
        <tr r="Y1267" s="1"/>
      </tp>
      <tp t="s">
        <v>#N/A N/A</v>
        <stp/>
        <stp>BDP|14796116763035862923</stp>
        <tr r="Z1084" s="1"/>
      </tp>
      <tp t="s">
        <v>#N/A N/A</v>
        <stp/>
        <stp>BDP|11997649120533346919</stp>
        <tr r="Z1108" s="1"/>
      </tp>
      <tp t="s">
        <v>#N/A N/A</v>
        <stp/>
        <stp>BDP|18069198554222617140</stp>
        <tr r="Y1053" s="1"/>
      </tp>
      <tp t="s">
        <v>#N/A N/A</v>
        <stp/>
        <stp>BDP|16112998981999302152</stp>
        <tr r="Z964" s="1"/>
      </tp>
      <tp t="s">
        <v>#N/A N/A</v>
        <stp/>
        <stp>BDP|14378348588796686661</stp>
        <tr r="Z73" s="1"/>
      </tp>
      <tp t="s">
        <v>#N/A N/A</v>
        <stp/>
        <stp>BDP|11957399986103137695</stp>
        <tr r="Y153" s="1"/>
      </tp>
      <tp t="s">
        <v>#N/A N/A</v>
        <stp/>
        <stp>BDP|12262841649373259238</stp>
        <tr r="AA332" s="1"/>
      </tp>
      <tp t="s">
        <v>#N/A N/A</v>
        <stp/>
        <stp>BDP|14111556812817146899</stp>
        <tr r="AA631" s="1"/>
      </tp>
      <tp t="s">
        <v>#N/A N/A</v>
        <stp/>
        <stp>BDP|17877994232304472696</stp>
        <tr r="AA585" s="1"/>
      </tp>
      <tp t="s">
        <v>#N/A N/A</v>
        <stp/>
        <stp>BDP|17154090633072325960</stp>
        <tr r="Y614" s="1"/>
      </tp>
      <tp t="s">
        <v>#N/A N/A</v>
        <stp/>
        <stp>BDP|13234093492617030273</stp>
        <tr r="Z214" s="1"/>
      </tp>
      <tp t="s">
        <v>#N/A N/A</v>
        <stp/>
        <stp>BDP|11944918150382499022</stp>
        <tr r="Z397" s="1"/>
      </tp>
      <tp t="s">
        <v>#N/A N/A</v>
        <stp/>
        <stp>BDP|11700262801379363525</stp>
        <tr r="Z749" s="1"/>
      </tp>
      <tp t="s">
        <v>#N/A N/A</v>
        <stp/>
        <stp>BDP|11795119536324843897</stp>
        <tr r="Y977" s="1"/>
      </tp>
      <tp t="s">
        <v>#N/A N/A</v>
        <stp/>
        <stp>BDP|15635808795913313814</stp>
        <tr r="Y1199" s="1"/>
      </tp>
      <tp t="s">
        <v>#N/A N/A</v>
        <stp/>
        <stp>BDP|11323985978963303318</stp>
        <tr r="AA497" s="1"/>
      </tp>
      <tp t="s">
        <v>#N/A N/A</v>
        <stp/>
        <stp>BDP|10902605415959917148</stp>
        <tr r="AA1274" s="1"/>
      </tp>
      <tp t="s">
        <v>#N/A N/A</v>
        <stp/>
        <stp>BDP|11084834072942732372</stp>
        <tr r="Z1169" s="1"/>
      </tp>
      <tp t="s">
        <v>#N/A N/A</v>
        <stp/>
        <stp>BDP|15063716306928136563</stp>
        <tr r="Y527" s="1"/>
      </tp>
      <tp t="s">
        <v>#N/A N/A</v>
        <stp/>
        <stp>BDP|18143858126408070526</stp>
        <tr r="Y738" s="1"/>
      </tp>
      <tp t="s">
        <v>#N/A N/A</v>
        <stp/>
        <stp>BDP|13531453495923303261</stp>
        <tr r="Z166" s="1"/>
      </tp>
      <tp t="s">
        <v>#N/A N/A</v>
        <stp/>
        <stp>BDP|13268648890054722712</stp>
        <tr r="Y1269" s="1"/>
      </tp>
      <tp t="s">
        <v>#N/A N/A</v>
        <stp/>
        <stp>BDP|17557565622048694777</stp>
        <tr r="AA184" s="1"/>
      </tp>
      <tp t="s">
        <v>#N/A N/A</v>
        <stp/>
        <stp>BDP|12204913964027270559</stp>
        <tr r="Z1037" s="1"/>
      </tp>
      <tp t="s">
        <v>#N/A N/A</v>
        <stp/>
        <stp>BDP|11565218080876293262</stp>
        <tr r="Z428" s="1"/>
      </tp>
      <tp t="s">
        <v>#N/A N/A</v>
        <stp/>
        <stp>BDP|17778296158277184878</stp>
        <tr r="Y1049" s="1"/>
      </tp>
      <tp t="s">
        <v>#N/A N/A</v>
        <stp/>
        <stp>BDP|10262014597135439301</stp>
        <tr r="Z442" s="1"/>
      </tp>
      <tp t="s">
        <v>#N/A N/A</v>
        <stp/>
        <stp>BDP|10439912601924399270</stp>
        <tr r="Y137" s="1"/>
      </tp>
      <tp t="s">
        <v>#N/A N/A</v>
        <stp/>
        <stp>BDP|15896488549373071995</stp>
        <tr r="AA865" s="1"/>
      </tp>
      <tp t="s">
        <v>#N/A N/A</v>
        <stp/>
        <stp>BDP|13623793539011504935</stp>
        <tr r="Y1085" s="1"/>
      </tp>
      <tp t="s">
        <v>#N/A N/A</v>
        <stp/>
        <stp>BDP|16953976157100384593</stp>
        <tr r="Z350" s="1"/>
      </tp>
      <tp t="s">
        <v>#N/A N/A</v>
        <stp/>
        <stp>BDP|11153061249112558888</stp>
        <tr r="AA61" s="1"/>
      </tp>
      <tp t="s">
        <v>#N/A N/A</v>
        <stp/>
        <stp>BDP|11609669153114755970</stp>
        <tr r="Z1314" s="1"/>
      </tp>
      <tp t="s">
        <v>#N/A N/A</v>
        <stp/>
        <stp>BDP|15910232884600455093</stp>
        <tr r="Z1123" s="1"/>
      </tp>
      <tp t="s">
        <v>#N/A N/A</v>
        <stp/>
        <stp>BDP|10562663322599420266</stp>
        <tr r="AA208" s="1"/>
      </tp>
      <tp t="s">
        <v>#N/A N/A</v>
        <stp/>
        <stp>BDP|13998293985552437436</stp>
        <tr r="AA462" s="1"/>
      </tp>
      <tp t="s">
        <v>#N/A N/A</v>
        <stp/>
        <stp>BDP|18336013871984388429</stp>
        <tr r="Z730" s="1"/>
      </tp>
      <tp t="s">
        <v>#N/A N/A</v>
        <stp/>
        <stp>BDP|11672218514228206535</stp>
        <tr r="Z839" s="1"/>
      </tp>
      <tp t="s">
        <v>#N/A N/A</v>
        <stp/>
        <stp>BDP|14007407322008507558</stp>
        <tr r="AA655" s="1"/>
      </tp>
      <tp t="s">
        <v>#N/A N/A</v>
        <stp/>
        <stp>BDP|12231240140999436208</stp>
        <tr r="AA596" s="1"/>
      </tp>
      <tp t="s">
        <v>#N/A N/A</v>
        <stp/>
        <stp>BDP|17649972764053610410</stp>
        <tr r="Y629" s="1"/>
      </tp>
      <tp t="s">
        <v>#N/A N/A</v>
        <stp/>
        <stp>BDP|17118657203086074829</stp>
        <tr r="Z935" s="1"/>
      </tp>
      <tp t="s">
        <v>#N/A N/A</v>
        <stp/>
        <stp>BDP|11461604388559931908</stp>
        <tr r="AA791" s="1"/>
      </tp>
      <tp t="s">
        <v>#N/A N/A</v>
        <stp/>
        <stp>BDP|11028242041780525856</stp>
        <tr r="AA395" s="1"/>
      </tp>
      <tp t="s">
        <v>#N/A N/A</v>
        <stp/>
        <stp>BDP|16319541999043954626</stp>
        <tr r="Z371" s="1"/>
      </tp>
      <tp t="s">
        <v>#N/A N/A</v>
        <stp/>
        <stp>BDP|15019861131793472260</stp>
        <tr r="Z846" s="1"/>
      </tp>
      <tp t="s">
        <v>#N/A N/A</v>
        <stp/>
        <stp>BDP|17796292573635172883</stp>
        <tr r="Y1006" s="1"/>
      </tp>
      <tp t="s">
        <v>#N/A N/A</v>
        <stp/>
        <stp>BDP|12728475246004724951</stp>
        <tr r="AA615" s="1"/>
      </tp>
      <tp t="s">
        <v>#N/A N/A</v>
        <stp/>
        <stp>BDP|14567965179954920141</stp>
        <tr r="Z1266" s="1"/>
      </tp>
      <tp t="s">
        <v>#N/A N/A</v>
        <stp/>
        <stp>BDP|16449623175190136856</stp>
        <tr r="Z1120" s="1"/>
      </tp>
      <tp t="s">
        <v>#N/A N/A</v>
        <stp/>
        <stp>BDP|11029599883076994540</stp>
        <tr r="Y443" s="1"/>
      </tp>
      <tp t="s">
        <v>#N/A N/A</v>
        <stp/>
        <stp>BDP|18210342851440107113</stp>
        <tr r="AA1288" s="1"/>
      </tp>
      <tp t="s">
        <v>#N/A N/A</v>
        <stp/>
        <stp>BDP|12065920670136620531</stp>
        <tr r="AA59" s="1"/>
      </tp>
      <tp t="s">
        <v>#N/A N/A</v>
        <stp/>
        <stp>BDP|14290673471199078324</stp>
        <tr r="AA1026" s="1"/>
      </tp>
      <tp t="s">
        <v>#N/A N/A</v>
        <stp/>
        <stp>BDP|17194407677103727872</stp>
        <tr r="AA416" s="1"/>
      </tp>
      <tp t="s">
        <v>#N/A N/A</v>
        <stp/>
        <stp>BDP|15052358992320932080</stp>
        <tr r="Y257" s="1"/>
      </tp>
      <tp t="s">
        <v>#N/A N/A</v>
        <stp/>
        <stp>BDP|17353658041288900282</stp>
        <tr r="Z995" s="1"/>
      </tp>
      <tp t="s">
        <v>#N/A N/A</v>
        <stp/>
        <stp>BDP|16539510297516731329</stp>
        <tr r="Y1321" s="1"/>
      </tp>
      <tp t="s">
        <v>#N/A N/A</v>
        <stp/>
        <stp>BDP|10888998724251388509</stp>
        <tr r="AA715" s="1"/>
      </tp>
      <tp t="s">
        <v>#N/A N/A</v>
        <stp/>
        <stp>BDP|14399259015928587003</stp>
        <tr r="Z588" s="1"/>
      </tp>
      <tp t="s">
        <v>#N/A N/A</v>
        <stp/>
        <stp>BDP|14816299196463162308</stp>
        <tr r="AA177" s="1"/>
      </tp>
      <tp t="s">
        <v>#N/A N/A</v>
        <stp/>
        <stp>BDP|13227646727291645913</stp>
        <tr r="Y241" s="1"/>
      </tp>
      <tp t="s">
        <v>#N/A N/A</v>
        <stp/>
        <stp>BDP|15311220030288774304</stp>
        <tr r="Z1325" s="1"/>
      </tp>
      <tp t="s">
        <v>#N/A N/A</v>
        <stp/>
        <stp>BDP|10247184912097715894</stp>
        <tr r="AA855" s="1"/>
      </tp>
      <tp t="s">
        <v>#N/A N/A</v>
        <stp/>
        <stp>BDP|13373743523279414398</stp>
        <tr r="AA722" s="1"/>
      </tp>
      <tp t="s">
        <v>#N/A N/A</v>
        <stp/>
        <stp>BDP|12918755755645609961</stp>
        <tr r="Z810" s="1"/>
      </tp>
      <tp t="s">
        <v>#N/A N/A</v>
        <stp/>
        <stp>BDP|10787880621303584522</stp>
        <tr r="Y1000" s="1"/>
      </tp>
      <tp t="s">
        <v>#N/A N/A</v>
        <stp/>
        <stp>BDP|16662122074539151584</stp>
        <tr r="AA305" s="1"/>
      </tp>
      <tp t="s">
        <v>#N/A N/A</v>
        <stp/>
        <stp>BDP|10029436153568023596</stp>
        <tr r="Y658" s="1"/>
      </tp>
      <tp t="s">
        <v>#N/A N/A</v>
        <stp/>
        <stp>BDP|17341363949265597909</stp>
        <tr r="Z620" s="1"/>
      </tp>
      <tp t="s">
        <v>#N/A N/A</v>
        <stp/>
        <stp>BDP|11945648845159003607</stp>
        <tr r="Z1046" s="1"/>
      </tp>
      <tp t="s">
        <v>#N/A N/A</v>
        <stp/>
        <stp>BDP|14109844698461108842</stp>
        <tr r="Z375" s="1"/>
      </tp>
      <tp t="s">
        <v>#N/A N/A</v>
        <stp/>
        <stp>BDP|16363984525136073765</stp>
        <tr r="Z555" s="1"/>
      </tp>
      <tp t="s">
        <v>#N/A N/A</v>
        <stp/>
        <stp>BDP|13960490887660651395</stp>
        <tr r="Z104" s="1"/>
      </tp>
      <tp t="s">
        <v>#N/A N/A</v>
        <stp/>
        <stp>BDP|12504847447947918546</stp>
        <tr r="Y354" s="1"/>
      </tp>
      <tp t="s">
        <v>#N/A N/A</v>
        <stp/>
        <stp>BDP|16611647872242293994</stp>
        <tr r="Y1160" s="1"/>
      </tp>
      <tp t="s">
        <v>#N/A N/A</v>
        <stp/>
        <stp>BDP|15774116162119711788</stp>
        <tr r="Z978" s="1"/>
      </tp>
      <tp t="s">
        <v>#N/A N/A</v>
        <stp/>
        <stp>BDP|14272237299873331005</stp>
        <tr r="Y544" s="1"/>
      </tp>
      <tp t="s">
        <v>#N/A N/A</v>
        <stp/>
        <stp>BDP|10977633487382288041</stp>
        <tr r="Y581" s="1"/>
      </tp>
      <tp t="s">
        <v>#N/A N/A</v>
        <stp/>
        <stp>BDP|10981457784896758642</stp>
        <tr r="Y230" s="1"/>
      </tp>
      <tp t="s">
        <v>#N/A N/A</v>
        <stp/>
        <stp>BDP|10387684993307045424</stp>
        <tr r="Z928" s="1"/>
      </tp>
      <tp t="s">
        <v>#N/A N/A</v>
        <stp/>
        <stp>BDP|14033952070853644592</stp>
        <tr r="AA143" s="1"/>
      </tp>
      <tp t="s">
        <v>#N/A N/A</v>
        <stp/>
        <stp>BDP|16305179350357834967</stp>
        <tr r="AA312" s="1"/>
      </tp>
      <tp t="s">
        <v>#N/A N/A</v>
        <stp/>
        <stp>BDP|18231125659698046837</stp>
        <tr r="AA185" s="1"/>
      </tp>
      <tp t="s">
        <v>#N/A N/A</v>
        <stp/>
        <stp>BDP|12304774572759815741</stp>
        <tr r="Z287" s="1"/>
      </tp>
      <tp t="s">
        <v>#N/A N/A</v>
        <stp/>
        <stp>BDP|12764132299882314425</stp>
        <tr r="AA1268" s="1"/>
      </tp>
      <tp t="s">
        <v>#N/A N/A</v>
        <stp/>
        <stp>BDP|17793947808760297252</stp>
        <tr r="AA139" s="1"/>
      </tp>
      <tp t="s">
        <v>#N/A N/A</v>
        <stp/>
        <stp>BDP|14648336258668001615</stp>
        <tr r="AA606" s="1"/>
      </tp>
      <tp t="s">
        <v>#N/A N/A</v>
        <stp/>
        <stp>BDP|13212807604391978635</stp>
        <tr r="Z153" s="1"/>
      </tp>
      <tp t="s">
        <v>#N/A N/A</v>
        <stp/>
        <stp>BDP|17744057042679904653</stp>
        <tr r="Z66" s="1"/>
      </tp>
      <tp t="s">
        <v>#N/A N/A</v>
        <stp/>
        <stp>BDP|11927509294416884792</stp>
        <tr r="Y340" s="1"/>
      </tp>
      <tp t="s">
        <v>#N/A N/A</v>
        <stp/>
        <stp>BDP|15279049292730043089</stp>
        <tr r="AA411" s="1"/>
      </tp>
      <tp t="s">
        <v>#N/A N/A</v>
        <stp/>
        <stp>BDP|17550191758797319889</stp>
        <tr r="Z1008" s="1"/>
      </tp>
      <tp t="s">
        <v>#N/A N/A</v>
        <stp/>
        <stp>BDP|18393944882696908335</stp>
        <tr r="AA401" s="1"/>
      </tp>
      <tp t="s">
        <v>#N/A N/A</v>
        <stp/>
        <stp>BDP|11784854070566813456</stp>
        <tr r="AA941" s="1"/>
      </tp>
      <tp t="s">
        <v>#N/A N/A</v>
        <stp/>
        <stp>BDP|14840483901365861965</stp>
        <tr r="Z609" s="1"/>
      </tp>
      <tp t="s">
        <v>#N/A N/A</v>
        <stp/>
        <stp>BDP|17339902715144838716</stp>
        <tr r="Z1199" s="1"/>
      </tp>
      <tp t="s">
        <v>#N/A N/A</v>
        <stp/>
        <stp>BDP|12189178118589843795</stp>
        <tr r="AA109" s="1"/>
      </tp>
      <tp t="s">
        <v>#N/A N/A</v>
        <stp/>
        <stp>BDP|14250257941666856809</stp>
        <tr r="AA521" s="1"/>
      </tp>
      <tp t="s">
        <v>#N/A N/A</v>
        <stp/>
        <stp>BDP|10068144749598148121</stp>
        <tr r="AA1239" s="1"/>
      </tp>
      <tp t="s">
        <v>#N/A N/A</v>
        <stp/>
        <stp>BDP|11091877484689743454</stp>
        <tr r="AA204" s="1"/>
      </tp>
      <tp t="s">
        <v>#N/A N/A</v>
        <stp/>
        <stp>BDP|14246074832859765210</stp>
        <tr r="Y647" s="1"/>
      </tp>
      <tp t="s">
        <v>#N/A N/A</v>
        <stp/>
        <stp>BDP|15457674794132242449</stp>
        <tr r="AA495" s="1"/>
      </tp>
      <tp t="s">
        <v>#N/A N/A</v>
        <stp/>
        <stp>BDP|13311220266032353957</stp>
        <tr r="Y496" s="1"/>
      </tp>
      <tp t="s">
        <v>#N/A N/A</v>
        <stp/>
        <stp>BDP|11035502741405268924</stp>
        <tr r="Y827" s="1"/>
      </tp>
      <tp t="s">
        <v>#N/A N/A</v>
        <stp/>
        <stp>BDP|12299840192559771630</stp>
        <tr r="AA161" s="1"/>
      </tp>
      <tp t="s">
        <v>#N/A N/A</v>
        <stp/>
        <stp>BDP|12441986575763993306</stp>
        <tr r="Z114" s="1"/>
      </tp>
      <tp t="s">
        <v>#N/A N/A</v>
        <stp/>
        <stp>BDP|11996100893184352194</stp>
        <tr r="AA52" s="1"/>
      </tp>
      <tp t="s">
        <v>#N/A N/A</v>
        <stp/>
        <stp>BDP|18119938281895385005</stp>
        <tr r="Y1320" s="1"/>
      </tp>
      <tp t="s">
        <v>#N/A N/A</v>
        <stp/>
        <stp>BDP|16766443078188917124</stp>
        <tr r="Y1077" s="1"/>
      </tp>
      <tp t="s">
        <v>#N/A N/A</v>
        <stp/>
        <stp>BDP|16943777884236021399</stp>
        <tr r="Y645" s="1"/>
      </tp>
      <tp t="s">
        <v>#N/A N/A</v>
        <stp/>
        <stp>BDP|10623154491417077319</stp>
        <tr r="Z286" s="1"/>
      </tp>
      <tp t="s">
        <v>#N/A N/A</v>
        <stp/>
        <stp>BDP|18210842797600001526</stp>
        <tr r="Y111" s="1"/>
      </tp>
      <tp t="s">
        <v>#N/A N/A</v>
        <stp/>
        <stp>BDP|18063486819765255402</stp>
        <tr r="Z593" s="1"/>
      </tp>
      <tp t="s">
        <v>#N/A N/A</v>
        <stp/>
        <stp>BDP|11870238118966230822</stp>
        <tr r="Z369" s="1"/>
      </tp>
      <tp t="s">
        <v>#N/A N/A</v>
        <stp/>
        <stp>BDP|15019131552455142823</stp>
        <tr r="AA742" s="1"/>
      </tp>
      <tp t="s">
        <v>#N/A N/A</v>
        <stp/>
        <stp>BDP|12895177699711788733</stp>
        <tr r="Z970" s="1"/>
      </tp>
      <tp t="s">
        <v>#N/A N/A</v>
        <stp/>
        <stp>BDP|15892658098951485732</stp>
        <tr r="Z665" s="1"/>
      </tp>
      <tp t="s">
        <v>#N/A N/A</v>
        <stp/>
        <stp>BDP|14636970030254773642</stp>
        <tr r="AA501" s="1"/>
      </tp>
      <tp t="s">
        <v>#N/A N/A</v>
        <stp/>
        <stp>BDP|15973202219638291270</stp>
        <tr r="Y167" s="1"/>
      </tp>
      <tp t="s">
        <v>#N/A N/A</v>
        <stp/>
        <stp>BDP|15096046490806380626</stp>
        <tr r="Z52" s="1"/>
      </tp>
      <tp t="s">
        <v>#N/A N/A</v>
        <stp/>
        <stp>BDP|12921786663567688811</stp>
        <tr r="Z597" s="1"/>
      </tp>
      <tp t="s">
        <v>#N/A N/A</v>
        <stp/>
        <stp>BDP|10700453913640491903</stp>
        <tr r="Z1021" s="1"/>
      </tp>
      <tp t="s">
        <v>#N/A N/A</v>
        <stp/>
        <stp>BDP|15023357841648407650</stp>
        <tr r="Y332" s="1"/>
      </tp>
      <tp t="s">
        <v>#N/A N/A</v>
        <stp/>
        <stp>BDP|10003413825869494352</stp>
        <tr r="AA85" s="1"/>
      </tp>
      <tp t="s">
        <v>#N/A N/A</v>
        <stp/>
        <stp>BDP|12692869072251279052</stp>
        <tr r="AA1322" s="1"/>
      </tp>
      <tp t="s">
        <v>#N/A N/A</v>
        <stp/>
        <stp>BDP|17547146809089860353</stp>
        <tr r="AA586" s="1"/>
      </tp>
      <tp t="s">
        <v>#N/A N/A</v>
        <stp/>
        <stp>BDP|10770310092837503156</stp>
        <tr r="Y70" s="1"/>
      </tp>
      <tp t="s">
        <v>#N/A N/A</v>
        <stp/>
        <stp>BDP|14614318306143119841</stp>
        <tr r="Y150" s="1"/>
      </tp>
      <tp t="s">
        <v>#N/A N/A</v>
        <stp/>
        <stp>BDP|10368013597696373329</stp>
        <tr r="Y509" s="1"/>
      </tp>
      <tp t="s">
        <v>#N/A N/A</v>
        <stp/>
        <stp>BDP|13714697197953779390</stp>
        <tr r="Y892" s="1"/>
      </tp>
      <tp t="s">
        <v>#N/A N/A</v>
        <stp/>
        <stp>BDP|14243532391940083479</stp>
        <tr r="AA779" s="1"/>
      </tp>
      <tp t="s">
        <v>#N/A N/A</v>
        <stp/>
        <stp>BDP|15109903676626649163</stp>
        <tr r="Y542" s="1"/>
      </tp>
      <tp t="s">
        <v>#N/A N/A</v>
        <stp/>
        <stp>BDP|14585185998737482765</stp>
        <tr r="Y1225" s="1"/>
      </tp>
      <tp t="s">
        <v>#N/A N/A</v>
        <stp/>
        <stp>BDP|15165108995439462879</stp>
        <tr r="Y952" s="1"/>
      </tp>
      <tp t="s">
        <v>#N/A N/A</v>
        <stp/>
        <stp>BDP|12430020858953940815</stp>
        <tr r="AA193" s="1"/>
      </tp>
      <tp t="s">
        <v>#N/A N/A</v>
        <stp/>
        <stp>BDP|15463416197337499301</stp>
        <tr r="AA1080" s="1"/>
      </tp>
      <tp t="s">
        <v>#N/A N/A</v>
        <stp/>
        <stp>BDP|11599944775596734551</stp>
        <tr r="Z654" s="1"/>
      </tp>
      <tp t="s">
        <v>#N/A N/A</v>
        <stp/>
        <stp>BDP|16787506681720356734</stp>
        <tr r="Y801" s="1"/>
      </tp>
      <tp t="s">
        <v>#N/A N/A</v>
        <stp/>
        <stp>BDP|14896666695067437093</stp>
        <tr r="AA913" s="1"/>
      </tp>
      <tp t="s">
        <v>#N/A N/A</v>
        <stp/>
        <stp>BDP|12480256186790039417</stp>
        <tr r="AA1253" s="1"/>
      </tp>
      <tp t="s">
        <v>#N/A N/A</v>
        <stp/>
        <stp>BDP|16746943767650331510</stp>
        <tr r="AA1192" s="1"/>
      </tp>
      <tp t="s">
        <v>#N/A N/A</v>
        <stp/>
        <stp>BDP|13299252322678410779</stp>
        <tr r="AA486" s="1"/>
      </tp>
      <tp t="s">
        <v>#N/A N/A</v>
        <stp/>
        <stp>BDP|12386692797650918128</stp>
        <tr r="AA445" s="1"/>
      </tp>
      <tp t="s">
        <v>#N/A N/A</v>
        <stp/>
        <stp>BDP|11378190343139997092</stp>
        <tr r="AA929" s="1"/>
      </tp>
      <tp t="s">
        <v>#N/A N/A</v>
        <stp/>
        <stp>BDP|14658171588467685764</stp>
        <tr r="AA700" s="1"/>
      </tp>
      <tp t="s">
        <v>#N/A N/A</v>
        <stp/>
        <stp>BDP|15562343256807897966</stp>
        <tr r="AA182" s="1"/>
      </tp>
      <tp t="s">
        <v>#N/A N/A</v>
        <stp/>
        <stp>BDP|14121473591577924370</stp>
        <tr r="AA793" s="1"/>
      </tp>
      <tp t="s">
        <v>#N/A N/A</v>
        <stp/>
        <stp>BDP|18294334973578833923</stp>
        <tr r="Z127" s="1"/>
      </tp>
      <tp t="s">
        <v>#N/A N/A</v>
        <stp/>
        <stp>BDP|17387553574599893125</stp>
        <tr r="Y434" s="1"/>
      </tp>
      <tp t="s">
        <v>#N/A N/A</v>
        <stp/>
        <stp>BDP|10080526635882654991</stp>
        <tr r="AA413" s="1"/>
      </tp>
      <tp t="s">
        <v>#N/A N/A</v>
        <stp/>
        <stp>BDP|13427006609629128746</stp>
        <tr r="Z1219" s="1"/>
      </tp>
      <tp t="s">
        <v>#N/A N/A</v>
        <stp/>
        <stp>BDP|11517685224301582974</stp>
        <tr r="Y8" s="1"/>
      </tp>
      <tp t="s">
        <v>#N/A N/A</v>
        <stp/>
        <stp>BDP|14681485333146366850</stp>
        <tr r="AA1311" s="1"/>
      </tp>
      <tp t="s">
        <v>#N/A N/A</v>
        <stp/>
        <stp>BDP|11164587161378596762</stp>
        <tr r="AA455" s="1"/>
      </tp>
      <tp t="s">
        <v>#N/A N/A</v>
        <stp/>
        <stp>BDP|13053496928140398898</stp>
        <tr r="AA824" s="1"/>
      </tp>
      <tp t="s">
        <v>#N/A N/A</v>
        <stp/>
        <stp>BDP|15872951228624707796</stp>
        <tr r="Z548" s="1"/>
      </tp>
      <tp t="s">
        <v>#N/A N/A</v>
        <stp/>
        <stp>BDP|12460004310547967964</stp>
        <tr r="Z1165" s="1"/>
      </tp>
      <tp t="s">
        <v>#N/A N/A</v>
        <stp/>
        <stp>BDP|18116453967154945313</stp>
        <tr r="Y1147" s="1"/>
      </tp>
      <tp t="s">
        <v>#N/A N/A</v>
        <stp/>
        <stp>BDP|17765984464251988486</stp>
        <tr r="Y1009" s="1"/>
      </tp>
      <tp t="s">
        <v>#N/A N/A</v>
        <stp/>
        <stp>BDP|10634920840962805268</stp>
        <tr r="Z1140" s="1"/>
      </tp>
      <tp t="s">
        <v>#N/A N/A</v>
        <stp/>
        <stp>BDP|14356961800351925167</stp>
        <tr r="Y626" s="1"/>
      </tp>
      <tp t="s">
        <v>#N/A N/A</v>
        <stp/>
        <stp>BDP|11824275996952650521</stp>
        <tr r="AA1063" s="1"/>
      </tp>
      <tp t="s">
        <v>#N/A N/A</v>
        <stp/>
        <stp>BDP|16838209471219123754</stp>
        <tr r="Z204" s="1"/>
      </tp>
      <tp t="s">
        <v>#N/A N/A</v>
        <stp/>
        <stp>BDP|11977430861289706717</stp>
        <tr r="Z309" s="1"/>
      </tp>
      <tp t="s">
        <v>#N/A N/A</v>
        <stp/>
        <stp>BDP|17830021541966368847</stp>
        <tr r="Z173" s="1"/>
      </tp>
      <tp t="s">
        <v>#N/A N/A</v>
        <stp/>
        <stp>BDP|15612537980394022198</stp>
        <tr r="AA381" s="1"/>
      </tp>
      <tp t="s">
        <v>#N/A N/A</v>
        <stp/>
        <stp>BDP|10867812161242517117</stp>
        <tr r="AA153" s="1"/>
      </tp>
      <tp t="s">
        <v>#N/A N/A</v>
        <stp/>
        <stp>BDP|15360435214658053580</stp>
        <tr r="Y1234" s="1"/>
      </tp>
      <tp t="s">
        <v>#N/A N/A</v>
        <stp/>
        <stp>BDP|16430113058548208732</stp>
        <tr r="Y963" s="1"/>
      </tp>
      <tp t="s">
        <v>#N/A N/A</v>
        <stp/>
        <stp>BDP|16029390983414327451</stp>
        <tr r="Y1145" s="1"/>
      </tp>
      <tp t="s">
        <v>#N/A N/A</v>
        <stp/>
        <stp>BDP|14804923085628297019</stp>
        <tr r="Y632" s="1"/>
      </tp>
      <tp t="s">
        <v>#N/A N/A</v>
        <stp/>
        <stp>BDP|13495884577778084948</stp>
        <tr r="Z1327" s="1"/>
      </tp>
      <tp t="s">
        <v>#N/A N/A</v>
        <stp/>
        <stp>BDP|16014102622881823951</stp>
        <tr r="Y394" s="1"/>
      </tp>
      <tp t="s">
        <v>#N/A N/A</v>
        <stp/>
        <stp>BDP|13688717004041556892</stp>
        <tr r="AA676" s="1"/>
      </tp>
      <tp t="s">
        <v>#N/A N/A</v>
        <stp/>
        <stp>BDP|18028488478801766788</stp>
        <tr r="Z12" s="1"/>
      </tp>
      <tp t="s">
        <v>#N/A N/A</v>
        <stp/>
        <stp>BDP|13910657822609513341</stp>
        <tr r="Y1243" s="1"/>
      </tp>
      <tp t="s">
        <v>#N/A N/A</v>
        <stp/>
        <stp>BDP|10459320795976513198</stp>
        <tr r="Z405" s="1"/>
      </tp>
      <tp t="s">
        <v>#N/A N/A</v>
        <stp/>
        <stp>BDP|11860875450287070602</stp>
        <tr r="AA21" s="1"/>
      </tp>
      <tp t="s">
        <v>#N/A N/A</v>
        <stp/>
        <stp>BDP|15659870520032885077</stp>
        <tr r="AA179" s="1"/>
      </tp>
      <tp t="s">
        <v>#N/A N/A</v>
        <stp/>
        <stp>BDP|11122984303833213666</stp>
        <tr r="Y57" s="1"/>
      </tp>
      <tp t="s">
        <v>#N/A N/A</v>
        <stp/>
        <stp>BDP|16975095382032997155</stp>
        <tr r="AA849" s="1"/>
      </tp>
      <tp t="s">
        <v>#N/A N/A</v>
        <stp/>
        <stp>BDP|16247585753389444237</stp>
        <tr r="Y47" s="1"/>
      </tp>
      <tp t="s">
        <v>#N/A N/A</v>
        <stp/>
        <stp>BDP|17489806655193835486</stp>
        <tr r="AA96" s="1"/>
      </tp>
      <tp t="s">
        <v>#N/A N/A</v>
        <stp/>
        <stp>BDP|18372328430144464147</stp>
        <tr r="AA532" s="1"/>
      </tp>
      <tp t="s">
        <v>#N/A N/A</v>
        <stp/>
        <stp>BDP|14063461271143227949</stp>
        <tr r="Y545" s="1"/>
      </tp>
      <tp t="s">
        <v>#N/A N/A</v>
        <stp/>
        <stp>BDP|12573373504484147864</stp>
        <tr r="Z1222" s="1"/>
      </tp>
      <tp t="s">
        <v>#N/A N/A</v>
        <stp/>
        <stp>BDP|14773216689877777485</stp>
        <tr r="Y719" s="1"/>
      </tp>
      <tp t="s">
        <v>#N/A N/A</v>
        <stp/>
        <stp>BDP|16830587180987247123</stp>
        <tr r="AA1116" s="1"/>
      </tp>
      <tp t="s">
        <v>#N/A N/A</v>
        <stp/>
        <stp>BDP|13862404678029179416</stp>
        <tr r="Z341" s="1"/>
      </tp>
      <tp t="s">
        <v>#N/A N/A</v>
        <stp/>
        <stp>BDP|12971396550079135010</stp>
        <tr r="Y1298" s="1"/>
      </tp>
      <tp t="s">
        <v>#N/A N/A</v>
        <stp/>
        <stp>BDP|10714493481028670994</stp>
        <tr r="AA128" s="1"/>
      </tp>
      <tp t="s">
        <v>#N/A N/A</v>
        <stp/>
        <stp>BDP|11701943723681379632</stp>
        <tr r="Z862" s="1"/>
      </tp>
      <tp t="s">
        <v>#N/A N/A</v>
        <stp/>
        <stp>BDP|17035842174714432142</stp>
        <tr r="Z701" s="1"/>
      </tp>
      <tp t="s">
        <v>#N/A N/A</v>
        <stp/>
        <stp>BDP|13177777262979393677</stp>
        <tr r="Z1039" s="1"/>
      </tp>
      <tp t="s">
        <v>#N/A N/A</v>
        <stp/>
        <stp>BDP|14008190384521564186</stp>
        <tr r="Z419" s="1"/>
      </tp>
      <tp t="s">
        <v>#N/A N/A</v>
        <stp/>
        <stp>BDP|15635174789852835308</stp>
        <tr r="AA1144" s="1"/>
      </tp>
      <tp t="s">
        <v>#N/A N/A</v>
        <stp/>
        <stp>BDP|17186913018645828735</stp>
        <tr r="Y822" s="1"/>
      </tp>
      <tp t="s">
        <v>#N/A N/A</v>
        <stp/>
        <stp>BDP|16003423168971812811</stp>
        <tr r="Y1168" s="1"/>
      </tp>
      <tp t="s">
        <v>#N/A N/A</v>
        <stp/>
        <stp>BDP|11227828884744370849</stp>
        <tr r="AA363" s="1"/>
      </tp>
      <tp t="s">
        <v>#N/A N/A</v>
        <stp/>
        <stp>BDP|16262394283272847233</stp>
        <tr r="Z220" s="1"/>
      </tp>
      <tp t="s">
        <v>#N/A N/A</v>
        <stp/>
        <stp>BDP|12108544235181332800</stp>
        <tr r="Z64" s="1"/>
      </tp>
      <tp t="s">
        <v>#N/A N/A</v>
        <stp/>
        <stp>BDP|18239430766367456001</stp>
        <tr r="AA1096" s="1"/>
      </tp>
      <tp t="s">
        <v>#N/A N/A</v>
        <stp/>
        <stp>BDP|15464771090962973482</stp>
        <tr r="Z616" s="1"/>
      </tp>
      <tp t="s">
        <v>#N/A N/A</v>
        <stp/>
        <stp>BDP|10124979325066882098</stp>
        <tr r="AA200" s="1"/>
      </tp>
      <tp t="s">
        <v>#N/A N/A</v>
        <stp/>
        <stp>BDP|10696681162035734891</stp>
        <tr r="Z664" s="1"/>
      </tp>
      <tp t="s">
        <v>#N/A N/A</v>
        <stp/>
        <stp>BDP|17384039580093198132</stp>
        <tr r="AA1060" s="1"/>
      </tp>
      <tp t="s">
        <v>#N/A N/A</v>
        <stp/>
        <stp>BDP|10261624593147989584</stp>
        <tr r="Z787" s="1"/>
      </tp>
      <tp t="s">
        <v>#N/A N/A</v>
        <stp/>
        <stp>BDP|16564023412702030872</stp>
        <tr r="AA222" s="1"/>
      </tp>
      <tp t="s">
        <v>#N/A N/A</v>
        <stp/>
        <stp>BDP|16021683043001944807</stp>
        <tr r="AA1033" s="1"/>
      </tp>
      <tp t="s">
        <v>#N/A N/A</v>
        <stp/>
        <stp>BDP|14992858605015372481</stp>
        <tr r="AA219" s="1"/>
      </tp>
      <tp t="s">
        <v>#N/A N/A</v>
        <stp/>
        <stp>BDP|12672467780091109235</stp>
        <tr r="AA336" s="1"/>
      </tp>
      <tp t="s">
        <v>#N/A N/A</v>
        <stp/>
        <stp>BDP|13599928523574363156</stp>
        <tr r="AA964" s="1"/>
      </tp>
      <tp t="s">
        <v>#N/A N/A</v>
        <stp/>
        <stp>BDP|16252923865942587658</stp>
        <tr r="AA386" s="1"/>
      </tp>
      <tp t="s">
        <v>#N/A N/A</v>
        <stp/>
        <stp>BDP|12393752090676641758</stp>
        <tr r="Y711" s="1"/>
      </tp>
      <tp t="s">
        <v>#N/A N/A</v>
        <stp/>
        <stp>BDP|17334847857760478712</stp>
        <tr r="Z354" s="1"/>
      </tp>
      <tp t="s">
        <v>#N/A N/A</v>
        <stp/>
        <stp>BDP|11883386149802850946</stp>
        <tr r="Z658" s="1"/>
      </tp>
      <tp t="s">
        <v>#N/A N/A</v>
        <stp/>
        <stp>BDP|14002962934671262256</stp>
        <tr r="AA669" s="1"/>
      </tp>
      <tp t="s">
        <v>#N/A N/A</v>
        <stp/>
        <stp>BDP|11783077474729668264</stp>
        <tr r="Y476" s="1"/>
      </tp>
      <tp t="s">
        <v>#N/A N/A</v>
        <stp/>
        <stp>BDP|16878881934521265128</stp>
        <tr r="Y1008" s="1"/>
      </tp>
      <tp t="s">
        <v>#N/A N/A</v>
        <stp/>
        <stp>BDP|12562835422302263721</stp>
        <tr r="Z1007" s="1"/>
      </tp>
      <tp t="s">
        <v>#N/A N/A</v>
        <stp/>
        <stp>BDP|17183132982871562212</stp>
        <tr r="Z1229" s="1"/>
      </tp>
      <tp t="s">
        <v>#N/A N/A</v>
        <stp/>
        <stp>BDP|13323116055218407273</stp>
        <tr r="Y725" s="1"/>
      </tp>
      <tp t="s">
        <v>#N/A N/A</v>
        <stp/>
        <stp>BDP|17115935952293745537</stp>
        <tr r="AA825" s="1"/>
      </tp>
      <tp t="s">
        <v>#N/A N/A</v>
        <stp/>
        <stp>BDP|13121351260432199927</stp>
        <tr r="Z1241" s="1"/>
      </tp>
      <tp t="s">
        <v>#N/A N/A</v>
        <stp/>
        <stp>BDP|15969938741942403789</stp>
        <tr r="Z576" s="1"/>
      </tp>
      <tp t="s">
        <v>#N/A N/A</v>
        <stp/>
        <stp>BDP|15447834617997559622</stp>
        <tr r="Z985" s="1"/>
      </tp>
      <tp t="s">
        <v>#N/A N/A</v>
        <stp/>
        <stp>BDP|11233856353229793842</stp>
        <tr r="AA329" s="1"/>
      </tp>
      <tp t="s">
        <v>#N/A N/A</v>
        <stp/>
        <stp>BDP|16771723123417828991</stp>
        <tr r="Y814" s="1"/>
      </tp>
      <tp t="s">
        <v>#N/A N/A</v>
        <stp/>
        <stp>BDP|10780478246728072513</stp>
        <tr r="Y650" s="1"/>
      </tp>
      <tp t="s">
        <v>#N/A N/A</v>
        <stp/>
        <stp>BDP|15403696584687905171</stp>
        <tr r="AA249" s="1"/>
      </tp>
      <tp t="s">
        <v>#N/A N/A</v>
        <stp/>
        <stp>BDP|10942868899048483454</stp>
        <tr r="Z643" s="1"/>
      </tp>
      <tp t="s">
        <v>#N/A N/A</v>
        <stp/>
        <stp>BDP|11111912910080036475</stp>
        <tr r="AA974" s="1"/>
      </tp>
      <tp t="s">
        <v>#N/A N/A</v>
        <stp/>
        <stp>BDP|10074839540445766438</stp>
        <tr r="AA189" s="1"/>
      </tp>
      <tp t="s">
        <v>#N/A N/A</v>
        <stp/>
        <stp>BDP|16842894380162583920</stp>
        <tr r="Z988" s="1"/>
      </tp>
      <tp t="s">
        <v>#N/A N/A</v>
        <stp/>
        <stp>BDP|10570575847338591467</stp>
        <tr r="AA756" s="1"/>
      </tp>
      <tp t="s">
        <v>#N/A N/A</v>
        <stp/>
        <stp>BDP|12335547360465274938</stp>
        <tr r="Y1220" s="1"/>
      </tp>
      <tp t="s">
        <v>#N/A N/A</v>
        <stp/>
        <stp>BDP|16274685101448928549</stp>
        <tr r="Y141" s="1"/>
      </tp>
      <tp t="s">
        <v>#N/A N/A</v>
        <stp/>
        <stp>BDP|18426574426976233410</stp>
        <tr r="AA281" s="1"/>
      </tp>
      <tp t="s">
        <v>#N/A N/A</v>
        <stp/>
        <stp>BDP|16704204355835173959</stp>
        <tr r="Y87" s="1"/>
      </tp>
      <tp t="s">
        <v>#N/A N/A</v>
        <stp/>
        <stp>BDP|17461742041548539125</stp>
        <tr r="AA494" s="1"/>
      </tp>
      <tp t="s">
        <v>#N/A N/A</v>
        <stp/>
        <stp>BDP|11153821916370113522</stp>
        <tr r="Y582" s="1"/>
      </tp>
      <tp t="s">
        <v>#N/A N/A</v>
        <stp/>
        <stp>BDP|17073070081217947595</stp>
        <tr r="Z565" s="1"/>
      </tp>
      <tp t="s">
        <v>#N/A N/A</v>
        <stp/>
        <stp>BDP|16750948009916937453</stp>
        <tr r="Y286" s="1"/>
      </tp>
      <tp t="s">
        <v>#N/A N/A</v>
        <stp/>
        <stp>BDP|12383294027264043441</stp>
        <tr r="AA134" s="1"/>
      </tp>
      <tp t="s">
        <v>#N/A N/A</v>
        <stp/>
        <stp>BDP|14050225828125728348</stp>
        <tr r="Z1153" s="1"/>
      </tp>
      <tp t="s">
        <v>#N/A N/A</v>
        <stp/>
        <stp>BDP|16479284273584577538</stp>
        <tr r="Y400" s="1"/>
      </tp>
      <tp t="s">
        <v>#N/A N/A</v>
        <stp/>
        <stp>BDP|13289602466027463692</stp>
        <tr r="Z115" s="1"/>
      </tp>
      <tp t="s">
        <v>#N/A N/A</v>
        <stp/>
        <stp>BDP|15812198395358953742</stp>
        <tr r="Y1037" s="1"/>
      </tp>
      <tp t="s">
        <v>#N/A N/A</v>
        <stp/>
        <stp>BDP|15411976377510990947</stp>
        <tr r="Z1278" s="1"/>
      </tp>
      <tp t="s">
        <v>#N/A N/A</v>
        <stp/>
        <stp>BDP|16873358624786331338</stp>
        <tr r="AA290" s="1"/>
      </tp>
      <tp t="s">
        <v>#N/A N/A</v>
        <stp/>
        <stp>BDP|10193610662941357387</stp>
        <tr r="Z962" s="1"/>
      </tp>
      <tp t="s">
        <v>#N/A N/A</v>
        <stp/>
        <stp>BDP|11956599830890130586</stp>
        <tr r="AA1159" s="1"/>
      </tp>
      <tp t="s">
        <v>#N/A N/A</v>
        <stp/>
        <stp>BDP|11841262892490370863</stp>
        <tr r="Z1092" s="1"/>
      </tp>
      <tp t="s">
        <v>#N/A N/A</v>
        <stp/>
        <stp>BDP|10326154937459158991</stp>
        <tr r="AA171" s="1"/>
      </tp>
      <tp t="s">
        <v>#N/A N/A</v>
        <stp/>
        <stp>BDP|17301446151553651789</stp>
        <tr r="AA1328" s="1"/>
      </tp>
      <tp t="s">
        <v>#N/A N/A</v>
        <stp/>
        <stp>BDP|11888442913536290058</stp>
        <tr r="Z938" s="1"/>
      </tp>
      <tp t="s">
        <v>#N/A N/A</v>
        <stp/>
        <stp>BDP|18153467834319233495</stp>
        <tr r="AA580" s="1"/>
      </tp>
      <tp t="s">
        <v>#N/A N/A</v>
        <stp/>
        <stp>BDP|13714433553982648298</stp>
        <tr r="Z191" s="1"/>
      </tp>
      <tp t="s">
        <v>#N/A N/A</v>
        <stp/>
        <stp>BDP|16958436365122055471</stp>
        <tr r="AA1077" s="1"/>
      </tp>
      <tp t="s">
        <v>#N/A N/A</v>
        <stp/>
        <stp>BDP|15256334069485967797</stp>
        <tr r="Z36" s="1"/>
      </tp>
      <tp t="s">
        <v>#N/A N/A</v>
        <stp/>
        <stp>BDP|10876536564161095041</stp>
        <tr r="Y692" s="1"/>
      </tp>
      <tp t="s">
        <v>#N/A N/A</v>
        <stp/>
        <stp>BDP|13021349712545439693</stp>
        <tr r="Y200" s="1"/>
      </tp>
      <tp t="s">
        <v>#N/A N/A</v>
        <stp/>
        <stp>BDP|17230978126669868709</stp>
        <tr r="AA218" s="1"/>
      </tp>
      <tp t="s">
        <v>#N/A N/A</v>
        <stp/>
        <stp>BDP|18341876507384077686</stp>
        <tr r="AA1024" s="1"/>
      </tp>
      <tp t="s">
        <v>#N/A N/A</v>
        <stp/>
        <stp>BDP|15653321317546153391</stp>
        <tr r="AA666" s="1"/>
      </tp>
      <tp t="s">
        <v>#N/A N/A</v>
        <stp/>
        <stp>BDP|11489571077566756793</stp>
        <tr r="AA1098" s="1"/>
      </tp>
      <tp t="s">
        <v>#N/A N/A</v>
        <stp/>
        <stp>BDP|13058425671465156788</stp>
        <tr r="Z646" s="1"/>
      </tp>
      <tp t="s">
        <v>#N/A N/A</v>
        <stp/>
        <stp>BDP|10944669344104233436</stp>
        <tr r="AA1054" s="1"/>
      </tp>
      <tp t="s">
        <v>#N/A N/A</v>
        <stp/>
        <stp>BDP|11350223043997924212</stp>
        <tr r="Z930" s="1"/>
      </tp>
      <tp t="s">
        <v>#N/A N/A</v>
        <stp/>
        <stp>BDP|15268602161581020691</stp>
        <tr r="AA195" s="1"/>
      </tp>
      <tp t="s">
        <v>#N/A N/A</v>
        <stp/>
        <stp>BDP|16373092209544623089</stp>
        <tr r="Z1089" s="1"/>
      </tp>
      <tp t="s">
        <v>#N/A N/A</v>
        <stp/>
        <stp>BDP|13926364422712222220</stp>
        <tr r="Y1266" s="1"/>
      </tp>
      <tp t="s">
        <v>#N/A N/A</v>
        <stp/>
        <stp>BDP|11794827118998550253</stp>
        <tr r="Z343" s="1"/>
      </tp>
      <tp t="s">
        <v>#N/A N/A</v>
        <stp/>
        <stp>BDP|16088317578956509611</stp>
        <tr r="Z461" s="1"/>
      </tp>
      <tp t="s">
        <v>#N/A N/A</v>
        <stp/>
        <stp>BDP|10839065817651028247</stp>
        <tr r="AA1075" s="1"/>
      </tp>
      <tp t="s">
        <v>#N/A N/A</v>
        <stp/>
        <stp>BDP|13176127362681900749</stp>
        <tr r="Z389" s="1"/>
      </tp>
      <tp t="s">
        <v>#N/A N/A</v>
        <stp/>
        <stp>BDP|16187123020550887774</stp>
        <tr r="Y573" s="1"/>
      </tp>
      <tp t="s">
        <v>#N/A N/A</v>
        <stp/>
        <stp>BDP|13681180306719199951</stp>
        <tr r="Y69" s="1"/>
      </tp>
      <tp t="s">
        <v>#N/A N/A</v>
        <stp/>
        <stp>BDP|16029743801470058396</stp>
        <tr r="AA1230" s="1"/>
      </tp>
      <tp t="s">
        <v>#N/A N/A</v>
        <stp/>
        <stp>BDP|17966100714803360619</stp>
        <tr r="AA886" s="1"/>
      </tp>
      <tp t="s">
        <v>#N/A N/A</v>
        <stp/>
        <stp>BDP|14717972604999880632</stp>
        <tr r="AA45" s="1"/>
      </tp>
      <tp t="s">
        <v>#N/A N/A</v>
        <stp/>
        <stp>BDP|13831710261115779503</stp>
        <tr r="AA963" s="1"/>
      </tp>
      <tp t="s">
        <v>#N/A N/A</v>
        <stp/>
        <stp>BDP|13805136690688660122</stp>
        <tr r="Z561" s="1"/>
      </tp>
      <tp t="s">
        <v>#N/A N/A</v>
        <stp/>
        <stp>BDP|12988732412292407423</stp>
        <tr r="AA1086" s="1"/>
      </tp>
      <tp t="s">
        <v>#N/A N/A</v>
        <stp/>
        <stp>BDP|16692140032083984578</stp>
        <tr r="Y764" s="1"/>
      </tp>
      <tp t="s">
        <v>#N/A N/A</v>
        <stp/>
        <stp>BDP|10688033321532331295</stp>
        <tr r="AA515" s="1"/>
      </tp>
      <tp t="s">
        <v>#N/A N/A</v>
        <stp/>
        <stp>BDP|14379355858738081802</stp>
        <tr r="AA570" s="1"/>
      </tp>
      <tp t="s">
        <v>#N/A N/A</v>
        <stp/>
        <stp>BDP|14814211557102490345</stp>
        <tr r="Y390" s="1"/>
      </tp>
      <tp t="s">
        <v>#N/A N/A</v>
        <stp/>
        <stp>BDP|10929109042452294571</stp>
        <tr r="AA1235" s="1"/>
      </tp>
      <tp t="s">
        <v>#N/A N/A</v>
        <stp/>
        <stp>BDP|11834360332453542075</stp>
        <tr r="Z898" s="1"/>
      </tp>
      <tp t="s">
        <v>#N/A N/A</v>
        <stp/>
        <stp>BDP|14202919446152012942</stp>
        <tr r="Z463" s="1"/>
      </tp>
      <tp t="s">
        <v>#N/A N/A</v>
        <stp/>
        <stp>BDP|17766234354145403759</stp>
        <tr r="Y60" s="1"/>
      </tp>
      <tp t="s">
        <v>#N/A N/A</v>
        <stp/>
        <stp>BDP|16561682723323973369</stp>
        <tr r="Z909" s="1"/>
      </tp>
      <tp t="s">
        <v>#N/A N/A</v>
        <stp/>
        <stp>BDP|12230801087108088843</stp>
        <tr r="Y465" s="1"/>
      </tp>
      <tp t="s">
        <v>#N/A N/A</v>
        <stp/>
        <stp>BDP|13402454540394195512</stp>
        <tr r="Y4" s="1"/>
      </tp>
      <tp t="s">
        <v>#N/A N/A</v>
        <stp/>
        <stp>BDP|10135763241583169262</stp>
        <tr r="Y898" s="1"/>
      </tp>
      <tp t="s">
        <v>#N/A N/A</v>
        <stp/>
        <stp>BDP|12584341041263622478</stp>
        <tr r="Y759" s="1"/>
      </tp>
      <tp t="s">
        <v>#N/A N/A</v>
        <stp/>
        <stp>BDP|10903071128458148861</stp>
        <tr r="Y562" s="1"/>
      </tp>
      <tp t="s">
        <v>#N/A N/A</v>
        <stp/>
        <stp>BDP|14022707769432948515</stp>
        <tr r="AA936" s="1"/>
      </tp>
      <tp t="s">
        <v>#N/A N/A</v>
        <stp/>
        <stp>BDP|11170713000444869091</stp>
        <tr r="AA488" s="1"/>
      </tp>
      <tp t="s">
        <v>#N/A N/A</v>
        <stp/>
        <stp>BDP|14738813384134371200</stp>
        <tr r="Z980" s="1"/>
      </tp>
      <tp t="s">
        <v>#N/A N/A</v>
        <stp/>
        <stp>BDP|17878204941780878305</stp>
        <tr r="Y1044" s="1"/>
      </tp>
      <tp t="s">
        <v>#N/A N/A</v>
        <stp/>
        <stp>BDP|16390228505653550504</stp>
        <tr r="Y446" s="1"/>
      </tp>
      <tp t="s">
        <v>#N/A N/A</v>
        <stp/>
        <stp>BDP|13482659913446037033</stp>
        <tr r="Y917" s="1"/>
      </tp>
      <tp t="s">
        <v>#N/A N/A</v>
        <stp/>
        <stp>BDP|14592075153716682566</stp>
        <tr r="Z399" s="1"/>
      </tp>
      <tp t="s">
        <v>#N/A N/A</v>
        <stp/>
        <stp>BDP|12483319375136817295</stp>
        <tr r="AA555" s="1"/>
      </tp>
      <tp t="s">
        <v>#N/A N/A</v>
        <stp/>
        <stp>BDP|10508893020601834949</stp>
        <tr r="Z836" s="1"/>
      </tp>
      <tp t="s">
        <v>#N/A N/A</v>
        <stp/>
        <stp>BDP|17548110311141121449</stp>
        <tr r="Y151" s="1"/>
      </tp>
      <tp t="s">
        <v>#N/A N/A</v>
        <stp/>
        <stp>BDP|14948489425299561917</stp>
        <tr r="Z948" s="1"/>
      </tp>
      <tp t="s">
        <v>#N/A N/A</v>
        <stp/>
        <stp>BDP|14030548034538309833</stp>
        <tr r="AA377" s="1"/>
      </tp>
      <tp t="s">
        <v>#N/A N/A</v>
        <stp/>
        <stp>BDP|18255394893771884102</stp>
        <tr r="Z1236" s="1"/>
      </tp>
      <tp t="s">
        <v>#N/A N/A</v>
        <stp/>
        <stp>BDP|14441131148301659292</stp>
        <tr r="Y1272" s="1"/>
      </tp>
      <tp t="s">
        <v>#N/A N/A</v>
        <stp/>
        <stp>BDP|14860017418280283703</stp>
        <tr r="AA331" s="1"/>
      </tp>
      <tp t="s">
        <v>#N/A N/A</v>
        <stp/>
        <stp>BDP|17712353360090293036</stp>
        <tr r="Z96" s="1"/>
      </tp>
      <tp t="s">
        <v>#N/A N/A</v>
        <stp/>
        <stp>BDP|15710981288273107550</stp>
        <tr r="Z1275" s="1"/>
      </tp>
      <tp t="s">
        <v>#N/A N/A</v>
        <stp/>
        <stp>BDP|10637223636036861596</stp>
        <tr r="AA303" s="1"/>
      </tp>
      <tp t="s">
        <v>#N/A N/A</v>
        <stp/>
        <stp>BDP|16030416511041216013</stp>
        <tr r="Z187" s="1"/>
      </tp>
      <tp t="s">
        <v>#N/A N/A</v>
        <stp/>
        <stp>BDP|15473780706661124186</stp>
        <tr r="AA950" s="1"/>
      </tp>
      <tp t="s">
        <v>#N/A N/A</v>
        <stp/>
        <stp>BDP|10285516750330031214</stp>
        <tr r="AA912" s="1"/>
      </tp>
      <tp t="s">
        <v>#N/A N/A</v>
        <stp/>
        <stp>BDP|11059663263363782004</stp>
        <tr r="AA449" s="1"/>
      </tp>
      <tp t="s">
        <v>#N/A N/A</v>
        <stp/>
        <stp>BDP|13324275646757517059</stp>
        <tr r="Y41" s="1"/>
      </tp>
      <tp t="s">
        <v>#N/A N/A</v>
        <stp/>
        <stp>BDP|10924709041020211185</stp>
        <tr r="Y107" s="1"/>
      </tp>
      <tp t="s">
        <v>#N/A N/A</v>
        <stp/>
        <stp>BDP|11157760131426186156</stp>
        <tr r="AA807" s="1"/>
      </tp>
      <tp t="s">
        <v>#N/A N/A</v>
        <stp/>
        <stp>BDP|13321779503640438610</stp>
        <tr r="Z857" s="1"/>
      </tp>
      <tp t="s">
        <v>#N/A N/A</v>
        <stp/>
        <stp>BDP|13550265430191798165</stp>
        <tr r="Z1196" s="1"/>
      </tp>
      <tp t="s">
        <v>#N/A N/A</v>
        <stp/>
        <stp>BDP|17044252811561259745</stp>
        <tr r="Y444" s="1"/>
      </tp>
      <tp t="s">
        <v>#N/A N/A</v>
        <stp/>
        <stp>BDP|16979224630132810711</stp>
        <tr r="Y23" s="1"/>
      </tp>
      <tp t="s">
        <v>#N/A N/A</v>
        <stp/>
        <stp>BDP|12653604672750021164</stp>
        <tr r="Y413" s="1"/>
      </tp>
      <tp t="s">
        <v>#N/A N/A</v>
        <stp/>
        <stp>BDP|17919255450787653580</stp>
        <tr r="Z954" s="1"/>
      </tp>
      <tp t="s">
        <v>#N/A N/A</v>
        <stp/>
        <stp>BDP|10826231692241928858</stp>
        <tr r="Y108" s="1"/>
      </tp>
      <tp t="s">
        <v>#N/A N/A</v>
        <stp/>
        <stp>BDP|14212870892910579774</stp>
        <tr r="Z229" s="1"/>
      </tp>
      <tp t="s">
        <v>#N/A N/A</v>
        <stp/>
        <stp>BDP|13183683768105220461</stp>
        <tr r="AA535" s="1"/>
      </tp>
      <tp t="s">
        <v>#N/A N/A</v>
        <stp/>
        <stp>BDP|12956002408540486002</stp>
        <tr r="Z146" s="1"/>
      </tp>
      <tp t="s">
        <v>#N/A N/A</v>
        <stp/>
        <stp>BDP|12542398919753627166</stp>
        <tr r="AA828" s="1"/>
      </tp>
      <tp t="s">
        <v>#N/A N/A</v>
        <stp/>
        <stp>BDP|11306277601934129511</stp>
        <tr r="Z480" s="1"/>
      </tp>
      <tp t="s">
        <v>#N/A N/A</v>
        <stp/>
        <stp>BDP|12633661517444485362</stp>
        <tr r="AA516" s="1"/>
      </tp>
      <tp t="s">
        <v>#N/A N/A</v>
        <stp/>
        <stp>BDP|16192461231527573468</stp>
        <tr r="Z1250" s="1"/>
      </tp>
      <tp t="s">
        <v>#N/A N/A</v>
        <stp/>
        <stp>BDP|17897261672409092993</stp>
        <tr r="AA1104" s="1"/>
      </tp>
      <tp t="s">
        <v>#N/A N/A</v>
        <stp/>
        <stp>BDP|13291768073162459360</stp>
        <tr r="Z581" s="1"/>
      </tp>
      <tp t="s">
        <v>#N/A N/A</v>
        <stp/>
        <stp>BDP|16790687287618996244</stp>
        <tr r="Z438" s="1"/>
      </tp>
      <tp t="s">
        <v>#N/A N/A</v>
        <stp/>
        <stp>BDP|14633714064936762103</stp>
        <tr r="Y116" s="1"/>
      </tp>
      <tp t="s">
        <v>#N/A N/A</v>
        <stp/>
        <stp>BDP|12311706420142263759</stp>
        <tr r="Y684" s="1"/>
      </tp>
      <tp t="s">
        <v>#N/A N/A</v>
        <stp/>
        <stp>BDP|15614015643470773379</stp>
        <tr r="Z268" s="1"/>
      </tp>
      <tp t="s">
        <v>#N/A N/A</v>
        <stp/>
        <stp>BDP|13240478240106434752</stp>
        <tr r="Y318" s="1"/>
      </tp>
      <tp t="s">
        <v>#N/A N/A</v>
        <stp/>
        <stp>BDP|15662290780528804531</stp>
        <tr r="AA464" s="1"/>
      </tp>
      <tp t="s">
        <v>#N/A N/A</v>
        <stp/>
        <stp>BDP|11769012545430235768</stp>
        <tr r="Z1066" s="1"/>
      </tp>
      <tp t="s">
        <v>#N/A N/A</v>
        <stp/>
        <stp>BDP|12939956588737624658</stp>
        <tr r="Z413" s="1"/>
      </tp>
      <tp t="s">
        <v>#N/A N/A</v>
        <stp/>
        <stp>BDP|10258162147216004148</stp>
        <tr r="Y518" s="1"/>
      </tp>
      <tp t="s">
        <v>#N/A N/A</v>
        <stp/>
        <stp>BDP|17435761110726798521</stp>
        <tr r="AA918" s="1"/>
      </tp>
      <tp t="s">
        <v>#N/A N/A</v>
        <stp/>
        <stp>BDP|16384417675671782676</stp>
        <tr r="Z500" s="1"/>
      </tp>
      <tp t="s">
        <v>#N/A N/A</v>
        <stp/>
        <stp>BDP|12826547649135584466</stp>
        <tr r="Y695" s="1"/>
      </tp>
      <tp t="s">
        <v>#N/A N/A</v>
        <stp/>
        <stp>BDP|14698156437516474264</stp>
        <tr r="AA308" s="1"/>
      </tp>
      <tp t="s">
        <v>#N/A N/A</v>
        <stp/>
        <stp>BDP|11043618038944623298</stp>
        <tr r="Z235" s="1"/>
      </tp>
      <tp t="s">
        <v>#N/A N/A</v>
        <stp/>
        <stp>BDP|18259504385721819698</stp>
        <tr r="Y1318" s="1"/>
      </tp>
      <tp t="s">
        <v>#N/A N/A</v>
        <stp/>
        <stp>BDP|16612843921239696737</stp>
        <tr r="AA968" s="1"/>
      </tp>
      <tp t="s">
        <v>#N/A N/A</v>
        <stp/>
        <stp>BDP|15729076488508647789</stp>
        <tr r="Y485" s="1"/>
      </tp>
      <tp t="s">
        <v>#N/A N/A</v>
        <stp/>
        <stp>BDP|15443859023069781434</stp>
        <tr r="Y773" s="1"/>
      </tp>
      <tp t="s">
        <v>#N/A N/A</v>
        <stp/>
        <stp>BDP|14936093819085782373</stp>
        <tr r="Y1132" s="1"/>
      </tp>
      <tp t="s">
        <v>#N/A N/A</v>
        <stp/>
        <stp>BDP|17280218632867178296</stp>
        <tr r="AA701" s="1"/>
      </tp>
      <tp t="s">
        <v>#N/A N/A</v>
        <stp/>
        <stp>BDP|11798030000523939149</stp>
        <tr r="Y117" s="1"/>
      </tp>
      <tp t="s">
        <v>#N/A N/A</v>
        <stp/>
        <stp>BDP|14477474064665963068</stp>
        <tr r="Y936" s="1"/>
      </tp>
      <tp t="s">
        <v>#N/A N/A</v>
        <stp/>
        <stp>BDP|14879776048013813779</stp>
        <tr r="AA956" s="1"/>
      </tp>
      <tp t="s">
        <v>#N/A N/A</v>
        <stp/>
        <stp>BDP|11565330979965440333</stp>
        <tr r="Z407" s="1"/>
      </tp>
      <tp t="s">
        <v>#N/A N/A</v>
        <stp/>
        <stp>BDP|11952318017950336048</stp>
        <tr r="AA144" s="1"/>
      </tp>
      <tp t="s">
        <v>#N/A N/A</v>
        <stp/>
        <stp>BDP|10430900685055183785</stp>
        <tr r="AA599" s="1"/>
      </tp>
      <tp t="s">
        <v>#N/A N/A</v>
        <stp/>
        <stp>BDP|10829616554890487019</stp>
        <tr r="AA540" s="1"/>
      </tp>
      <tp t="s">
        <v>#N/A N/A</v>
        <stp/>
        <stp>BDP|11963792789239221437</stp>
        <tr r="Z373" s="1"/>
      </tp>
      <tp t="s">
        <v>#N/A N/A</v>
        <stp/>
        <stp>BDP|12089471200405883077</stp>
        <tr r="Z1233" s="1"/>
      </tp>
      <tp t="s">
        <v>#N/A N/A</v>
        <stp/>
        <stp>BDP|13680791033975597118</stp>
        <tr r="Y1109" s="1"/>
      </tp>
      <tp t="s">
        <v>#N/A N/A</v>
        <stp/>
        <stp>BDP|11443974395701603386</stp>
        <tr r="AA1134" s="1"/>
      </tp>
      <tp t="s">
        <v>#N/A N/A</v>
        <stp/>
        <stp>BDP|10291535612440865739</stp>
        <tr r="Y440" s="1"/>
      </tp>
      <tp t="s">
        <v>#N/A N/A</v>
        <stp/>
        <stp>BDP|15005101555046817454</stp>
        <tr r="AA546" s="1"/>
      </tp>
      <tp t="s">
        <v>#N/A N/A</v>
        <stp/>
        <stp>BDP|10984788661212386084</stp>
        <tr r="Y1203" s="1"/>
      </tp>
      <tp t="s">
        <v>#N/A N/A</v>
        <stp/>
        <stp>BDP|10929854497192393032</stp>
        <tr r="Y1052" s="1"/>
      </tp>
      <tp t="s">
        <v>#N/A N/A</v>
        <stp/>
        <stp>BDP|14560330415882980715</stp>
        <tr r="AA1266" s="1"/>
      </tp>
      <tp t="s">
        <v>#N/A N/A</v>
        <stp/>
        <stp>BDP|16713717678834160149</stp>
        <tr r="Y704" s="1"/>
      </tp>
      <tp t="s">
        <v>#N/A N/A</v>
        <stp/>
        <stp>BDP|12383478045645205486</stp>
        <tr r="Y565" s="1"/>
      </tp>
      <tp t="s">
        <v>#N/A N/A</v>
        <stp/>
        <stp>BDP|17867173122682139577</stp>
        <tr r="Y219" s="1"/>
      </tp>
      <tp t="s">
        <v>#N/A N/A</v>
        <stp/>
        <stp>BDP|12642580744408146803</stp>
        <tr r="Z634" s="1"/>
      </tp>
      <tp t="s">
        <v>#N/A N/A</v>
        <stp/>
        <stp>BDP|10203485916473713506</stp>
        <tr r="Z401" s="1"/>
      </tp>
      <tp t="s">
        <v>#N/A N/A</v>
        <stp/>
        <stp>BDP|17857406751873590674</stp>
        <tr r="AA1025" s="1"/>
      </tp>
      <tp t="s">
        <v>#N/A N/A</v>
        <stp/>
        <stp>BDP|11655612207461252593</stp>
        <tr r="Z951" s="1"/>
      </tp>
      <tp t="s">
        <v>#N/A N/A</v>
        <stp/>
        <stp>BDP|13710294634124054515</stp>
        <tr r="Y453" s="1"/>
      </tp>
      <tp t="s">
        <v>#N/A N/A</v>
        <stp/>
        <stp>BDP|16738120017290994510</stp>
        <tr r="Z891" s="1"/>
      </tp>
      <tp t="s">
        <v>#N/A N/A</v>
        <stp/>
        <stp>BDP|15393085942214736641</stp>
        <tr r="Y40" s="1"/>
      </tp>
      <tp t="s">
        <v>#N/A N/A</v>
        <stp/>
        <stp>BDP|10247565328576602207</stp>
        <tr r="Y1277" s="1"/>
      </tp>
      <tp t="s">
        <v>#N/A N/A</v>
        <stp/>
        <stp>BDP|13038471858451541002</stp>
        <tr r="Y1299" s="1"/>
      </tp>
      <tp t="s">
        <v>#N/A N/A</v>
        <stp/>
        <stp>BDP|17226265378993593231</stp>
        <tr r="Z82" s="1"/>
      </tp>
      <tp t="s">
        <v>#N/A N/A</v>
        <stp/>
        <stp>BDP|11644056406173818177</stp>
        <tr r="AA130" s="1"/>
      </tp>
      <tp t="s">
        <v>#N/A N/A</v>
        <stp/>
        <stp>BDP|13446992197503752309</stp>
        <tr r="Z566" s="1"/>
      </tp>
      <tp t="s">
        <v>#N/A N/A</v>
        <stp/>
        <stp>BDP|17982561120187712454</stp>
        <tr r="AA1189" s="1"/>
      </tp>
      <tp t="s">
        <v>#N/A N/A</v>
        <stp/>
        <stp>BDP|13387240804311978371</stp>
        <tr r="AA820" s="1"/>
      </tp>
      <tp t="s">
        <v>#N/A N/A</v>
        <stp/>
        <stp>BDP|15352719412261586186</stp>
        <tr r="Z1075" s="1"/>
      </tp>
      <tp t="s">
        <v>#N/A N/A</v>
        <stp/>
        <stp>BDP|12726727190537841803</stp>
        <tr r="AA1148" s="1"/>
      </tp>
      <tp t="s">
        <v>#N/A N/A</v>
        <stp/>
        <stp>BDP|17265900088891288451</stp>
        <tr r="Y86" s="1"/>
      </tp>
      <tp t="s">
        <v>#N/A N/A</v>
        <stp/>
        <stp>BDP|17063079409425374116</stp>
        <tr r="Z1081" s="1"/>
      </tp>
      <tp t="s">
        <v>#N/A N/A</v>
        <stp/>
        <stp>BDP|18414244998699042948</stp>
        <tr r="AA404" s="1"/>
      </tp>
      <tp t="s">
        <v>#N/A N/A</v>
        <stp/>
        <stp>BDP|12900244750975250336</stp>
        <tr r="Z1161" s="1"/>
      </tp>
      <tp t="s">
        <v>#N/A N/A</v>
        <stp/>
        <stp>BDP|14063528259182501523</stp>
        <tr r="Y624" s="1"/>
      </tp>
      <tp t="s">
        <v>#N/A N/A</v>
        <stp/>
        <stp>BDP|13120724836744982008</stp>
        <tr r="AA798" s="1"/>
      </tp>
      <tp t="s">
        <v>#N/A N/A</v>
        <stp/>
        <stp>BDP|16595070365486896533</stp>
        <tr r="Y352" s="1"/>
      </tp>
      <tp t="s">
        <v>#N/A N/A</v>
        <stp/>
        <stp>BDP|12135634118284446225</stp>
        <tr r="Y967" s="1"/>
      </tp>
      <tp t="s">
        <v>#N/A N/A</v>
        <stp/>
        <stp>BDP|10908536014021341629</stp>
        <tr r="AA890" s="1"/>
      </tp>
      <tp t="s">
        <v>#N/A N/A</v>
        <stp/>
        <stp>BDP|10609698249931890010</stp>
        <tr r="Z201" s="1"/>
      </tp>
      <tp t="s">
        <v>#N/A N/A</v>
        <stp/>
        <stp>BDP|11740024031432202399</stp>
        <tr r="Z448" s="1"/>
      </tp>
      <tp t="s">
        <v>#N/A N/A</v>
        <stp/>
        <stp>BDP|16806852253319822191</stp>
        <tr r="AA392" s="1"/>
      </tp>
      <tp t="s">
        <v>#N/A N/A</v>
        <stp/>
        <stp>BDP|11558566001322545585</stp>
        <tr r="Y851" s="1"/>
      </tp>
      <tp t="s">
        <v>#N/A N/A</v>
        <stp/>
        <stp>BDP|12178571472017333483</stp>
        <tr r="Y721" s="1"/>
      </tp>
      <tp t="s">
        <v>#N/A N/A</v>
        <stp/>
        <stp>BDP|12483785765114427428</stp>
        <tr r="Z1105" s="1"/>
      </tp>
      <tp t="s">
        <v>#N/A N/A</v>
        <stp/>
        <stp>BDP|10958552946050774224</stp>
        <tr r="Y848" s="1"/>
      </tp>
      <tp t="s">
        <v>#N/A N/A</v>
        <stp/>
        <stp>BDP|14663481146556780110</stp>
        <tr r="AA837" s="1"/>
      </tp>
      <tp t="s">
        <v>#N/A N/A</v>
        <stp/>
        <stp>BDP|11973143264573175665</stp>
        <tr r="Y729" s="1"/>
      </tp>
      <tp t="s">
        <v>#N/A N/A</v>
        <stp/>
        <stp>BDP|15859403320050543030</stp>
        <tr r="AA232" s="1"/>
      </tp>
      <tp t="s">
        <v>#N/A N/A</v>
        <stp/>
        <stp>BDP|13948693075310361180</stp>
        <tr r="Y1236" s="1"/>
      </tp>
      <tp t="s">
        <v>#N/A N/A</v>
        <stp/>
        <stp>BDP|10439284918136212687</stp>
        <tr r="Z330" s="1"/>
      </tp>
      <tp t="s">
        <v>#N/A N/A</v>
        <stp/>
        <stp>BDP|11120959092680337245</stp>
        <tr r="AA1114" s="1"/>
      </tp>
      <tp t="s">
        <v>#N/A N/A</v>
        <stp/>
        <stp>BDP|14719739266383725542</stp>
        <tr r="Y462" s="1"/>
      </tp>
      <tp t="s">
        <v>#N/A N/A</v>
        <stp/>
        <stp>BDP|10341584015286786180</stp>
        <tr r="Y560" s="1"/>
      </tp>
      <tp t="s">
        <v>#N/A N/A</v>
        <stp/>
        <stp>BDP|11344709313381446550</stp>
        <tr r="AA428" s="1"/>
      </tp>
      <tp t="s">
        <v>#N/A N/A</v>
        <stp/>
        <stp>BDP|15673871882541609749</stp>
        <tr r="Z1170" s="1"/>
      </tp>
      <tp t="s">
        <v>#N/A N/A</v>
        <stp/>
        <stp>BDP|13253302889082869928</stp>
        <tr r="AA538" s="1"/>
      </tp>
      <tp t="s">
        <v>#N/A N/A</v>
        <stp/>
        <stp>BDP|12260537863124276618</stp>
        <tr r="AA310" s="1"/>
      </tp>
      <tp t="s">
        <v>#N/A N/A</v>
        <stp/>
        <stp>BDP|10070274301752633318</stp>
        <tr r="AA1129" s="1"/>
      </tp>
      <tp t="s">
        <v>#N/A N/A</v>
        <stp/>
        <stp>BDP|10996410105494418383</stp>
        <tr r="Z216" s="1"/>
      </tp>
      <tp t="s">
        <v>#N/A N/A</v>
        <stp/>
        <stp>BDP|12471371816947677426</stp>
        <tr r="Z515" s="1"/>
      </tp>
      <tp t="s">
        <v>#N/A N/A</v>
        <stp/>
        <stp>BDP|17524333978176690697</stp>
        <tr r="AA860" s="1"/>
      </tp>
      <tp t="s">
        <v>#N/A N/A</v>
        <stp/>
        <stp>BDP|16556130793609483405</stp>
        <tr r="Y428" s="1"/>
      </tp>
      <tp t="s">
        <v>#N/A N/A</v>
        <stp/>
        <stp>BDP|13447746078066882617</stp>
        <tr r="Y956" s="1"/>
      </tp>
      <tp t="s">
        <v>#N/A N/A</v>
        <stp/>
        <stp>BDP|14512438502471533203</stp>
        <tr r="Y1217" s="1"/>
      </tp>
      <tp t="s">
        <v>#N/A N/A</v>
        <stp/>
        <stp>BDP|16193502414879772836</stp>
        <tr r="AA485" s="1"/>
      </tp>
      <tp t="s">
        <v>#N/A N/A</v>
        <stp/>
        <stp>BDP|10188328462586171012</stp>
        <tr r="Z85" s="1"/>
      </tp>
      <tp t="s">
        <v>#N/A N/A</v>
        <stp/>
        <stp>BDP|15181280283875320987</stp>
        <tr r="Z820" s="1"/>
      </tp>
      <tp t="s">
        <v>#N/A N/A</v>
        <stp/>
        <stp>BDP|15108650873692484535</stp>
        <tr r="Z793" s="1"/>
      </tp>
      <tp t="s">
        <v>#N/A N/A</v>
        <stp/>
        <stp>BDP|12488075820605031636</stp>
        <tr r="Z282" s="1"/>
      </tp>
      <tp t="s">
        <v>#N/A N/A</v>
        <stp/>
        <stp>BDP|12499585838180630723</stp>
        <tr r="AA459" s="1"/>
      </tp>
      <tp t="s">
        <v>#N/A N/A</v>
        <stp/>
        <stp>BDP|13105958302251583830</stp>
        <tr r="AA931" s="1"/>
      </tp>
      <tp t="s">
        <v>#N/A N/A</v>
        <stp/>
        <stp>BDP|10041285172757218186</stp>
        <tr r="Y1004" s="1"/>
      </tp>
      <tp t="s">
        <v>#N/A N/A</v>
        <stp/>
        <stp>BDP|15844856696445349283</stp>
        <tr r="AA953" s="1"/>
      </tp>
      <tp t="s">
        <v>#N/A N/A</v>
        <stp/>
        <stp>BDP|12281769331457676232</stp>
        <tr r="Z622" s="1"/>
      </tp>
      <tp t="s">
        <v>#N/A N/A</v>
        <stp/>
        <stp>BDP|10456202148334954157</stp>
        <tr r="Y145" s="1"/>
      </tp>
      <tp t="s">
        <v>#N/A N/A</v>
        <stp/>
        <stp>BDP|10533903105389828387</stp>
        <tr r="Z551" s="1"/>
      </tp>
      <tp t="s">
        <v>#N/A N/A</v>
        <stp/>
        <stp>BDP|10854657463693794099</stp>
        <tr r="AA79" s="1"/>
      </tp>
      <tp t="s">
        <v>#N/A N/A</v>
        <stp/>
        <stp>BDP|11190441605560477671</stp>
        <tr r="Y25" s="1"/>
      </tp>
      <tp t="s">
        <v>#N/A N/A</v>
        <stp/>
        <stp>BDP|17531479757233660607</stp>
        <tr r="AA643" s="1"/>
      </tp>
      <tp t="s">
        <v>#N/A N/A</v>
        <stp/>
        <stp>BDP|16142706131598288911</stp>
        <tr r="Z473" s="1"/>
      </tp>
      <tp t="s">
        <v>#N/A N/A</v>
        <stp/>
        <stp>BDP|17492955697431536506</stp>
        <tr r="Z651" s="1"/>
      </tp>
      <tp t="s">
        <v>#N/A N/A</v>
        <stp/>
        <stp>BDP|11224447970376026754</stp>
        <tr r="AA81" s="1"/>
      </tp>
      <tp t="s">
        <v>#N/A N/A</v>
        <stp/>
        <stp>BDP|16131319671720098121</stp>
        <tr r="Z814" s="1"/>
      </tp>
      <tp t="s">
        <v>#N/A N/A</v>
        <stp/>
        <stp>BDP|10658520732792223769</stp>
        <tr r="AA1021" s="1"/>
      </tp>
      <tp t="s">
        <v>#N/A N/A</v>
        <stp/>
        <stp>BDP|13121494354718711999</stp>
        <tr r="AA741" s="1"/>
      </tp>
      <tp t="s">
        <v>#N/A N/A</v>
        <stp/>
        <stp>BDP|15658000545562890097</stp>
        <tr r="AA362" s="1"/>
      </tp>
      <tp t="s">
        <v>#N/A N/A</v>
        <stp/>
        <stp>BDP|14765007460085445418</stp>
        <tr r="Z1179" s="1"/>
      </tp>
      <tp t="s">
        <v>#N/A N/A</v>
        <stp/>
        <stp>BDP|11576600178450665399</stp>
        <tr r="AA1256" s="1"/>
      </tp>
      <tp t="s">
        <v>#N/A N/A</v>
        <stp/>
        <stp>BDP|11581950665745747808</stp>
        <tr r="AA1240" s="1"/>
      </tp>
      <tp t="s">
        <v>#N/A N/A</v>
        <stp/>
        <stp>BDP|15141847883783044541</stp>
        <tr r="Z446" s="1"/>
      </tp>
      <tp t="s">
        <v>#N/A N/A</v>
        <stp/>
        <stp>BDP|17789134678243893167</stp>
        <tr r="AA369" s="1"/>
      </tp>
      <tp t="s">
        <v>#N/A N/A</v>
        <stp/>
        <stp>BDP|15168119361424424501</stp>
        <tr r="AA383" s="1"/>
      </tp>
      <tp t="s">
        <v>#N/A N/A</v>
        <stp/>
        <stp>BDP|14339781618202417322</stp>
        <tr r="Z267" s="1"/>
      </tp>
      <tp t="s">
        <v>#N/A N/A</v>
        <stp/>
        <stp>BDP|11840728209903007666</stp>
        <tr r="AA437" s="1"/>
      </tp>
      <tp t="s">
        <v>#N/A N/A</v>
        <stp/>
        <stp>BDP|10319580546345834703</stp>
        <tr r="AA618" s="1"/>
      </tp>
      <tp t="s">
        <v>#N/A N/A</v>
        <stp/>
        <stp>BDP|18432626329608920730</stp>
        <tr r="Z709" s="1"/>
      </tp>
      <tp t="s">
        <v>#N/A N/A</v>
        <stp/>
        <stp>BDP|16612417245522222750</stp>
        <tr r="AA945" s="1"/>
      </tp>
      <tp t="s">
        <v>#N/A N/A</v>
        <stp/>
        <stp>BDP|13103741346592573136</stp>
        <tr r="AA1165" s="1"/>
      </tp>
      <tp t="s">
        <v>#N/A N/A</v>
        <stp/>
        <stp>BDP|13574441806366093228</stp>
        <tr r="AA3" s="1"/>
      </tp>
      <tp t="s">
        <v>#N/A N/A</v>
        <stp/>
        <stp>BDP|15125024911837529028</stp>
        <tr r="AA471" s="1"/>
      </tp>
      <tp t="s">
        <v>#N/A N/A</v>
        <stp/>
        <stp>BDP|18315757717229681437</stp>
        <tr r="Z1193" s="1"/>
      </tp>
      <tp t="s">
        <v>#N/A N/A</v>
        <stp/>
        <stp>BDP|14452665628303935079</stp>
        <tr r="Z1272" s="1"/>
      </tp>
      <tp t="s">
        <v>#N/A N/A</v>
        <stp/>
        <stp>BDP|12252460441826134706</stp>
        <tr r="Z200" s="1"/>
      </tp>
      <tp t="s">
        <v>#N/A N/A</v>
        <stp/>
        <stp>BDP|10607254973145399374</stp>
        <tr r="Z1079" s="1"/>
      </tp>
      <tp t="s">
        <v>#N/A N/A</v>
        <stp/>
        <stp>BDP|18271877063325784059</stp>
        <tr r="Y1054" s="1"/>
      </tp>
      <tp t="s">
        <v>#N/A N/A</v>
        <stp/>
        <stp>BDP|13458511979011150393</stp>
        <tr r="AA560" s="1"/>
      </tp>
      <tp t="s">
        <v>#N/A N/A</v>
        <stp/>
        <stp>BDP|11649808722581984990</stp>
        <tr r="Y169" s="1"/>
      </tp>
      <tp t="s">
        <v>#N/A N/A</v>
        <stp/>
        <stp>BDP|17564123047022021340</stp>
        <tr r="Z444" s="1"/>
      </tp>
      <tp t="s">
        <v>#N/A N/A</v>
        <stp/>
        <stp>BDP|16096933824908502665</stp>
        <tr r="Y426" s="1"/>
      </tp>
      <tp t="s">
        <v>#N/A N/A</v>
        <stp/>
        <stp>BDP|16673333617074715310</stp>
        <tr r="AA1202" s="1"/>
      </tp>
      <tp t="s">
        <v>#N/A N/A</v>
        <stp/>
        <stp>BDP|17878470818930526168</stp>
        <tr r="AA943" s="1"/>
      </tp>
      <tp t="s">
        <v>#N/A N/A</v>
        <stp/>
        <stp>BDP|18359617539347592997</stp>
        <tr r="AA990" s="1"/>
      </tp>
      <tp t="s">
        <v>#N/A N/A</v>
        <stp/>
        <stp>BDP|12041999911601719885</stp>
        <tr r="Z1124" s="1"/>
      </tp>
      <tp t="s">
        <v>#N/A N/A</v>
        <stp/>
        <stp>BDP|13707209061594985088</stp>
        <tr r="Y567" s="1"/>
      </tp>
      <tp t="s">
        <v>#N/A N/A</v>
        <stp/>
        <stp>BDP|12080828895484155412</stp>
        <tr r="Y298" s="1"/>
      </tp>
      <tp t="s">
        <v>#N/A N/A</v>
        <stp/>
        <stp>BDP|14050602780521111861</stp>
        <tr r="Z1280" s="1"/>
      </tp>
      <tp t="s">
        <v>#N/A N/A</v>
        <stp/>
        <stp>BDP|11903184294789131330</stp>
        <tr r="Y419" s="1"/>
      </tp>
      <tp t="s">
        <v>#N/A N/A</v>
        <stp/>
        <stp>BDP|13224130230827085562</stp>
        <tr r="Y1121" s="1"/>
      </tp>
      <tp t="s">
        <v>#N/A N/A</v>
        <stp/>
        <stp>BDP|16472970172539255243</stp>
        <tr r="AA873" s="1"/>
      </tp>
      <tp t="s">
        <v>#N/A N/A</v>
        <stp/>
        <stp>BDP|10472955554477710853</stp>
        <tr r="Y234" s="1"/>
      </tp>
      <tp t="s">
        <v>#N/A N/A</v>
        <stp/>
        <stp>BDP|16070202059723890171</stp>
        <tr r="Z107" s="1"/>
      </tp>
      <tp t="s">
        <v>#N/A N/A</v>
        <stp/>
        <stp>BDP|11889536789538029741</stp>
        <tr r="Z1282" s="1"/>
      </tp>
      <tp t="s">
        <v>#N/A N/A</v>
        <stp/>
        <stp>BDP|13553110764343660408</stp>
        <tr r="AA296" s="1"/>
      </tp>
      <tp t="s">
        <v>#N/A N/A</v>
        <stp/>
        <stp>BDP|16516352633922393760</stp>
        <tr r="AA603" s="1"/>
      </tp>
      <tp t="s">
        <v>#N/A N/A</v>
        <stp/>
        <stp>BDP|15404207292455312833</stp>
        <tr r="Y1133" s="1"/>
      </tp>
      <tp t="s">
        <v>#N/A N/A</v>
        <stp/>
        <stp>BDP|16372788927623801329</stp>
        <tr r="Z1191" s="1"/>
      </tp>
      <tp t="s">
        <v>#N/A N/A</v>
        <stp/>
        <stp>BDP|16821392640393271152</stp>
        <tr r="Z164" s="1"/>
      </tp>
      <tp t="s">
        <v>#N/A N/A</v>
        <stp/>
        <stp>BDP|14701691103241793333</stp>
        <tr r="Y1192" s="1"/>
      </tp>
      <tp t="s">
        <v>#N/A N/A</v>
        <stp/>
        <stp>BDP|17778605598190292846</stp>
        <tr r="AA1300" s="1"/>
      </tp>
      <tp t="s">
        <v>#N/A N/A</v>
        <stp/>
        <stp>BDP|10963713617204140273</stp>
        <tr r="Y1066" s="1"/>
      </tp>
      <tp t="s">
        <v>#N/A N/A</v>
        <stp/>
        <stp>BDP|16855474351743667414</stp>
        <tr r="Y762" s="1"/>
      </tp>
      <tp t="s">
        <v>#N/A N/A</v>
        <stp/>
        <stp>BDP|11826955165079895785</stp>
        <tr r="AA342" s="1"/>
      </tp>
      <tp t="s">
        <v>#N/A N/A</v>
        <stp/>
        <stp>BDP|17001603779944017212</stp>
        <tr r="Y1153" s="1"/>
      </tp>
      <tp t="s">
        <v>#N/A N/A</v>
        <stp/>
        <stp>BDP|10026433306927400397</stp>
        <tr r="AA1289" s="1"/>
      </tp>
      <tp t="s">
        <v>#N/A N/A</v>
        <stp/>
        <stp>BDP|12195773406975080084</stp>
        <tr r="AA1046" s="1"/>
      </tp>
      <tp t="s">
        <v>#N/A N/A</v>
        <stp/>
        <stp>BDP|13936626605454364158</stp>
        <tr r="Y1036" s="1"/>
      </tp>
      <tp t="s">
        <v>#N/A N/A</v>
        <stp/>
        <stp>BDP|13703117720976887668</stp>
        <tr r="Y1218" s="1"/>
      </tp>
      <tp t="s">
        <v>#N/A N/A</v>
        <stp/>
        <stp>BDP|17368770428824328672</stp>
        <tr r="Z289" s="1"/>
      </tp>
      <tp t="s">
        <v>#N/A N/A</v>
        <stp/>
        <stp>BDP|16300848964539129194</stp>
        <tr r="AA1293" s="1"/>
      </tp>
      <tp t="s">
        <v>#N/A N/A</v>
        <stp/>
        <stp>BDP|14599647718235704655</stp>
        <tr r="Y835" s="1"/>
      </tp>
      <tp t="s">
        <v>#N/A N/A</v>
        <stp/>
        <stp>BDP|14308800280150919418</stp>
        <tr r="AA646" s="1"/>
      </tp>
      <tp t="s">
        <v>#N/A N/A</v>
        <stp/>
        <stp>BDP|11395600869278119905</stp>
        <tr r="Y432" s="1"/>
      </tp>
      <tp t="s">
        <v>#N/A N/A</v>
        <stp/>
        <stp>BDP|11920147173977469014</stp>
        <tr r="Y264" s="1"/>
      </tp>
      <tp t="s">
        <v>#N/A N/A</v>
        <stp/>
        <stp>BDP|13909920667809626514</stp>
        <tr r="Y1118" s="1"/>
      </tp>
      <tp t="s">
        <v>#N/A N/A</v>
        <stp/>
        <stp>BDP|17370489162391459465</stp>
        <tr r="Z65" s="1"/>
      </tp>
      <tp t="s">
        <v>#N/A N/A</v>
        <stp/>
        <stp>BDP|10772317276714928027</stp>
        <tr r="AA611" s="1"/>
      </tp>
      <tp t="s">
        <v>#N/A N/A</v>
        <stp/>
        <stp>BDP|16238242565455028785</stp>
        <tr r="Z283" s="1"/>
      </tp>
      <tp t="s">
        <v>#N/A N/A</v>
        <stp/>
        <stp>BDP|13737727671682717198</stp>
        <tr r="AA140" s="1"/>
      </tp>
      <tp t="s">
        <v>#N/A N/A</v>
        <stp/>
        <stp>BDP|15580961779498570351</stp>
        <tr r="AA758" s="1"/>
      </tp>
      <tp t="s">
        <v>#N/A N/A</v>
        <stp/>
        <stp>BDP|14539092295314542969</stp>
        <tr r="Z416" s="1"/>
      </tp>
      <tp t="s">
        <v>#N/A N/A</v>
        <stp/>
        <stp>BDP|17020469699433445914</stp>
        <tr r="Y587" s="1"/>
      </tp>
      <tp t="s">
        <v>#N/A N/A</v>
        <stp/>
        <stp>BDP|11832143947705017118</stp>
        <tr r="AA1327" s="1"/>
      </tp>
      <tp t="s">
        <v>#N/A N/A</v>
        <stp/>
        <stp>BDP|17079667474357180198</stp>
        <tr r="Y468" s="1"/>
      </tp>
      <tp t="s">
        <v>#N/A N/A</v>
        <stp/>
        <stp>BDP|14366665931353640283</stp>
        <tr r="Y1063" s="1"/>
      </tp>
      <tp t="s">
        <v>#N/A N/A</v>
        <stp/>
        <stp>BDP|11873310059043229481</stp>
        <tr r="Z523" s="1"/>
      </tp>
      <tp t="s">
        <v>#N/A N/A</v>
        <stp/>
        <stp>BDP|17518471626534883569</stp>
        <tr r="AA921" s="1"/>
      </tp>
      <tp t="s">
        <v>#N/A N/A</v>
        <stp/>
        <stp>BDP|15703792256703777428</stp>
        <tr r="AA691" s="1"/>
      </tp>
      <tp t="s">
        <v>#N/A N/A</v>
        <stp/>
        <stp>BDP|10946527704023410668</stp>
        <tr r="AA146" s="1"/>
      </tp>
      <tp t="s">
        <v>#N/A N/A</v>
        <stp/>
        <stp>BDP|10307171618828673877</stp>
        <tr r="Y401" s="1"/>
      </tp>
      <tp t="s">
        <v>#N/A N/A</v>
        <stp/>
        <stp>BDP|12922143870796921298</stp>
        <tr r="AA1128" s="1"/>
      </tp>
      <tp t="s">
        <v>#N/A N/A</v>
        <stp/>
        <stp>BDP|15842519221833411115</stp>
        <tr r="Z445" s="1"/>
      </tp>
      <tp t="s">
        <v>#N/A N/A</v>
        <stp/>
        <stp>BDP|12547390179524848205</stp>
        <tr r="Y859" s="1"/>
      </tp>
      <tp t="s">
        <v>#N/A N/A</v>
        <stp/>
        <stp>BDP|13047410051981597383</stp>
        <tr r="Y160" s="1"/>
      </tp>
      <tp t="s">
        <v>#N/A N/A</v>
        <stp/>
        <stp>BDP|14253792922804398573</stp>
        <tr r="Y1039" s="1"/>
      </tp>
      <tp t="s">
        <v>#N/A N/A</v>
        <stp/>
        <stp>BDP|10610568059839771932</stp>
        <tr r="Y1061" s="1"/>
      </tp>
      <tp t="s">
        <v>#N/A N/A</v>
        <stp/>
        <stp>BDP|12537209763251961735</stp>
        <tr r="AA422" s="1"/>
      </tp>
      <tp t="s">
        <v>#N/A N/A</v>
        <stp/>
        <stp>BDP|15505274219017581122</stp>
        <tr r="Y1198" s="1"/>
      </tp>
      <tp t="s">
        <v>#N/A N/A</v>
        <stp/>
        <stp>BDP|14802919448589809051</stp>
        <tr r="AA1245" s="1"/>
      </tp>
      <tp t="s">
        <v>#N/A N/A</v>
        <stp/>
        <stp>BDP|15974801385857680264</stp>
        <tr r="Y540" s="1"/>
      </tp>
      <tp t="s">
        <v>#N/A N/A</v>
        <stp/>
        <stp>BDP|11365590140170712017</stp>
        <tr r="AA1034" s="1"/>
      </tp>
      <tp t="s">
        <v>#N/A N/A</v>
        <stp/>
        <stp>BDP|14675021813270346587</stp>
        <tr r="AA106" s="1"/>
      </tp>
      <tp t="s">
        <v>#N/A N/A</v>
        <stp/>
        <stp>BDP|11603264483553957863</stp>
        <tr r="Z892" s="1"/>
      </tp>
      <tp t="s">
        <v>#N/A N/A</v>
        <stp/>
        <stp>BDP|15485049168791388278</stp>
        <tr r="AA982" s="1"/>
      </tp>
      <tp t="s">
        <v>#N/A N/A</v>
        <stp/>
        <stp>BDP|11995385614521881215</stp>
        <tr r="Y225" s="1"/>
      </tp>
      <tp t="s">
        <v>#N/A N/A</v>
        <stp/>
        <stp>BDP|15825733190948275366</stp>
        <tr r="AA277" s="1"/>
      </tp>
      <tp t="s">
        <v>#N/A N/A</v>
        <stp/>
        <stp>BDP|14291766262977992207</stp>
        <tr r="AA656" s="1"/>
      </tp>
      <tp t="s">
        <v>#N/A N/A</v>
        <stp/>
        <stp>BDP|17513971251102479989</stp>
        <tr r="Z699" s="1"/>
      </tp>
      <tp t="s">
        <v>#N/A N/A</v>
        <stp/>
        <stp>BDP|11217889084034608579</stp>
        <tr r="AA318" s="1"/>
      </tp>
      <tp t="s">
        <v>#N/A N/A</v>
        <stp/>
        <stp>BDP|16239464625368952871</stp>
        <tr r="Y445" s="1"/>
      </tp>
      <tp t="s">
        <v>#N/A N/A</v>
        <stp/>
        <stp>BDP|12404654481204664890</stp>
        <tr r="Y346" s="1"/>
      </tp>
      <tp t="s">
        <v>#N/A N/A</v>
        <stp/>
        <stp>BDP|16830209679462715199</stp>
        <tr r="Y210" s="1"/>
      </tp>
      <tp t="s">
        <v>#N/A N/A</v>
        <stp/>
        <stp>BDP|18117482674199774250</stp>
        <tr r="Z1319" s="1"/>
      </tp>
      <tp t="s">
        <v>#N/A N/A</v>
        <stp/>
        <stp>BDP|14921420954046705377</stp>
        <tr r="Z543" s="1"/>
      </tp>
      <tp t="s">
        <v>#N/A N/A</v>
        <stp/>
        <stp>BDP|11578473708640558503</stp>
        <tr r="AA132" s="1"/>
      </tp>
      <tp t="s">
        <v>#N/A N/A</v>
        <stp/>
        <stp>BDP|17921476974083197750</stp>
        <tr r="Z348" s="1"/>
      </tp>
      <tp t="s">
        <v>#N/A N/A</v>
        <stp/>
        <stp>BDP|14498894151738309119</stp>
        <tr r="AA750" s="1"/>
      </tp>
      <tp t="s">
        <v>#N/A N/A</v>
        <stp/>
        <stp>BDP|17133482832142714220</stp>
        <tr r="Y130" s="1"/>
      </tp>
      <tp t="s">
        <v>#N/A N/A</v>
        <stp/>
        <stp>BDP|15109777123216276695</stp>
        <tr r="Z827" s="1"/>
      </tp>
      <tp t="s">
        <v>#N/A N/A</v>
        <stp/>
        <stp>BDP|15349827498040763403</stp>
        <tr r="AA969" s="1"/>
      </tp>
      <tp t="s">
        <v>#N/A N/A</v>
        <stp/>
        <stp>BDP|12586609726590567686</stp>
        <tr r="Y392" s="1"/>
      </tp>
      <tp t="s">
        <v>#N/A N/A</v>
        <stp/>
        <stp>BDP|13395636622942688550</stp>
        <tr r="AA1036" s="1"/>
      </tp>
      <tp t="s">
        <v>#N/A N/A</v>
        <stp/>
        <stp>BDP|17720714533732394175</stp>
        <tr r="Y821" s="1"/>
      </tp>
      <tp t="s">
        <v>#N/A N/A</v>
        <stp/>
        <stp>BDP|17900133363881889100</stp>
        <tr r="Y1067" s="1"/>
      </tp>
      <tp t="s">
        <v>#N/A N/A</v>
        <stp/>
        <stp>BDP|16243925170869303129</stp>
        <tr r="Y1250" s="1"/>
      </tp>
      <tp t="s">
        <v>#N/A N/A</v>
        <stp/>
        <stp>BDP|12735605256116337732</stp>
        <tr r="AA869" s="1"/>
      </tp>
      <tp t="s">
        <v>#N/A N/A</v>
        <stp/>
        <stp>BDP|10147758557836259405</stp>
        <tr r="AA609" s="1"/>
      </tp>
      <tp t="s">
        <v>#N/A N/A</v>
        <stp/>
        <stp>BDP|11331275575614709069</stp>
        <tr r="Z972" s="1"/>
      </tp>
      <tp t="s">
        <v>#N/A N/A</v>
        <stp/>
        <stp>BDP|16513311008922909750</stp>
        <tr r="AA176" s="1"/>
      </tp>
      <tp t="s">
        <v>#N/A N/A</v>
        <stp/>
        <stp>BDP|17972693103668320908</stp>
        <tr r="Y1297" s="1"/>
      </tp>
      <tp t="s">
        <v>#N/A N/A</v>
        <stp/>
        <stp>BDP|14798774265625149040</stp>
        <tr r="AA1028" s="1"/>
      </tp>
      <tp t="s">
        <v>#N/A N/A</v>
        <stp/>
        <stp>BDP|12950195131825323527</stp>
        <tr r="AA72" s="1"/>
      </tp>
      <tp t="s">
        <v>#N/A N/A</v>
        <stp/>
        <stp>BDP|17068017447544707718</stp>
        <tr r="Y875" s="1"/>
      </tp>
      <tp t="s">
        <v>#N/A N/A</v>
        <stp/>
        <stp>BDP|10668212085748186237</stp>
        <tr r="Y1070" s="1"/>
      </tp>
      <tp t="s">
        <v>#N/A N/A</v>
        <stp/>
        <stp>BDP|16607198348282196161</stp>
        <tr r="AA1248" s="1"/>
      </tp>
      <tp t="s">
        <v>#N/A N/A</v>
        <stp/>
        <stp>BDP|11203415573960386235</stp>
        <tr r="Z342" s="1"/>
      </tp>
      <tp t="s">
        <v>#N/A N/A</v>
        <stp/>
        <stp>BDP|14882304911481103789</stp>
        <tr r="Y456" s="1"/>
      </tp>
      <tp t="s">
        <v>#N/A N/A</v>
        <stp/>
        <stp>BDP|14627886358518454124</stp>
        <tr r="AA788" s="1"/>
      </tp>
      <tp t="s">
        <v>#N/A N/A</v>
        <stp/>
        <stp>BDP|12579042620242871297</stp>
        <tr r="AA354" s="1"/>
      </tp>
      <tp t="s">
        <v>#N/A N/A</v>
        <stp/>
        <stp>BDP|13663086541187865071</stp>
        <tr r="Z60" s="1"/>
      </tp>
      <tp t="s">
        <v>#N/A N/A</v>
        <stp/>
        <stp>BDP|11600515547653225327</stp>
        <tr r="Z1246" s="1"/>
      </tp>
      <tp t="s">
        <v>#N/A N/A</v>
        <stp/>
        <stp>BDP|13817574066314183488</stp>
        <tr r="Y653" s="1"/>
      </tp>
      <tp t="s">
        <v>#N/A N/A</v>
        <stp/>
        <stp>BDP|13308670020442114550</stp>
        <tr r="Y586" s="1"/>
      </tp>
      <tp t="s">
        <v>#N/A N/A</v>
        <stp/>
        <stp>BDP|11183684811366987012</stp>
        <tr r="AA1045" s="1"/>
      </tp>
      <tp t="s">
        <v>#N/A N/A</v>
        <stp/>
        <stp>BDP|16594522775100199436</stp>
        <tr r="AA593" s="1"/>
      </tp>
      <tp t="s">
        <v>#N/A N/A</v>
        <stp/>
        <stp>BDP|14384602805813259142</stp>
        <tr r="Z224" s="1"/>
      </tp>
      <tp t="s">
        <v>#N/A N/A</v>
        <stp/>
        <stp>BDP|10662694187848265695</stp>
        <tr r="Z940" s="1"/>
      </tp>
      <tp t="s">
        <v>#N/A N/A</v>
        <stp/>
        <stp>BDP|16832561632523696391</stp>
        <tr r="AA1015" s="1"/>
      </tp>
      <tp t="s">
        <v>#N/A N/A</v>
        <stp/>
        <stp>BDP|12332338471366243003</stp>
        <tr r="Y7" s="1"/>
      </tp>
      <tp t="s">
        <v>#N/A N/A</v>
        <stp/>
        <stp>BDP|12481272470327937094</stp>
        <tr r="Y660" s="1"/>
      </tp>
      <tp t="s">
        <v>#N/A N/A</v>
        <stp/>
        <stp>BDP|10555050035140416325</stp>
        <tr r="Y454" s="1"/>
      </tp>
      <tp t="s">
        <v>#N/A N/A</v>
        <stp/>
        <stp>BDP|17519112576353330224</stp>
        <tr r="Y324" s="1"/>
      </tp>
      <tp t="s">
        <v>#N/A N/A</v>
        <stp/>
        <stp>BDP|13245269460914608312</stp>
        <tr r="Z1263" s="1"/>
      </tp>
      <tp t="s">
        <v>#N/A N/A</v>
        <stp/>
        <stp>BDP|15492238901606037150</stp>
        <tr r="Y478" s="1"/>
      </tp>
      <tp t="s">
        <v>#N/A N/A</v>
        <stp/>
        <stp>BDP|16517833085064348232</stp>
        <tr r="Z207" s="1"/>
      </tp>
      <tp t="s">
        <v>#N/A N/A</v>
        <stp/>
        <stp>BDP|18077959031362087071</stp>
        <tr r="AA457" s="1"/>
      </tp>
      <tp t="s">
        <v>#N/A N/A</v>
        <stp/>
        <stp>BDP|13535205764211182638</stp>
        <tr r="AA1050" s="1"/>
      </tp>
      <tp t="s">
        <v>#N/A N/A</v>
        <stp/>
        <stp>BDP|16347606736640642319</stp>
        <tr r="Y866" s="1"/>
      </tp>
      <tp t="s">
        <v>#N/A N/A</v>
        <stp/>
        <stp>BDP|13521696537943808515</stp>
        <tr r="AA679" s="1"/>
      </tp>
      <tp t="s">
        <v>#N/A N/A</v>
        <stp/>
        <stp>BDP|11254124120396042429</stp>
        <tr r="Y916" s="1"/>
      </tp>
      <tp t="s">
        <v>#N/A N/A</v>
        <stp/>
        <stp>BDP|11657814873549733719</stp>
        <tr r="Z50" s="1"/>
      </tp>
      <tp t="s">
        <v>#N/A N/A</v>
        <stp/>
        <stp>BDP|13337572636437248222</stp>
        <tr r="AA131" s="1"/>
      </tp>
      <tp t="s">
        <v>#N/A N/A</v>
        <stp/>
        <stp>BDP|13928687063570943395</stp>
        <tr r="AA1264" s="1"/>
      </tp>
      <tp t="s">
        <v>#N/A N/A</v>
        <stp/>
        <stp>BDP|11839921786554846464</stp>
        <tr r="AA1168" s="1"/>
      </tp>
      <tp t="s">
        <v>#N/A N/A</v>
        <stp/>
        <stp>BDP|14094311021786691341</stp>
        <tr r="AA556" s="1"/>
      </tp>
      <tp t="s">
        <v>#N/A N/A</v>
        <stp/>
        <stp>BDP|10158362311573626127</stp>
        <tr r="Y595" s="1"/>
      </tp>
      <tp t="s">
        <v>#N/A N/A</v>
        <stp/>
        <stp>BDP|10306185158600845493</stp>
        <tr r="Z903" s="1"/>
      </tp>
      <tp t="s">
        <v>#N/A N/A</v>
        <stp/>
        <stp>BDP|16661229200704136002</stp>
        <tr r="Y819" s="1"/>
      </tp>
      <tp t="s">
        <v>#N/A N/A</v>
        <stp/>
        <stp>BDP|12542088918912064101</stp>
        <tr r="AA384" s="1"/>
      </tp>
      <tp t="s">
        <v>#N/A N/A</v>
        <stp/>
        <stp>BDP|11058651454233331174</stp>
        <tr r="Y754" s="1"/>
      </tp>
      <tp t="s">
        <v>#N/A N/A</v>
        <stp/>
        <stp>BDP|11351800989599903878</stp>
        <tr r="Y934" s="1"/>
      </tp>
      <tp t="s">
        <v>#N/A N/A</v>
        <stp/>
        <stp>BDP|10922213912846865560</stp>
        <tr r="AA1262" s="1"/>
      </tp>
      <tp t="s">
        <v>#N/A N/A</v>
        <stp/>
        <stp>BDP|15862214299707583912</stp>
        <tr r="Z513" s="1"/>
      </tp>
      <tp t="s">
        <v>#N/A N/A</v>
        <stp/>
        <stp>BDP|11304526316513692654</stp>
        <tr r="Y706" s="1"/>
      </tp>
      <tp t="s">
        <v>#N/A N/A</v>
        <stp/>
        <stp>BDP|13636530708152190488</stp>
        <tr r="Z1214" s="1"/>
      </tp>
      <tp t="s">
        <v>#N/A N/A</v>
        <stp/>
        <stp>BDP|17135198810951547697</stp>
        <tr r="AA376" s="1"/>
      </tp>
      <tp t="s">
        <v>#N/A N/A</v>
        <stp/>
        <stp>BDP|16039110111216038043</stp>
        <tr r="AA470" s="1"/>
      </tp>
      <tp t="s">
        <v>#N/A N/A</v>
        <stp/>
        <stp>BDP|12188739025720553763</stp>
        <tr r="Z710" s="1"/>
      </tp>
      <tp t="s">
        <v>#N/A N/A</v>
        <stp/>
        <stp>BDP|15404011544440108142</stp>
        <tr r="AA217" s="1"/>
      </tp>
      <tp t="s">
        <v>#N/A N/A</v>
        <stp/>
        <stp>BDP|17458840640703167850</stp>
        <tr r="Y272" s="1"/>
      </tp>
      <tp t="s">
        <v>#N/A N/A</v>
        <stp/>
        <stp>BDP|11732734016331333653</stp>
        <tr r="Z465" s="1"/>
      </tp>
      <tp t="s">
        <v>#N/A N/A</v>
        <stp/>
        <stp>BDP|17486034530037115314</stp>
        <tr r="AA1236" s="1"/>
      </tp>
      <tp t="s">
        <v>#N/A N/A</v>
        <stp/>
        <stp>BDP|13231749974800792323</stp>
        <tr r="AA1097" s="1"/>
      </tp>
      <tp t="s">
        <v>#N/A N/A</v>
        <stp/>
        <stp>BDP|12674499453884867731</stp>
        <tr r="Z454" s="1"/>
      </tp>
      <tp t="s">
        <v>#N/A N/A</v>
        <stp/>
        <stp>BDP|17045215637500207634</stp>
        <tr r="AA895" s="1"/>
      </tp>
      <tp t="s">
        <v>#N/A N/A</v>
        <stp/>
        <stp>BDP|16274206356158139924</stp>
        <tr r="Y760" s="1"/>
      </tp>
      <tp t="s">
        <v>#N/A N/A</v>
        <stp/>
        <stp>BDP|15099629875327435347</stp>
        <tr r="AA152" s="1"/>
      </tp>
      <tp t="s">
        <v>#N/A N/A</v>
        <stp/>
        <stp>BDP|12338050762065609154</stp>
        <tr r="Y911" s="1"/>
      </tp>
      <tp t="s">
        <v>#N/A N/A</v>
        <stp/>
        <stp>BDP|14210444728386912401</stp>
        <tr r="Z819" s="1"/>
      </tp>
      <tp t="s">
        <v>#N/A N/A</v>
        <stp/>
        <stp>BDP|15648645808364964742</stp>
        <tr r="AA86" s="1"/>
      </tp>
      <tp t="s">
        <v>#N/A N/A</v>
        <stp/>
        <stp>BDP|12423312135343315147</stp>
        <tr r="Y180" s="1"/>
      </tp>
      <tp t="s">
        <v>#N/A N/A</v>
        <stp/>
        <stp>BDP|18038360483721231203</stp>
        <tr r="Y615" s="1"/>
      </tp>
      <tp t="s">
        <v>#N/A N/A</v>
        <stp/>
        <stp>BDP|10223925795464474460</stp>
        <tr r="Z1040" s="1"/>
      </tp>
      <tp t="s">
        <v>#N/A N/A</v>
        <stp/>
        <stp>BDP|11939608860918905969</stp>
        <tr r="Z1225" s="1"/>
      </tp>
      <tp t="s">
        <v>#N/A N/A</v>
        <stp/>
        <stp>BDP|17168204939873904577</stp>
        <tr r="AA256" s="1"/>
      </tp>
      <tp t="s">
        <v>#N/A N/A</v>
        <stp/>
        <stp>BDP|10773864986322044217</stp>
        <tr r="AA995" s="1"/>
      </tp>
      <tp t="s">
        <v>#N/A N/A</v>
        <stp/>
        <stp>BDP|14450493304767855776</stp>
        <tr r="Z867" s="1"/>
      </tp>
      <tp t="s">
        <v>#N/A N/A</v>
        <stp/>
        <stp>BDP|18123590568659569233</stp>
        <tr r="AA644" s="1"/>
      </tp>
      <tp t="s">
        <v>#N/A N/A</v>
        <stp/>
        <stp>BDP|13871541228374555077</stp>
        <tr r="AA99" s="1"/>
      </tp>
      <tp t="s">
        <v>#N/A N/A</v>
        <stp/>
        <stp>BDP|11161280719546550433</stp>
        <tr r="Z231" s="1"/>
      </tp>
      <tp t="s">
        <v>#N/A N/A</v>
        <stp/>
        <stp>BDP|16723444870800817424</stp>
        <tr r="Y830" s="1"/>
      </tp>
      <tp t="s">
        <v>#N/A N/A</v>
        <stp/>
        <stp>BDP|18090687907147201844</stp>
        <tr r="AA627" s="1"/>
      </tp>
      <tp t="s">
        <v>#N/A N/A</v>
        <stp/>
        <stp>BDP|16459794606796548679</stp>
        <tr r="Z1072" s="1"/>
      </tp>
      <tp t="s">
        <v>#N/A N/A</v>
        <stp/>
        <stp>BDP|17659791090348341059</stp>
        <tr r="Y657" s="1"/>
      </tp>
      <tp t="s">
        <v>#N/A N/A</v>
        <stp/>
        <stp>BDP|17806581929631714074</stp>
        <tr r="Y987" s="1"/>
      </tp>
      <tp t="s">
        <v>#N/A N/A</v>
        <stp/>
        <stp>BDP|11153657591769941656</stp>
        <tr r="Y974" s="1"/>
      </tp>
      <tp t="s">
        <v>#N/A N/A</v>
        <stp/>
        <stp>BDP|14024028322994005389</stp>
        <tr r="Z499" s="1"/>
      </tp>
      <tp t="s">
        <v>#N/A N/A</v>
        <stp/>
        <stp>BDP|12973202140511654478</stp>
        <tr r="Y955" s="1"/>
      </tp>
      <tp t="s">
        <v>#N/A N/A</v>
        <stp/>
        <stp>BDP|11484272364944918067</stp>
        <tr r="Y959" s="1"/>
      </tp>
      <tp t="s">
        <v>#N/A N/A</v>
        <stp/>
        <stp>BDP|16360788952127374213</stp>
        <tr r="Z775" s="1"/>
      </tp>
      <tp t="s">
        <v>#N/A N/A</v>
        <stp/>
        <stp>BDP|11900800680903775356</stp>
        <tr r="Y601" s="1"/>
      </tp>
      <tp t="s">
        <v>#N/A N/A</v>
        <stp/>
        <stp>BDP|17614936903158824758</stp>
        <tr r="AA780" s="1"/>
      </tp>
      <tp t="s">
        <v>#N/A N/A</v>
        <stp/>
        <stp>BDP|10709993798177451694</stp>
        <tr r="AA1170" s="1"/>
      </tp>
      <tp t="s">
        <v>#N/A N/A</v>
        <stp/>
        <stp>BDP|12107996910358677352</stp>
        <tr r="AA60" s="1"/>
      </tp>
      <tp t="s">
        <v>#N/A N/A</v>
        <stp/>
        <stp>BDP|16549469569480608561</stp>
        <tr r="Y361" s="1"/>
      </tp>
      <tp t="s">
        <v>#N/A N/A</v>
        <stp/>
        <stp>BDP|11592269663745892122</stp>
        <tr r="Y480" s="1"/>
      </tp>
      <tp t="s">
        <v>#N/A N/A</v>
        <stp/>
        <stp>BDP|13880379805635229429</stp>
        <tr r="Z1030" s="1"/>
      </tp>
      <tp t="s">
        <v>#N/A N/A</v>
        <stp/>
        <stp>BDP|13090143544665994237</stp>
        <tr r="AA396" s="1"/>
      </tp>
      <tp t="s">
        <v>#N/A N/A</v>
        <stp/>
        <stp>BDP|10961744704374357200</stp>
        <tr r="AA877" s="1"/>
      </tp>
      <tp t="s">
        <v>#N/A N/A</v>
        <stp/>
        <stp>BDP|16466785811521696060</stp>
        <tr r="Z680" s="1"/>
      </tp>
      <tp t="s">
        <v>#N/A N/A</v>
        <stp/>
        <stp>BDP|11088774904634854363</stp>
        <tr r="Z128" s="1"/>
      </tp>
      <tp t="s">
        <v>#N/A N/A</v>
        <stp/>
        <stp>BDP|11396874933132282985</stp>
        <tr r="AA811" s="1"/>
      </tp>
      <tp t="s">
        <v>#N/A N/A</v>
        <stp/>
        <stp>BDP|12556015725795868440</stp>
        <tr r="Z437" s="1"/>
      </tp>
      <tp t="s">
        <v>#N/A N/A</v>
        <stp/>
        <stp>BDP|15344289726173698765</stp>
        <tr r="AA6" s="1"/>
      </tp>
      <tp t="s">
        <v>#N/A N/A</v>
        <stp/>
        <stp>BDP|12607145659172052567</stp>
        <tr r="Z540" s="1"/>
      </tp>
      <tp t="s">
        <v>#N/A N/A</v>
        <stp/>
        <stp>BDP|11122600027394872032</stp>
        <tr r="Y1096" s="1"/>
      </tp>
      <tp t="s">
        <v>#N/A N/A</v>
        <stp/>
        <stp>BDP|11695623008304886295</stp>
        <tr r="Y1228" s="1"/>
      </tp>
      <tp t="s">
        <v>#N/A N/A</v>
        <stp/>
        <stp>BDP|17418395715563526719</stp>
        <tr r="Y687" s="1"/>
      </tp>
      <tp t="s">
        <v>#N/A N/A</v>
        <stp/>
        <stp>BDP|15626597562803530447</stp>
        <tr r="Y1247" s="1"/>
      </tp>
      <tp t="s">
        <v>#N/A N/A</v>
        <stp/>
        <stp>BDP|14837165172211346238</stp>
        <tr r="AA254" s="1"/>
      </tp>
      <tp t="s">
        <v>#N/A N/A</v>
        <stp/>
        <stp>BDP|12561384566912156466</stp>
        <tr r="Z636" s="1"/>
      </tp>
      <tp t="s">
        <v>#N/A N/A</v>
        <stp/>
        <stp>BDP|14582207769366851781</stp>
        <tr r="Y1059" s="1"/>
      </tp>
      <tp t="s">
        <v>#N/A N/A</v>
        <stp/>
        <stp>BDP|14028774916715530680</stp>
        <tr r="Z1016" s="1"/>
      </tp>
      <tp t="s">
        <v>#N/A N/A</v>
        <stp/>
        <stp>BDP|11891564971583218118</stp>
        <tr r="AA806" s="1"/>
      </tp>
      <tp t="s">
        <v>#N/A N/A</v>
        <stp/>
        <stp>BDP|15042657300686158487</stp>
        <tr r="AA209" s="1"/>
      </tp>
      <tp t="s">
        <v>#N/A N/A</v>
        <stp/>
        <stp>BDP|14832473900327400675</stp>
        <tr r="Y714" s="1"/>
      </tp>
      <tp t="s">
        <v>#N/A N/A</v>
        <stp/>
        <stp>BDP|18168803868060717720</stp>
        <tr r="Y1023" s="1"/>
      </tp>
      <tp t="s">
        <v>#N/A N/A</v>
        <stp/>
        <stp>BDP|11886760776837780702</stp>
        <tr r="Y294" s="1"/>
      </tp>
      <tp t="s">
        <v>#N/A N/A</v>
        <stp/>
        <stp>BDP|14278975489936034231</stp>
        <tr r="Z385" s="1"/>
      </tp>
      <tp t="s">
        <v>#N/A N/A</v>
        <stp/>
        <stp>BDP|12383651776923694191</stp>
        <tr r="Z1158" s="1"/>
      </tp>
      <tp t="s">
        <v>#N/A N/A</v>
        <stp/>
        <stp>BDP|13570198421050025122</stp>
        <tr r="Z1260" s="1"/>
      </tp>
      <tp t="s">
        <v>#N/A N/A</v>
        <stp/>
        <stp>BDP|11601900959625516957</stp>
        <tr r="Z700" s="1"/>
      </tp>
      <tp t="s">
        <v>#N/A N/A</v>
        <stp/>
        <stp>BDP|18344683695777338124</stp>
        <tr r="Z725" s="1"/>
      </tp>
      <tp t="s">
        <v>#N/A N/A</v>
        <stp/>
        <stp>BDP|10771250966846385381</stp>
        <tr r="Y1026" s="1"/>
      </tp>
      <tp t="s">
        <v>#N/A N/A</v>
        <stp/>
        <stp>BDP|12373608544593967206</stp>
        <tr r="Z1302" s="1"/>
      </tp>
      <tp t="s">
        <v>#N/A N/A</v>
        <stp/>
        <stp>BDP|17426559899262078867</stp>
        <tr r="AA1121" s="1"/>
      </tp>
      <tp t="s">
        <v>#N/A N/A</v>
        <stp/>
        <stp>BDP|10276881487018768941</stp>
        <tr r="AA490" s="1"/>
      </tp>
      <tp t="s">
        <v>#N/A N/A</v>
        <stp/>
        <stp>BDP|15854947190494183039</stp>
        <tr r="Z247" s="1"/>
      </tp>
      <tp t="s">
        <v>#N/A N/A</v>
        <stp/>
        <stp>BDP|11256206941062595470</stp>
        <tr r="Y1005" s="1"/>
      </tp>
      <tp t="s">
        <v>#N/A N/A</v>
        <stp/>
        <stp>BDP|12343783599345786846</stp>
        <tr r="AA181" s="1"/>
      </tp>
      <tp t="s">
        <v>#N/A N/A</v>
        <stp/>
        <stp>BDP|11318282556085585293</stp>
        <tr r="Z527" s="1"/>
      </tp>
      <tp t="s">
        <v>#N/A N/A</v>
        <stp/>
        <stp>BDP|11083265961554168070</stp>
        <tr r="Z999" s="1"/>
      </tp>
      <tp t="s">
        <v>#N/A N/A</v>
        <stp/>
        <stp>BDP|13002350084160472945</stp>
        <tr r="AA1044" s="1"/>
      </tp>
      <tp t="s">
        <v>#N/A N/A</v>
        <stp/>
        <stp>BDP|10021301792473699859</stp>
        <tr r="Y930" s="1"/>
      </tp>
      <tp t="s">
        <v>#N/A N/A</v>
        <stp/>
        <stp>BDP|17713834093926100178</stp>
        <tr r="Y77" s="1"/>
      </tp>
      <tp t="s">
        <v>#N/A N/A</v>
        <stp/>
        <stp>BDP|13296361767750638757</stp>
        <tr r="Z22" s="1"/>
      </tp>
      <tp t="s">
        <v>#N/A N/A</v>
        <stp/>
        <stp>BDP|15486077411033604646</stp>
        <tr r="Z918" s="1"/>
      </tp>
      <tp t="s">
        <v>#N/A N/A</v>
        <stp/>
        <stp>BDP|17458643829965193788</stp>
        <tr r="Z912" s="1"/>
      </tp>
      <tp t="s">
        <v>#N/A N/A</v>
        <stp/>
        <stp>BDP|15755607803925358770</stp>
        <tr r="Y1159" s="1"/>
      </tp>
      <tp t="s">
        <v>#N/A N/A</v>
        <stp/>
        <stp>BDP|16672719110161464037</stp>
        <tr r="Z1204" s="1"/>
      </tp>
      <tp t="s">
        <v>#N/A N/A</v>
        <stp/>
        <stp>BDP|18146381088333323127</stp>
        <tr r="Y367" s="1"/>
      </tp>
      <tp t="s">
        <v>#N/A N/A</v>
        <stp/>
        <stp>BDP|14748741142284264231</stp>
        <tr r="Y1046" s="1"/>
      </tp>
      <tp t="s">
        <v>#N/A N/A</v>
        <stp/>
        <stp>BDP|16236373338355916245</stp>
        <tr r="Y193" s="1"/>
      </tp>
      <tp t="s">
        <v>#N/A N/A</v>
        <stp/>
        <stp>BDP|17715597326849805808</stp>
        <tr r="Z849" s="1"/>
      </tp>
      <tp t="s">
        <v>#N/A N/A</v>
        <stp/>
        <stp>BDP|11752362971407077301</stp>
        <tr r="Z460" s="1"/>
      </tp>
      <tp t="s">
        <v>#N/A N/A</v>
        <stp/>
        <stp>BDP|14025167227213730561</stp>
        <tr r="Y710" s="1"/>
      </tp>
      <tp t="s">
        <v>#N/A N/A</v>
        <stp/>
        <stp>BDP|11493446220185453372</stp>
        <tr r="AA1314" s="1"/>
      </tp>
      <tp t="s">
        <v>#N/A N/A</v>
        <stp/>
        <stp>BDP|17760923889565891278</stp>
        <tr r="Z1181" s="1"/>
      </tp>
      <tp t="s">
        <v>#N/A N/A</v>
        <stp/>
        <stp>BDP|11439649906121295774</stp>
        <tr r="Z325" s="1"/>
      </tp>
      <tp t="s">
        <v>#N/A N/A</v>
        <stp/>
        <stp>BDP|13416250967265034354</stp>
        <tr r="AA843" s="1"/>
      </tp>
      <tp t="s">
        <v>#N/A N/A</v>
        <stp/>
        <stp>BDP|15276925983191513456</stp>
        <tr r="Y452" s="1"/>
      </tp>
      <tp t="s">
        <v>#N/A N/A</v>
        <stp/>
        <stp>BDP|14160165198699462498</stp>
        <tr r="Z450" s="1"/>
      </tp>
      <tp t="s">
        <v>#N/A N/A</v>
        <stp/>
        <stp>BDP|18271639473511432943</stp>
        <tr r="AA1227" s="1"/>
      </tp>
      <tp t="s">
        <v>#N/A N/A</v>
        <stp/>
        <stp>BDP|16560736905338733869</stp>
        <tr r="Y1252" s="1"/>
      </tp>
      <tp t="s">
        <v>#N/A N/A</v>
        <stp/>
        <stp>BDP|12398575020387301351</stp>
        <tr r="AA505" s="1"/>
      </tp>
      <tp t="s">
        <v>#N/A N/A</v>
        <stp/>
        <stp>BDP|17712570840181508671</stp>
        <tr r="Y741" s="1"/>
      </tp>
      <tp t="s">
        <v>#N/A N/A</v>
        <stp/>
        <stp>BDP|16533202616954113008</stp>
        <tr r="AA1143" s="1"/>
      </tp>
      <tp t="s">
        <v>#N/A N/A</v>
        <stp/>
        <stp>BDP|10902458592705590991</stp>
        <tr r="Y171" s="1"/>
      </tp>
      <tp t="s">
        <v>#N/A N/A</v>
        <stp/>
        <stp>BDP|12294478056315937785</stp>
        <tr r="Y455" s="1"/>
      </tp>
      <tp t="s">
        <v>#N/A N/A</v>
        <stp/>
        <stp>BDP|15183274108431893739</stp>
        <tr r="Y490" s="1"/>
      </tp>
      <tp t="s">
        <v>#N/A N/A</v>
        <stp/>
        <stp>BDP|11655316845221211650</stp>
        <tr r="Z252" s="1"/>
      </tp>
      <tp t="s">
        <v>#N/A N/A</v>
        <stp/>
        <stp>BDP|17562405035263333266</stp>
        <tr r="Y163" s="1"/>
      </tp>
      <tp t="s">
        <v>#N/A N/A</v>
        <stp/>
        <stp>BDP|17879085527586685255</stp>
        <tr r="Z45" s="1"/>
      </tp>
      <tp t="s">
        <v>#N/A N/A</v>
        <stp/>
        <stp>BDP|11868481028597893141</stp>
        <tr r="Z564" s="1"/>
      </tp>
      <tp t="s">
        <v>#N/A N/A</v>
        <stp/>
        <stp>BDP|11132702733655476128</stp>
        <tr r="Y182" s="1"/>
      </tp>
      <tp t="s">
        <v>#N/A N/A</v>
        <stp/>
        <stp>BDP|16188750641781172504</stp>
        <tr r="AA840" s="1"/>
      </tp>
      <tp t="s">
        <v>#N/A N/A</v>
        <stp/>
        <stp>BDP|16475307257700551120</stp>
        <tr r="Z825" s="1"/>
      </tp>
      <tp t="s">
        <v>#N/A N/A</v>
        <stp/>
        <stp>BDP|14641351476732955386</stp>
        <tr r="Y381" s="1"/>
      </tp>
      <tp t="s">
        <v>#N/A N/A</v>
        <stp/>
        <stp>BDP|10715106144014070076</stp>
        <tr r="Z412" s="1"/>
      </tp>
      <tp t="s">
        <v>#N/A N/A</v>
        <stp/>
        <stp>BDP|11229341414000797222</stp>
        <tr r="Y853" s="1"/>
      </tp>
      <tp t="s">
        <v>#N/A N/A</v>
        <stp/>
        <stp>BDP|16331283047114291596</stp>
        <tr r="Z417" s="1"/>
      </tp>
      <tp t="s">
        <v>#N/A N/A</v>
        <stp/>
        <stp>BDP|11150630401730605621</stp>
        <tr r="AA751" s="1"/>
      </tp>
      <tp t="s">
        <v>#N/A N/A</v>
        <stp/>
        <stp>BDP|13652036230242201301</stp>
        <tr r="Z516" s="1"/>
      </tp>
      <tp t="s">
        <v>#N/A N/A</v>
        <stp/>
        <stp>BDP|15443231374007615624</stp>
        <tr r="Z672" s="1"/>
      </tp>
      <tp t="s">
        <v>#N/A N/A</v>
        <stp/>
        <stp>BDP|17424064873125610401</stp>
        <tr r="AA1153" s="1"/>
      </tp>
      <tp t="s">
        <v>#N/A N/A</v>
        <stp/>
        <stp>BDP|18121957401377517770</stp>
        <tr r="AA42" s="1"/>
      </tp>
      <tp t="s">
        <v>#N/A N/A</v>
        <stp/>
        <stp>BDP|10917115872205962245</stp>
        <tr r="Z1057" s="1"/>
      </tp>
      <tp t="s">
        <v>#N/A N/A</v>
        <stp/>
        <stp>BDP|13485246090351081870</stp>
        <tr r="Y933" s="1"/>
      </tp>
      <tp t="s">
        <v>#N/A N/A</v>
        <stp/>
        <stp>BDP|13879507962794995557</stp>
        <tr r="Y949" s="1"/>
      </tp>
      <tp t="s">
        <v>#N/A N/A</v>
        <stp/>
        <stp>BDP|10040552692425380822</stp>
        <tr r="Y847" s="1"/>
      </tp>
      <tp t="s">
        <v>#N/A N/A</v>
        <stp/>
        <stp>BDP|14631417261853631467</stp>
        <tr r="AA1250" s="1"/>
      </tp>
      <tp t="s">
        <v>#N/A N/A</v>
        <stp/>
        <stp>BDP|11511280254953945460</stp>
        <tr r="Z638" s="1"/>
      </tp>
      <tp t="s">
        <v>#N/A N/A</v>
        <stp/>
        <stp>BDP|17521275248087427786</stp>
        <tr r="AA614" s="1"/>
      </tp>
      <tp t="s">
        <v>#N/A N/A</v>
        <stp/>
        <stp>BDP|14475022111600959481</stp>
        <tr r="Y76" s="1"/>
      </tp>
      <tp t="s">
        <v>#N/A N/A</v>
        <stp/>
        <stp>BDP|15046623242282424422</stp>
        <tr r="Z276" s="1"/>
      </tp>
      <tp t="s">
        <v>#N/A N/A</v>
        <stp/>
        <stp>BDP|13371997107385402908</stp>
        <tr r="Y126" s="1"/>
      </tp>
      <tp t="s">
        <v>#N/A N/A</v>
        <stp/>
        <stp>BDP|14193431639821781454</stp>
        <tr r="Y165" s="1"/>
      </tp>
      <tp t="s">
        <v>#N/A N/A</v>
        <stp/>
        <stp>BDP|15190697490289264538</stp>
        <tr r="AA684" s="1"/>
      </tp>
      <tp t="s">
        <v>#N/A N/A</v>
        <stp/>
        <stp>BDP|13867749159097421097</stp>
        <tr r="AA378" s="1"/>
      </tp>
      <tp t="s">
        <v>#N/A N/A</v>
        <stp/>
        <stp>BDP|14808034822174746468</stp>
        <tr r="AA789" s="1"/>
      </tp>
      <tp t="s">
        <v>#N/A N/A</v>
        <stp/>
        <stp>BDP|13565257543994355782</stp>
        <tr r="AA33" s="1"/>
      </tp>
      <tp t="s">
        <v>#N/A N/A</v>
        <stp/>
        <stp>BDP|14116731052932848203</stp>
        <tr r="Y856" s="1"/>
      </tp>
      <tp t="s">
        <v>#N/A N/A</v>
        <stp/>
        <stp>BDP|15923503007287263145</stp>
        <tr r="Z359" s="1"/>
      </tp>
      <tp t="s">
        <v>#N/A N/A</v>
        <stp/>
        <stp>BDP|16734553723187927006</stp>
        <tr r="AA562" s="1"/>
      </tp>
      <tp t="s">
        <v>#N/A N/A</v>
        <stp/>
        <stp>BDP|12859795376047595393</stp>
        <tr r="Z192" s="1"/>
      </tp>
      <tp t="s">
        <v>#N/A N/A</v>
        <stp/>
        <stp>BDP|10953677227130288201</stp>
        <tr r="AA361" s="1"/>
      </tp>
      <tp t="s">
        <v>#N/A N/A</v>
        <stp/>
        <stp>BDP|12387084895568710521</stp>
        <tr r="Z850" s="1"/>
      </tp>
      <tp t="s">
        <v>#N/A N/A</v>
        <stp/>
        <stp>BDP|13698290937225669152</stp>
        <tr r="Y676" s="1"/>
      </tp>
      <tp t="s">
        <v>#N/A N/A</v>
        <stp/>
        <stp>BDP|12789470961336343099</stp>
        <tr r="Z379" s="1"/>
      </tp>
      <tp t="s">
        <v>#N/A N/A</v>
        <stp/>
        <stp>BDP|13611692095969791366</stp>
        <tr r="Y256" s="1"/>
      </tp>
      <tp t="s">
        <v>#N/A N/A</v>
        <stp/>
        <stp>BDP|10835469927257047737</stp>
        <tr r="Z298" s="1"/>
      </tp>
      <tp t="s">
        <v>#N/A N/A</v>
        <stp/>
        <stp>BDP|16302446515737184292</stp>
        <tr r="Y284" s="1"/>
      </tp>
      <tp t="s">
        <v>#N/A N/A</v>
        <stp/>
        <stp>BDP|12075229579982395327</stp>
        <tr r="Z274" s="1"/>
      </tp>
      <tp t="s">
        <v>#N/A N/A</v>
        <stp/>
        <stp>BDP|13286488326290391352</stp>
        <tr r="Z830" s="1"/>
      </tp>
      <tp t="s">
        <v>#N/A N/A</v>
        <stp/>
        <stp>BDP|18057809550155993637</stp>
        <tr r="AA857" s="1"/>
      </tp>
      <tp t="s">
        <v>#N/A N/A</v>
        <stp/>
        <stp>BDP|17087462970692974058</stp>
        <tr r="Y958" s="1"/>
      </tp>
      <tp t="s">
        <v>#N/A N/A</v>
        <stp/>
        <stp>BDP|12288262193158989743</stp>
        <tr r="Y75" s="1"/>
      </tp>
      <tp t="s">
        <v>#N/A N/A</v>
        <stp/>
        <stp>BDP|10936144176923493357</stp>
        <tr r="Y226" s="1"/>
      </tp>
      <tp t="s">
        <v>#N/A N/A</v>
        <stp/>
        <stp>BDP|13822213457552503014</stp>
        <tr r="Z278" s="1"/>
      </tp>
      <tp t="s">
        <v>#N/A N/A</v>
        <stp/>
        <stp>BDP|16108524269452529157</stp>
        <tr r="Y834" s="1"/>
      </tp>
      <tp t="s">
        <v>#N/A N/A</v>
        <stp/>
        <stp>BDP|14695209420731537390</stp>
        <tr r="AA433" s="1"/>
      </tp>
      <tp t="s">
        <v>#N/A N/A</v>
        <stp/>
        <stp>BDP|15827560196906187937</stp>
        <tr r="AA737" s="1"/>
      </tp>
      <tp t="s">
        <v>#N/A N/A</v>
        <stp/>
        <stp>BDP|11717547730612888365</stp>
        <tr r="Z1060" s="1"/>
      </tp>
      <tp t="s">
        <v>#N/A N/A</v>
        <stp/>
        <stp>BDP|18438276270832979977</stp>
        <tr r="Z121" s="1"/>
      </tp>
      <tp t="s">
        <v>#N/A N/A</v>
        <stp/>
        <stp>BDP|14819011920009727934</stp>
        <tr r="Z383" s="1"/>
      </tp>
      <tp t="s">
        <v>#N/A N/A</v>
        <stp/>
        <stp>BDP|14493972680713739086</stp>
        <tr r="Z916" s="1"/>
      </tp>
      <tp t="s">
        <v>#N/A N/A</v>
        <stp/>
        <stp>BDP|14567144730407919748</stp>
        <tr r="AA98" s="1"/>
      </tp>
      <tp t="s">
        <v>#N/A N/A</v>
        <stp/>
        <stp>BDP|13547179369033566124</stp>
        <tr r="Y389" s="1"/>
      </tp>
      <tp t="s">
        <v>#N/A N/A</v>
        <stp/>
        <stp>BDP|10172139594087818921</stp>
        <tr r="Z864" s="1"/>
      </tp>
      <tp t="s">
        <v>#N/A N/A</v>
        <stp/>
        <stp>BDP|14109852088817330535</stp>
        <tr r="AA927" s="1"/>
      </tp>
      <tp t="s">
        <v>#N/A N/A</v>
        <stp/>
        <stp>BDP|16974524631396137070</stp>
        <tr r="Y290" s="1"/>
      </tp>
      <tp t="s">
        <v>#N/A N/A</v>
        <stp/>
        <stp>BDP|16381657162448906819</stp>
        <tr r="Y529" s="1"/>
      </tp>
      <tp t="s">
        <v>#N/A N/A</v>
        <stp/>
        <stp>BDP|10174397752762013267</stp>
        <tr r="Z469" s="1"/>
      </tp>
      <tp t="s">
        <v>#N/A N/A</v>
        <stp/>
        <stp>BDP|14782479037931896431</stp>
        <tr r="Z318" s="1"/>
      </tp>
      <tp t="s">
        <v>#N/A N/A</v>
        <stp/>
        <stp>BDP|17699020040765316084</stp>
        <tr r="AA683" s="1"/>
      </tp>
      <tp t="s">
        <v>#N/A N/A</v>
        <stp/>
        <stp>BDP|10380094965655685568</stp>
        <tr r="Y696" s="1"/>
      </tp>
      <tp t="s">
        <v>#N/A N/A</v>
        <stp/>
        <stp>BDP|15040417714460982631</stp>
        <tr r="Z7" s="1"/>
      </tp>
      <tp t="s">
        <v>#N/A N/A</v>
        <stp/>
        <stp>BDP|11850414901632619115</stp>
        <tr r="AA882" s="1"/>
      </tp>
      <tp t="s">
        <v>#N/A N/A</v>
        <stp/>
        <stp>BDP|12876233606345735355</stp>
        <tr r="Z141" s="1"/>
      </tp>
      <tp t="s">
        <v>#N/A N/A</v>
        <stp/>
        <stp>BDP|12728283310482049507</stp>
        <tr r="Y1205" s="1"/>
      </tp>
      <tp t="s">
        <v>#N/A N/A</v>
        <stp/>
        <stp>BDP|16855504526012449550</stp>
        <tr r="AA695" s="1"/>
      </tp>
      <tp t="s">
        <v>#N/A N/A</v>
        <stp/>
        <stp>BDP|17810822113908300043</stp>
        <tr r="Z492" s="1"/>
      </tp>
      <tp t="s">
        <v>#N/A N/A</v>
        <stp/>
        <stp>BDP|18440777173397790995</stp>
        <tr r="AA769" s="1"/>
      </tp>
      <tp t="s">
        <v>#N/A N/A</v>
        <stp/>
        <stp>BDP|10615392431571377733</stp>
        <tr r="AA18" s="1"/>
      </tp>
      <tp t="s">
        <v>#N/A N/A</v>
        <stp/>
        <stp>BDP|11961843922705676874</stp>
        <tr r="Y1165" s="1"/>
      </tp>
      <tp t="s">
        <v>#N/A N/A</v>
        <stp/>
        <stp>BDP|11905558943047594141</stp>
        <tr r="AA340" s="1"/>
      </tp>
      <tp t="s">
        <v>#N/A N/A</v>
        <stp/>
        <stp>BDP|16926130342653640606</stp>
        <tr r="Y164" s="1"/>
      </tp>
      <tp t="s">
        <v>#N/A N/A</v>
        <stp/>
        <stp>BDP|14446006661907321372</stp>
        <tr r="AA197" s="1"/>
      </tp>
      <tp t="s">
        <v>#N/A N/A</v>
        <stp/>
        <stp>BDP|16967483162030485266</stp>
        <tr r="Y894" s="1"/>
      </tp>
      <tp t="s">
        <v>#N/A N/A</v>
        <stp/>
        <stp>BDP|10753140272073669369</stp>
        <tr r="AA621" s="1"/>
      </tp>
      <tp t="s">
        <v>#N/A N/A</v>
        <stp/>
        <stp>BDP|13763977668852928802</stp>
        <tr r="Z130" s="1"/>
      </tp>
      <tp t="s">
        <v>#N/A N/A</v>
        <stp/>
        <stp>BDP|14684565121640935590</stp>
        <tr r="Y287" s="1"/>
      </tp>
      <tp t="s">
        <v>#N/A N/A</v>
        <stp/>
        <stp>BDP|10634349546907298675</stp>
        <tr r="AA1018" s="1"/>
      </tp>
      <tp t="s">
        <v>#N/A N/A</v>
        <stp/>
        <stp>BDP|17280680530156865230</stp>
        <tr r="Y805" s="1"/>
      </tp>
      <tp t="s">
        <v>#N/A N/A</v>
        <stp/>
        <stp>BDP|13495236824015552077</stp>
        <tr r="Y549" s="1"/>
      </tp>
      <tp t="s">
        <v>#N/A N/A</v>
        <stp/>
        <stp>BDP|10450701235304996693</stp>
        <tr r="Z340" s="1"/>
      </tp>
      <tp t="s">
        <v>#N/A N/A</v>
        <stp/>
        <stp>BDP|17814564937360847701</stp>
        <tr r="AA966" s="1"/>
      </tp>
      <tp t="s">
        <v>#N/A N/A</v>
        <stp/>
        <stp>BDP|10030400980009614370</stp>
        <tr r="Y291" s="1"/>
      </tp>
      <tp t="s">
        <v>#N/A N/A</v>
        <stp/>
        <stp>BDP|13025447855183631765</stp>
        <tr r="Y197" s="1"/>
      </tp>
      <tp t="s">
        <v>#N/A N/A</v>
        <stp/>
        <stp>BDP|13270758435913318207</stp>
        <tr r="AA821" s="1"/>
      </tp>
      <tp t="s">
        <v>#N/A N/A</v>
        <stp/>
        <stp>BDP|14727396842290852553</stp>
        <tr r="Z56" s="1"/>
      </tp>
      <tp t="s">
        <v>#N/A N/A</v>
        <stp/>
        <stp>BDP|17462733837764643171</stp>
        <tr r="Z894" s="1"/>
      </tp>
      <tp t="s">
        <v>#N/A N/A</v>
        <stp/>
        <stp>BDP|15364487534724806060</stp>
        <tr r="AA183" s="1"/>
      </tp>
      <tp t="s">
        <v>#N/A N/A</v>
        <stp/>
        <stp>BDP|16490781639921668522</stp>
        <tr r="AA605" s="1"/>
      </tp>
      <tp t="s">
        <v>#N/A N/A</v>
        <stp/>
        <stp>BDP|16899014058962974797</stp>
        <tr r="Y662" s="1"/>
      </tp>
      <tp t="s">
        <v>#N/A N/A</v>
        <stp/>
        <stp>BDP|16573933394272750247</stp>
        <tr r="Z547" s="1"/>
      </tp>
      <tp t="s">
        <v>#N/A N/A</v>
        <stp/>
        <stp>BDP|11482373050745508467</stp>
        <tr r="AA1265" s="1"/>
      </tp>
      <tp t="s">
        <v>#N/A N/A</v>
        <stp/>
        <stp>BDP|12754016223214595200</stp>
        <tr r="Z316" s="1"/>
      </tp>
      <tp t="s">
        <v>#N/A N/A</v>
        <stp/>
        <stp>BDP|17895828123263897814</stp>
        <tr r="Y557" s="1"/>
      </tp>
      <tp t="s">
        <v>#N/A N/A</v>
        <stp/>
        <stp>BDP|11204364644722483248</stp>
        <tr r="Z482" s="1"/>
      </tp>
      <tp t="s">
        <v>#N/A N/A</v>
        <stp/>
        <stp>BDP|14131432231511005436</stp>
        <tr r="AA77" s="1"/>
      </tp>
      <tp t="s">
        <v>#N/A N/A</v>
        <stp/>
        <stp>BDP|13974732404440915272</stp>
        <tr r="AA1070" s="1"/>
      </tp>
      <tp t="s">
        <v>#N/A N/A</v>
        <stp/>
        <stp>BDP|15946611959683534340</stp>
        <tr r="Z238" s="1"/>
      </tp>
      <tp t="s">
        <v>#N/A N/A</v>
        <stp/>
        <stp>BDP|12197199978477339532</stp>
        <tr r="AA773" s="1"/>
      </tp>
      <tp t="s">
        <v>#N/A N/A</v>
        <stp/>
        <stp>BDP|13517125673247510429</stp>
        <tr r="AA803" s="1"/>
      </tp>
      <tp t="s">
        <v>#N/A N/A</v>
        <stp/>
        <stp>BDP|12704715036186489671</stp>
        <tr r="Y537" s="1"/>
      </tp>
      <tp t="s">
        <v>#N/A N/A</v>
        <stp/>
        <stp>BDP|10358573658612680494</stp>
        <tr r="Y377" s="1"/>
      </tp>
      <tp t="s">
        <v>#N/A N/A</v>
        <stp/>
        <stp>BDP|13792538100351444135</stp>
        <tr r="AA110" s="1"/>
      </tp>
      <tp t="s">
        <v>#N/A N/A</v>
        <stp/>
        <stp>BDP|11781166062396075608</stp>
        <tr r="AA284" s="1"/>
      </tp>
      <tp t="s">
        <v>#N/A N/A</v>
        <stp/>
        <stp>BDP|11955633801041028086</stp>
        <tr r="Y1112" s="1"/>
      </tp>
      <tp t="s">
        <v>#N/A N/A</v>
        <stp/>
        <stp>BDP|11476155997859780623</stp>
        <tr r="Z211" s="1"/>
      </tp>
      <tp t="s">
        <v>#N/A N/A</v>
        <stp/>
        <stp>BDP|16646852993132214311</stp>
        <tr r="Z600" s="1"/>
      </tp>
      <tp t="s">
        <v>#N/A N/A</v>
        <stp/>
        <stp>BDP|14931125415514875653</stp>
        <tr r="AA910" s="1"/>
      </tp>
      <tp t="s">
        <v>#N/A N/A</v>
        <stp/>
        <stp>BDP|15695268403171260023</stp>
        <tr r="AA1009" s="1"/>
      </tp>
      <tp t="s">
        <v>#N/A N/A</v>
        <stp/>
        <stp>BDP|13582071336477051160</stp>
        <tr r="AA119" s="1"/>
      </tp>
      <tp t="s">
        <v>#N/A N/A</v>
        <stp/>
        <stp>BDP|14319695646480723090</stp>
        <tr r="Z960" s="1"/>
      </tp>
      <tp t="s">
        <v>#N/A N/A</v>
        <stp/>
        <stp>BDP|17524385337477120693</stp>
        <tr r="Z72" s="1"/>
      </tp>
      <tp t="s">
        <v>#N/A N/A</v>
        <stp/>
        <stp>BDP|11402114167124529453</stp>
        <tr r="Z933" s="1"/>
      </tp>
      <tp t="s">
        <v>#N/A N/A</v>
        <stp/>
        <stp>BDP|12413315470819070900</stp>
        <tr r="Y124" s="1"/>
      </tp>
      <tp t="s">
        <v>#N/A N/A</v>
        <stp/>
        <stp>BDP|11543386948525450548</stp>
        <tr r="Z381" s="1"/>
      </tp>
      <tp t="s">
        <v>#N/A N/A</v>
        <stp/>
        <stp>BDP|15081748711773457643</stp>
        <tr r="Y1088" s="1"/>
      </tp>
      <tp t="s">
        <v>#N/A N/A</v>
        <stp/>
        <stp>BDP|17446681762862393382</stp>
        <tr r="AA815" s="1"/>
      </tp>
      <tp t="s">
        <v>#N/A N/A</v>
        <stp/>
        <stp>BDP|10184874787264214269</stp>
        <tr r="Y1204" s="1"/>
      </tp>
      <tp t="s">
        <v>#N/A N/A</v>
        <stp/>
        <stp>BDP|14879606638883177455</stp>
        <tr r="AA221" s="1"/>
      </tp>
      <tp t="s">
        <v>#N/A N/A</v>
        <stp/>
        <stp>BDP|18332739685662842396</stp>
        <tr r="Z590" s="1"/>
      </tp>
      <tp t="s">
        <v>#N/A N/A</v>
        <stp/>
        <stp>BDP|18434171156593833998</stp>
        <tr r="Y1027" s="1"/>
      </tp>
      <tp t="s">
        <v>#N/A N/A</v>
        <stp/>
        <stp>BDP|15330716410653536633</stp>
        <tr r="Z30" s="1"/>
      </tp>
      <tp t="s">
        <v>#N/A N/A</v>
        <stp/>
        <stp>BDP|10705742920451742202</stp>
        <tr r="Y79" s="1"/>
      </tp>
      <tp t="s">
        <v>#N/A N/A</v>
        <stp/>
        <stp>BDP|14506471978141838064</stp>
        <tr r="AA366" s="1"/>
      </tp>
      <tp t="s">
        <v>#N/A N/A</v>
        <stp/>
        <stp>BDP|13548077003426383369</stp>
        <tr r="Y519" s="1"/>
      </tp>
      <tp t="s">
        <v>#N/A N/A</v>
        <stp/>
        <stp>BDP|17998527492964662988</stp>
        <tr r="AA919" s="1"/>
      </tp>
      <tp t="s">
        <v>#N/A N/A</v>
        <stp/>
        <stp>BDP|11170705214465109439</stp>
        <tr r="AA1255" s="1"/>
      </tp>
      <tp t="s">
        <v>#N/A N/A</v>
        <stp/>
        <stp>BDP|15633656914021491543</stp>
        <tr r="Y945" s="1"/>
      </tp>
      <tp t="s">
        <v>#N/A N/A</v>
        <stp/>
        <stp>BDP|11787114719333945415</stp>
        <tr r="Y1274" s="1"/>
      </tp>
      <tp t="s">
        <v>#N/A N/A</v>
        <stp/>
        <stp>BDP|12836869080642054695</stp>
        <tr r="Z1243" s="1"/>
      </tp>
      <tp t="s">
        <v>#N/A N/A</v>
        <stp/>
        <stp>BDP|14165477471984558551</stp>
        <tr r="Y78" s="1"/>
      </tp>
      <tp t="s">
        <v>#N/A N/A</v>
        <stp/>
        <stp>BDP|11626973890352682509</stp>
        <tr r="Z586" s="1"/>
      </tp>
      <tp t="s">
        <v>#N/A N/A</v>
        <stp/>
        <stp>BDP|14107201647352077613</stp>
        <tr r="Z1226" s="1"/>
      </tp>
      <tp t="s">
        <v>#N/A N/A</v>
        <stp/>
        <stp>BDP|12102176066294213750</stp>
        <tr r="Y30" s="1"/>
      </tp>
      <tp t="s">
        <v>#N/A N/A</v>
        <stp/>
        <stp>BDP|13489567323290390251</stp>
        <tr r="Z919" s="1"/>
      </tp>
      <tp t="s">
        <v>#N/A N/A</v>
        <stp/>
        <stp>BDP|15963699645111549060</stp>
        <tr r="Y512" s="1"/>
      </tp>
      <tp t="s">
        <v>#N/A N/A</v>
        <stp/>
        <stp>BDP|16563494126711464789</stp>
        <tr r="Y770" s="1"/>
      </tp>
      <tp t="s">
        <v>#N/A N/A</v>
        <stp/>
        <stp>BDP|17926298765846658355</stp>
        <tr r="Z284" s="1"/>
      </tp>
      <tp t="s">
        <v>#N/A N/A</v>
        <stp/>
        <stp>BDP|14830482318576816164</stp>
        <tr r="Y215" s="1"/>
      </tp>
      <tp t="s">
        <v>#N/A N/A</v>
        <stp/>
        <stp>BDP|13597217107983264477</stp>
        <tr r="Y55" s="1"/>
      </tp>
      <tp t="s">
        <v>#N/A N/A</v>
        <stp/>
        <stp>BDP|10371303919751555593</stp>
        <tr r="Z738" s="1"/>
      </tp>
      <tp t="s">
        <v>#N/A N/A</v>
        <stp/>
        <stp>BDP|17161142420121641354</stp>
        <tr r="AA313" s="1"/>
      </tp>
      <tp t="s">
        <v>#N/A N/A</v>
        <stp/>
        <stp>BDP|15317447209665077283</stp>
        <tr r="Y617" s="1"/>
      </tp>
      <tp t="s">
        <v>#N/A N/A</v>
        <stp/>
        <stp>BDP|18037914727434967191</stp>
        <tr r="Y1215" s="1"/>
      </tp>
      <tp t="s">
        <v>#N/A N/A</v>
        <stp/>
        <stp>BDP|17542648763471959127</stp>
        <tr r="Z533" s="1"/>
      </tp>
      <tp t="s">
        <v>#N/A N/A</v>
        <stp/>
        <stp>BDP|13966977997936704271</stp>
        <tr r="Y597" s="1"/>
      </tp>
      <tp t="s">
        <v>#N/A N/A</v>
        <stp/>
        <stp>BDP|14118107976015905075</stp>
        <tr r="Y488" s="1"/>
      </tp>
      <tp t="s">
        <v>#N/A N/A</v>
        <stp/>
        <stp>BDP|16818584487974689887</stp>
        <tr r="AA1204" s="1"/>
      </tp>
      <tp t="s">
        <v>#N/A N/A</v>
        <stp/>
        <stp>BDP|12794376901623867508</stp>
        <tr r="Y450" s="1"/>
      </tp>
      <tp t="s">
        <v>#N/A N/A</v>
        <stp/>
        <stp>BDP|18222686637129028342</stp>
        <tr r="AA1281" s="1"/>
      </tp>
      <tp t="s">
        <v>#N/A N/A</v>
        <stp/>
        <stp>BDP|15074189923814748557</stp>
        <tr r="Z21" s="1"/>
      </tp>
      <tp t="s">
        <v>#N/A N/A</v>
        <stp/>
        <stp>BDP|18205099432955991984</stp>
        <tr r="Y472" s="1"/>
      </tp>
      <tp t="s">
        <v>#N/A N/A</v>
        <stp/>
        <stp>BDP|14819436761947622640</stp>
        <tr r="Y854" s="1"/>
      </tp>
      <tp t="s">
        <v>#N/A N/A</v>
        <stp/>
        <stp>BDP|15966961773374517819</stp>
        <tr r="AA548" s="1"/>
      </tp>
      <tp t="s">
        <v>#N/A N/A</v>
        <stp/>
        <stp>BDP|15394939959158757663</stp>
        <tr r="AA846" s="1"/>
      </tp>
      <tp t="s">
        <v>#N/A N/A</v>
        <stp/>
        <stp>BDP|17585584775280102218</stp>
        <tr r="Z525" s="1"/>
      </tp>
      <tp t="s">
        <v>#N/A N/A</v>
        <stp/>
        <stp>BDP|14640679369302416174</stp>
        <tr r="Y928" s="1"/>
      </tp>
      <tp t="s">
        <v>#N/A N/A</v>
        <stp/>
        <stp>BDP|14256741019924468101</stp>
        <tr r="Z875" s="1"/>
      </tp>
      <tp t="s">
        <v>#N/A N/A</v>
        <stp/>
        <stp>BDP|16055020108367543648</stp>
        <tr r="Z102" s="1"/>
      </tp>
      <tp t="s">
        <v>#N/A N/A</v>
        <stp/>
        <stp>BDP|17054880767909537716</stp>
        <tr r="AA1149" s="1"/>
      </tp>
      <tp t="s">
        <v>#N/A N/A</v>
        <stp/>
        <stp>BDP|10595761029401081319</stp>
        <tr r="Z549" s="1"/>
      </tp>
      <tp t="s">
        <v>#N/A N/A</v>
        <stp/>
        <stp>BDP|17987294919563733056</stp>
        <tr r="AA28" s="1"/>
      </tp>
      <tp t="s">
        <v>#N/A N/A</v>
        <stp/>
        <stp>BDP|16157135255561939455</stp>
        <tr r="Z718" s="1"/>
      </tp>
      <tp t="s">
        <v>#N/A N/A</v>
        <stp/>
        <stp>BDP|16375774702352552486</stp>
        <tr r="Y282" s="1"/>
      </tp>
      <tp t="s">
        <v>#N/A N/A</v>
        <stp/>
        <stp>BDP|16252060428194514722</stp>
        <tr r="Y463" s="1"/>
      </tp>
      <tp t="s">
        <v>#N/A N/A</v>
        <stp/>
        <stp>BDP|13957162113992028678</stp>
        <tr r="AA1147" s="1"/>
      </tp>
      <tp t="s">
        <v>#N/A N/A</v>
        <stp/>
        <stp>BDP|13568225868641492115</stp>
        <tr r="Z949" s="1"/>
      </tp>
      <tp t="s">
        <v>#N/A N/A</v>
        <stp/>
        <stp>BDP|13133745502724527780</stp>
        <tr r="AA904" s="1"/>
      </tp>
      <tp t="s">
        <v>#N/A N/A</v>
        <stp/>
        <stp>BDP|14867249373910347661</stp>
        <tr r="AA1185" s="1"/>
      </tp>
      <tp t="s">
        <v>#N/A N/A</v>
        <stp/>
        <stp>BDP|10827920233425145823</stp>
        <tr r="AA739" s="1"/>
      </tp>
      <tp t="s">
        <v>#N/A N/A</v>
        <stp/>
        <stp>BDP|10308179170985975470</stp>
        <tr r="Y191" s="1"/>
      </tp>
      <tp t="s">
        <v>#N/A N/A</v>
        <stp/>
        <stp>BDP|12126085027601078643</stp>
        <tr r="Y1086" s="1"/>
      </tp>
      <tp t="s">
        <v>#N/A N/A</v>
        <stp/>
        <stp>BDP|13529267325733908729</stp>
        <tr r="AA1237" s="1"/>
      </tp>
      <tp t="s">
        <v>#N/A N/A</v>
        <stp/>
        <stp>BDP|16333332831361407088</stp>
        <tr r="AA100" s="1"/>
      </tp>
      <tp t="s">
        <v>#N/A N/A</v>
        <stp/>
        <stp>BDP|14091137865743359783</stp>
        <tr r="Y1249" s="1"/>
      </tp>
      <tp t="s">
        <v>#N/A N/A</v>
        <stp/>
        <stp>BDP|15837577407133010458</stp>
        <tr r="AA724" s="1"/>
      </tp>
      <tp t="s">
        <v>#N/A N/A</v>
        <stp/>
        <stp>BDP|15539099732882575364</stp>
        <tr r="Z1065" s="1"/>
      </tp>
      <tp t="s">
        <v>#N/A N/A</v>
        <stp/>
        <stp>BDP|15300426005866030098</stp>
        <tr r="Y904" s="1"/>
      </tp>
      <tp t="s">
        <v>#N/A N/A</v>
        <stp/>
        <stp>BDP|10489126078934536560</stp>
        <tr r="AA1241" s="1"/>
      </tp>
      <tp t="s">
        <v>#N/A N/A</v>
        <stp/>
        <stp>BDP|18142799311581156859</stp>
        <tr r="Z76" s="1"/>
      </tp>
      <tp t="s">
        <v>#N/A N/A</v>
        <stp/>
        <stp>BDP|13955267012414374328</stp>
        <tr r="Y905" s="1"/>
      </tp>
      <tp t="s">
        <v>#N/A N/A</v>
        <stp/>
        <stp>BDP|17351242789752283801</stp>
        <tr r="Z1073" s="1"/>
      </tp>
      <tp t="s">
        <v>#N/A N/A</v>
        <stp/>
        <stp>BDP|17191276519456764545</stp>
        <tr r="AA1232" s="1"/>
      </tp>
      <tp t="s">
        <v>#N/A N/A</v>
        <stp/>
        <stp>BDP|10313361221296983015</stp>
        <tr r="AA212" s="1"/>
      </tp>
      <tp t="s">
        <v>#N/A N/A</v>
        <stp/>
        <stp>BDP|11232099254690314303</stp>
        <tr r="AA26" s="1"/>
      </tp>
      <tp t="s">
        <v>#N/A N/A</v>
        <stp/>
        <stp>BDP|10561754510519886841</stp>
        <tr r="Z1279" s="1"/>
      </tp>
      <tp t="s">
        <v>#N/A N/A</v>
        <stp/>
        <stp>BDP|13233632448722031459</stp>
        <tr r="AA1156" s="1"/>
      </tp>
      <tp t="s">
        <v>#N/A N/A</v>
        <stp/>
        <stp>BDP|17184636506013898506</stp>
        <tr r="AA1013" s="1"/>
      </tp>
      <tp t="s">
        <v>#N/A N/A</v>
        <stp/>
        <stp>BDP|14594923813878858306</stp>
        <tr r="Y589" s="1"/>
      </tp>
      <tp t="s">
        <v>#N/A N/A</v>
        <stp/>
        <stp>BDP|15011635377066172593</stp>
        <tr r="AA711" s="1"/>
      </tp>
      <tp t="s">
        <v>#N/A N/A</v>
        <stp/>
        <stp>BDP|10466064843631852256</stp>
        <tr r="AA1011" s="1"/>
      </tp>
      <tp t="s">
        <v>#N/A N/A</v>
        <stp/>
        <stp>BDP|17994557929973076495</stp>
        <tr r="Y686" s="1"/>
      </tp>
      <tp t="s">
        <v>#N/A N/A</v>
        <stp/>
        <stp>BDP|17053003612379861867</stp>
        <tr r="AA359" s="1"/>
      </tp>
      <tp t="s">
        <v>#N/A N/A</v>
        <stp/>
        <stp>BDP|16593275619971090378</stp>
        <tr r="Y1138" s="1"/>
      </tp>
      <tp t="s">
        <v>#N/A N/A</v>
        <stp/>
        <stp>BDP|10986564113106477578</stp>
        <tr r="AA405" s="1"/>
      </tp>
      <tp t="s">
        <v>#N/A N/A</v>
        <stp/>
        <stp>BDP|15607744982529650495</stp>
        <tr r="AA668" s="1"/>
      </tp>
      <tp t="s">
        <v>#N/A N/A</v>
        <stp/>
        <stp>BDP|18174817332067459395</stp>
        <tr r="Y374" s="1"/>
      </tp>
      <tp t="s">
        <v>#N/A N/A</v>
        <stp/>
        <stp>BDP|13814451753656903386</stp>
        <tr r="Y1111" s="1"/>
      </tp>
      <tp t="s">
        <v>#N/A N/A</v>
        <stp/>
        <stp>BDP|10971195960791635196</stp>
        <tr r="Z145" s="1"/>
      </tp>
      <tp t="s">
        <v>#N/A N/A</v>
        <stp/>
        <stp>BDP|11934781055233315784</stp>
        <tr r="Z315" s="1"/>
      </tp>
      <tp t="s">
        <v>#N/A N/A</v>
        <stp/>
        <stp>BDP|14232354522701354391</stp>
        <tr r="Z760" s="1"/>
      </tp>
      <tp t="s">
        <v>#N/A N/A</v>
        <stp/>
        <stp>BDP|13492487653482200731</stp>
        <tr r="Y1268" s="1"/>
      </tp>
      <tp t="s">
        <v>#N/A N/A</v>
        <stp/>
        <stp>BDP|15309298336945498662</stp>
        <tr r="Z626" s="1"/>
      </tp>
      <tp t="s">
        <v>#N/A N/A</v>
        <stp/>
        <stp>BDP|13190201373215413482</stp>
        <tr r="AA541" s="1"/>
      </tp>
      <tp t="s">
        <v>#N/A N/A</v>
        <stp/>
        <stp>BDP|10568429308862060113</stp>
        <tr r="AA954" s="1"/>
      </tp>
      <tp t="s">
        <v>#N/A N/A</v>
        <stp/>
        <stp>BDP|12720725989229278303</stp>
        <tr r="Z1015" s="1"/>
      </tp>
      <tp t="s">
        <v>#N/A N/A</v>
        <stp/>
        <stp>BDP|10075831348749725223</stp>
        <tr r="Z459" s="1"/>
      </tp>
      <tp t="s">
        <v>#N/A N/A</v>
        <stp/>
        <stp>BDP|15379740716310949460</stp>
        <tr r="Y740" s="1"/>
      </tp>
      <tp t="s">
        <v>#N/A N/A</v>
        <stp/>
        <stp>BDP|12153233463352614392</stp>
        <tr r="Y1055" s="1"/>
      </tp>
      <tp t="s">
        <v>#N/A N/A</v>
        <stp/>
        <stp>BDP|14755438256546055434</stp>
        <tr r="Z169" s="1"/>
      </tp>
      <tp t="s">
        <v>#N/A N/A</v>
        <stp/>
        <stp>BDP|12149802301559033418</stp>
        <tr r="Z106" s="1"/>
      </tp>
      <tp t="s">
        <v>#N/A N/A</v>
        <stp/>
        <stp>BDP|17706609663083728324</stp>
        <tr r="Y832" s="1"/>
      </tp>
      <tp t="s">
        <v>#N/A N/A</v>
        <stp/>
        <stp>BDP|16280094926655864642</stp>
        <tr r="Y988" s="1"/>
      </tp>
      <tp t="s">
        <v>#N/A N/A</v>
        <stp/>
        <stp>BDP|16507743845552393062</stp>
        <tr r="Y364" s="1"/>
      </tp>
      <tp t="s">
        <v>#N/A N/A</v>
        <stp/>
        <stp>BDP|10434301755256194715</stp>
        <tr r="AA834" s="1"/>
      </tp>
      <tp t="s">
        <v>#N/A N/A</v>
        <stp/>
        <stp>BDP|16711272340961298634</stp>
        <tr r="AA172" s="1"/>
      </tp>
      <tp t="s">
        <v>#N/A N/A</v>
        <stp/>
        <stp>BDP|18073998008896172017</stp>
        <tr r="Z823" s="1"/>
      </tp>
      <tp t="s">
        <v>#N/A N/A</v>
        <stp/>
        <stp>BDP|17125172053341126557</stp>
        <tr r="Y886" s="1"/>
      </tp>
      <tp t="s">
        <v>#N/A N/A</v>
        <stp/>
        <stp>BDP|11670536412164250643</stp>
        <tr r="Y621" s="1"/>
      </tp>
      <tp t="s">
        <v>#N/A N/A</v>
        <stp/>
        <stp>BDP|13253524956420086479</stp>
        <tr r="AA848" s="1"/>
      </tp>
      <tp t="s">
        <v>#N/A N/A</v>
        <stp/>
        <stp>BDP|15834518657884994673</stp>
        <tr r="Y1125" s="1"/>
      </tp>
      <tp t="s">
        <v>#N/A N/A</v>
        <stp/>
        <stp>BDP|14454029746443491448</stp>
        <tr r="Z631" s="1"/>
      </tp>
      <tp t="s">
        <v>#N/A N/A</v>
        <stp/>
        <stp>BDP|14789711211455758001</stp>
        <tr r="Y1128" s="1"/>
      </tp>
      <tp t="s">
        <v>#N/A N/A</v>
        <stp/>
        <stp>BDP|17739638530172547716</stp>
        <tr r="AA1141" s="1"/>
      </tp>
      <tp t="s">
        <v>#N/A N/A</v>
        <stp/>
        <stp>BDP|11587556062595477062</stp>
        <tr r="Z655" s="1"/>
      </tp>
      <tp t="s">
        <v>#N/A N/A</v>
        <stp/>
        <stp>BDP|17213234333533483265</stp>
        <tr r="Z212" s="1"/>
      </tp>
      <tp t="s">
        <v>#N/A N/A</v>
        <stp/>
        <stp>BDP|11816159900183914445</stp>
        <tr r="Y133" s="1"/>
      </tp>
      <tp t="s">
        <v>#N/A N/A</v>
        <stp/>
        <stp>BDP|10582146265251030143</stp>
        <tr r="Y1166" s="1"/>
      </tp>
      <tp t="s">
        <v>#N/A N/A</v>
        <stp/>
        <stp>BDP|13371629345661538719</stp>
        <tr r="Y1154" s="1"/>
      </tp>
      <tp t="s">
        <v>#N/A N/A</v>
        <stp/>
        <stp>BDP|12172438247570784520</stp>
        <tr r="Y302" s="1"/>
      </tp>
      <tp t="s">
        <v>#N/A N/A</v>
        <stp/>
        <stp>BDP|14571963111262552975</stp>
        <tr r="Y1161" s="1"/>
      </tp>
      <tp t="s">
        <v>#N/A N/A</v>
        <stp/>
        <stp>BDP|14265057336295944582</stp>
        <tr r="Z197" s="1"/>
      </tp>
      <tp t="s">
        <v>#N/A N/A</v>
        <stp/>
        <stp>BDP|10959962593556803146</stp>
        <tr r="Z815" s="1"/>
      </tp>
      <tp t="s">
        <v>#N/A N/A</v>
        <stp/>
        <stp>BDP|12834318615195823272</stp>
        <tr r="Z356" s="1"/>
      </tp>
      <tp t="s">
        <v>#N/A N/A</v>
        <stp/>
        <stp>BDP|16043322387812128874</stp>
        <tr r="AA1111" s="1"/>
      </tp>
      <tp t="s">
        <v>#N/A N/A</v>
        <stp/>
        <stp>BDP|12075114352050353138</stp>
        <tr r="AA594" s="1"/>
      </tp>
      <tp t="s">
        <v>#N/A N/A</v>
        <stp/>
        <stp>BDP|16260679061978402935</stp>
        <tr r="Y550" s="1"/>
      </tp>
      <tp t="s">
        <v>#N/A N/A</v>
        <stp/>
        <stp>BDP|10996718279163238401</stp>
        <tr r="Z950" s="1"/>
      </tp>
      <tp t="s">
        <v>#N/A N/A</v>
        <stp/>
        <stp>BDP|10273956422728643400</stp>
        <tr r="Y748" s="1"/>
      </tp>
      <tp t="s">
        <v>#N/A N/A</v>
        <stp/>
        <stp>BDP|15615422612426042157</stp>
        <tr r="Y1140" s="1"/>
      </tp>
      <tp t="s">
        <v>#N/A N/A</v>
        <stp/>
        <stp>BDP|16833605949501500268</stp>
        <tr r="Z1143" s="1"/>
      </tp>
      <tp t="s">
        <v>#N/A N/A</v>
        <stp/>
        <stp>BDP|14731700665987059504</stp>
        <tr r="Y923" s="1"/>
      </tp>
      <tp t="s">
        <v>#N/A N/A</v>
        <stp/>
        <stp>BDP|10145067732907152367</stp>
        <tr r="Z306" s="1"/>
      </tp>
      <tp t="s">
        <v>#N/A N/A</v>
        <stp/>
        <stp>BDP|18311866699948829662</stp>
        <tr r="AA307" s="1"/>
      </tp>
      <tp t="s">
        <v>#N/A N/A</v>
        <stp/>
        <stp>BDP|18297940319785463295</stp>
        <tr r="AA933" s="1"/>
      </tp>
      <tp t="s">
        <v>#N/A N/A</v>
        <stp/>
        <stp>BDP|13824928608629925493</stp>
        <tr r="Z439" s="1"/>
      </tp>
      <tp t="s">
        <v>#N/A N/A</v>
        <stp/>
        <stp>BDP|11311631333606324526</stp>
        <tr r="Y547" s="1"/>
      </tp>
      <tp t="s">
        <v>#N/A N/A</v>
        <stp/>
        <stp>BDP|11332353306766368316</stp>
        <tr r="Z1306" s="1"/>
      </tp>
      <tp t="s">
        <v>#N/A N/A</v>
        <stp/>
        <stp>BDP|17671216018720857355</stp>
        <tr r="AA862" s="1"/>
      </tp>
      <tp t="s">
        <v>#N/A N/A</v>
        <stp/>
        <stp>BDP|16146610130474213007</stp>
        <tr r="AA999" s="1"/>
      </tp>
      <tp t="s">
        <v>#N/A N/A</v>
        <stp/>
        <stp>BDP|15406384532610820244</stp>
        <tr r="AA507" s="1"/>
      </tp>
      <tp t="s">
        <v>#N/A N/A</v>
        <stp/>
        <stp>BDP|10297364127510633603</stp>
        <tr r="Y1328" s="1"/>
      </tp>
      <tp t="s">
        <v>#N/A N/A</v>
        <stp/>
        <stp>BDP|13344019862717169544</stp>
        <tr r="AA228" s="1"/>
      </tp>
      <tp t="s">
        <v>#N/A N/A</v>
        <stp/>
        <stp>BDP|17301338745751769674</stp>
        <tr r="Z1300" s="1"/>
      </tp>
      <tp t="s">
        <v>#N/A N/A</v>
        <stp/>
        <stp>BDP|17519540656370171039</stp>
        <tr r="Y1169" s="1"/>
      </tp>
      <tp t="s">
        <v>#N/A N/A</v>
        <stp/>
        <stp>BDP|14452178373230227571</stp>
        <tr r="Z724" s="1"/>
      </tp>
      <tp t="s">
        <v>#N/A N/A</v>
        <stp/>
        <stp>BDP|15311208935157394402</stp>
        <tr r="Y317" s="1"/>
      </tp>
      <tp t="s">
        <v>#N/A N/A</v>
        <stp/>
        <stp>BDP|15300304413560327060</stp>
        <tr r="Y52" s="1"/>
      </tp>
      <tp t="s">
        <v>#N/A N/A</v>
        <stp/>
        <stp>BDP|14640909385420336258</stp>
        <tr r="AA770" s="1"/>
      </tp>
      <tp t="s">
        <v>#N/A N/A</v>
        <stp/>
        <stp>BDP|17081071014979039862</stp>
        <tr r="Z696" s="1"/>
      </tp>
      <tp t="s">
        <v>#N/A N/A</v>
        <stp/>
        <stp>BDP|17717272975383365631</stp>
        <tr r="AA465" s="1"/>
      </tp>
      <tp t="s">
        <v>#N/A N/A</v>
        <stp/>
        <stp>BDP|11572117189866842909</stp>
        <tr r="AA349" s="1"/>
      </tp>
      <tp t="s">
        <v>#N/A N/A</v>
        <stp/>
        <stp>BDP|10626984513979197692</stp>
        <tr r="AA304" s="1"/>
      </tp>
      <tp t="s">
        <v>#N/A N/A</v>
        <stp/>
        <stp>BDP|15369556025181597422</stp>
        <tr r="Z468" s="1"/>
      </tp>
      <tp t="s">
        <v>#N/A N/A</v>
        <stp/>
        <stp>BDP|14854107646370325699</stp>
        <tr r="Y983" s="1"/>
      </tp>
      <tp t="s">
        <v>#N/A N/A</v>
        <stp/>
        <stp>BDP|13145011948892837246</stp>
        <tr r="AA325" s="1"/>
      </tp>
      <tp t="s">
        <v>#N/A N/A</v>
        <stp/>
        <stp>BDP|11897673431437991439</stp>
        <tr r="AA1186" s="1"/>
      </tp>
      <tp t="s">
        <v>#N/A N/A</v>
        <stp/>
        <stp>BDP|10120728387551336905</stp>
        <tr r="AA226" s="1"/>
      </tp>
      <tp t="s">
        <v>#N/A N/A</v>
        <stp/>
        <stp>BDP|14216560421791368519</stp>
        <tr r="Y36" s="1"/>
      </tp>
      <tp t="s">
        <v>#N/A N/A</v>
        <stp/>
        <stp>BDP|17687112525097009452</stp>
        <tr r="Y1058" s="1"/>
      </tp>
      <tp t="s">
        <v>#N/A N/A</v>
        <stp/>
        <stp>BDP|16083036755764167002</stp>
        <tr r="Y109" s="1"/>
      </tp>
      <tp t="s">
        <v>#N/A N/A</v>
        <stp/>
        <stp>BDP|11187027438040534591</stp>
        <tr r="AA473" s="1"/>
      </tp>
      <tp t="s">
        <v>#N/A N/A</v>
        <stp/>
        <stp>BDP|11149365202065458068</stp>
        <tr r="Z475" s="1"/>
      </tp>
      <tp t="s">
        <v>#N/A N/A</v>
        <stp/>
        <stp>BDP|17188673922364183023</stp>
        <tr r="AA1270" s="1"/>
      </tp>
      <tp t="s">
        <v>#N/A N/A</v>
        <stp/>
        <stp>BDP|16163876786220174164</stp>
        <tr r="Z240" s="1"/>
      </tp>
      <tp t="s">
        <v>#N/A N/A</v>
        <stp/>
        <stp>BDP|10384217457390795050</stp>
        <tr r="AA475" s="1"/>
      </tp>
      <tp t="s">
        <v>#N/A N/A</v>
        <stp/>
        <stp>BDP|12272393074660985101</stp>
        <tr r="AA879" s="1"/>
      </tp>
      <tp t="s">
        <v>#N/A N/A</v>
        <stp/>
        <stp>BDP|13943016552990808141</stp>
        <tr r="Y297" s="1"/>
      </tp>
      <tp t="s">
        <v>#N/A N/A</v>
        <stp/>
        <stp>BDP|14463847392746288466</stp>
        <tr r="Z795" s="1"/>
      </tp>
      <tp t="s">
        <v>#N/A N/A</v>
        <stp/>
        <stp>BDP|13682201103975091336</stp>
        <tr r="AA194" s="1"/>
      </tp>
      <tp t="s">
        <v>#N/A N/A</v>
        <stp/>
        <stp>BDP|11447669010210653124</stp>
        <tr r="Y216" s="1"/>
      </tp>
      <tp t="s">
        <v>#N/A N/A</v>
        <stp/>
        <stp>BDP|11100168935885082145</stp>
        <tr r="AA1164" s="1"/>
      </tp>
      <tp t="s">
        <v>#N/A N/A</v>
        <stp/>
        <stp>BDP|15675053344837393129</stp>
        <tr r="AA1306" s="1"/>
      </tp>
      <tp t="s">
        <v>#N/A N/A</v>
        <stp/>
        <stp>BDP|14982249373871816704</stp>
        <tr r="Y356" s="1"/>
      </tp>
      <tp t="s">
        <v>#N/A N/A</v>
        <stp/>
        <stp>BDP|14404369868955810341</stp>
        <tr r="Y350" s="1"/>
      </tp>
      <tp t="s">
        <v>#N/A N/A</v>
        <stp/>
        <stp>BDP|16452261652365043364</stp>
        <tr r="Z158" s="1"/>
      </tp>
      <tp t="s">
        <v>#N/A N/A</v>
        <stp/>
        <stp>BDP|11588910813839010717</stp>
        <tr r="Z1054" s="1"/>
      </tp>
      <tp t="s">
        <v>#N/A N/A</v>
        <stp/>
        <stp>BDP|14213757363706216405</stp>
        <tr r="Y664" s="1"/>
      </tp>
      <tp t="s">
        <v>#N/A N/A</v>
        <stp/>
        <stp>BDP|18389936877911678074</stp>
        <tr r="AA845" s="1"/>
      </tp>
      <tp t="s">
        <v>#N/A N/A</v>
        <stp/>
        <stp>BDP|17592210491648682353</stp>
        <tr r="Z250" s="1"/>
      </tp>
      <tp t="s">
        <v>#N/A N/A</v>
        <stp/>
        <stp>BDP|12011577868382754712</stp>
        <tr r="AA328" s="1"/>
      </tp>
      <tp t="s">
        <v>#N/A N/A</v>
        <stp/>
        <stp>BDP|14926112171905584350</stp>
        <tr r="Z384" s="1"/>
      </tp>
      <tp t="s">
        <v>#N/A N/A</v>
        <stp/>
        <stp>BDP|10821940791210132453</stp>
        <tr r="AA1180" s="1"/>
      </tp>
      <tp t="s">
        <v>#N/A N/A</v>
        <stp/>
        <stp>BDP|17864411963752019329</stp>
        <tr r="Y608" s="1"/>
      </tp>
      <tp t="s">
        <v>#N/A N/A</v>
        <stp/>
        <stp>BDP|13019240010246850249</stp>
        <tr r="Y64" s="1"/>
      </tp>
      <tp t="s">
        <v>#N/A N/A</v>
        <stp/>
        <stp>BDP|10995398089327766863</stp>
        <tr r="AA1279" s="1"/>
      </tp>
      <tp t="s">
        <v>#N/A N/A</v>
        <stp/>
        <stp>BDP|10964166894079262510</stp>
        <tr r="Y1071" s="1"/>
      </tp>
      <tp t="s">
        <v>#N/A N/A</v>
        <stp/>
        <stp>BDP|11751796877291414456</stp>
        <tr r="Y88" s="1"/>
      </tp>
      <tp t="s">
        <v>#N/A N/A</v>
        <stp/>
        <stp>BDP|14579257273892391785</stp>
        <tr r="Z281" s="1"/>
      </tp>
      <tp t="s">
        <v>#N/A N/A</v>
        <stp/>
        <stp>BDP|13365638130676953427</stp>
        <tr r="AA1124" s="1"/>
      </tp>
      <tp t="s">
        <v>#N/A N/A</v>
        <stp/>
        <stp>BDP|16814434775422706328</stp>
        <tr r="Z1271" s="1"/>
      </tp>
      <tp t="s">
        <v>#N/A N/A</v>
        <stp/>
        <stp>BDP|13873831581944564340</stp>
        <tr r="Y864" s="1"/>
      </tp>
      <tp t="s">
        <v>#N/A N/A</v>
        <stp/>
        <stp>BDP|13223916754519416288</stp>
        <tr r="AA1137" s="1"/>
      </tp>
      <tp t="s">
        <v>#N/A N/A</v>
        <stp/>
        <stp>BDP|16294602862584923622</stp>
        <tr r="Y810" s="1"/>
      </tp>
      <tp t="s">
        <v>#N/A N/A</v>
        <stp/>
        <stp>BDP|12863921370150660872</stp>
        <tr r="AA863" s="1"/>
      </tp>
      <tp t="s">
        <v>#N/A N/A</v>
        <stp/>
        <stp>BDP|13686555520132947218</stp>
        <tr r="Z953" s="1"/>
      </tp>
      <tp t="s">
        <v>#N/A N/A</v>
        <stp/>
        <stp>BDP|17749378975471766699</stp>
        <tr r="AA911" s="1"/>
      </tp>
      <tp t="s">
        <v>#N/A N/A</v>
        <stp/>
        <stp>BDP|16965795120353304498</stp>
        <tr r="Z1159" s="1"/>
      </tp>
      <tp t="s">
        <v>#N/A N/A</v>
        <stp/>
        <stp>BDP|13674417629899531814</stp>
        <tr r="Z1201" s="1"/>
      </tp>
      <tp t="s">
        <v>#N/A N/A</v>
        <stp/>
        <stp>BDP|16367203079791582657</stp>
        <tr r="AA343" s="1"/>
      </tp>
      <tp t="s">
        <v>#N/A N/A</v>
        <stp/>
        <stp>BDP|15663137765896881022</stp>
        <tr r="Y826" s="1"/>
      </tp>
      <tp t="s">
        <v>#N/A N/A</v>
        <stp/>
        <stp>BDP|16064584767187206672</stp>
        <tr r="Y499" s="1"/>
      </tp>
      <tp t="s">
        <v>#N/A N/A</v>
        <stp/>
        <stp>BDP|11046590750782653756</stp>
        <tr r="Z1285" s="1"/>
      </tp>
      <tp t="s">
        <v>#N/A N/A</v>
        <stp/>
        <stp>BDP|10458659950451805638</stp>
        <tr r="Z23" s="1"/>
      </tp>
      <tp t="s">
        <v>#N/A N/A</v>
        <stp/>
        <stp>BDP|17029767012474875163</stp>
        <tr r="AA80" s="1"/>
      </tp>
      <tp t="s">
        <v>#N/A N/A</v>
        <stp/>
        <stp>BDP|17366514855692918141</stp>
        <tr r="Z179" s="1"/>
      </tp>
      <tp t="s">
        <v>#N/A N/A</v>
        <stp/>
        <stp>BDP|11381217547024624799</stp>
        <tr r="Y431" s="1"/>
      </tp>
      <tp t="s">
        <v>#N/A N/A</v>
        <stp/>
        <stp>BDP|18116562079289764749</stp>
        <tr r="Z829" s="1"/>
      </tp>
      <tp t="s">
        <v>#N/A N/A</v>
        <stp/>
        <stp>BDP|18149916537771903737</stp>
        <tr r="Y534" s="1"/>
      </tp>
      <tp t="s">
        <v>#N/A N/A</v>
        <stp/>
        <stp>BDP|12959732075137337114</stp>
        <tr r="Z714" s="1"/>
      </tp>
      <tp t="s">
        <v>#N/A N/A</v>
        <stp/>
        <stp>BDP|15465298766807325255</stp>
        <tr r="AA1031" s="1"/>
      </tp>
      <tp t="s">
        <v>#N/A N/A</v>
        <stp/>
        <stp>BDP|14683168713063632384</stp>
        <tr r="AA92" s="1"/>
      </tp>
      <tp t="s">
        <v>#N/A N/A</v>
        <stp/>
        <stp>BDP|14983442714287192257</stp>
        <tr r="Z1141" s="1"/>
      </tp>
      <tp t="s">
        <v>#N/A N/A</v>
        <stp/>
        <stp>BDP|12423104619470955693</stp>
        <tr r="AA259" s="1"/>
      </tp>
      <tp t="s">
        <v>#N/A N/A</v>
        <stp/>
        <stp>BDP|12767221443110274095</stp>
        <tr r="Z1166" s="1"/>
      </tp>
      <tp t="s">
        <v>#N/A N/A</v>
        <stp/>
        <stp>BDP|14427728559011535361</stp>
        <tr r="Z579" s="1"/>
      </tp>
      <tp t="s">
        <v>#N/A N/A</v>
        <stp/>
        <stp>BDP|12308267871956954513</stp>
        <tr r="Z501" s="1"/>
      </tp>
      <tp t="s">
        <v>#N/A N/A</v>
        <stp/>
        <stp>BDP|15817132723382406003</stp>
        <tr r="Y1322" s="1"/>
      </tp>
      <tp t="s">
        <v>#N/A N/A</v>
        <stp/>
        <stp>BDP|17064456406045790289</stp>
        <tr r="AA479" s="1"/>
      </tp>
      <tp t="s">
        <v>#N/A N/A</v>
        <stp/>
        <stp>BDP|10102939298616206248</stp>
        <tr r="Y1106" s="1"/>
      </tp>
      <tp t="s">
        <v>#N/A N/A</v>
        <stp/>
        <stp>BDP|15759234337393935366</stp>
        <tr r="AA850" s="1"/>
      </tp>
      <tp t="s">
        <v>#N/A N/A</v>
        <stp/>
        <stp>BDP|10149549523634854728</stp>
        <tr r="Z362" s="1"/>
      </tp>
      <tp t="s">
        <v>#N/A N/A</v>
        <stp/>
        <stp>BDP|15869426637291974780</stp>
        <tr r="AA499" s="1"/>
      </tp>
      <tp t="s">
        <v>#N/A N/A</v>
        <stp/>
        <stp>BDP|17296884193070488211</stp>
        <tr r="Z180" s="1"/>
      </tp>
      <tp t="s">
        <v>#N/A N/A</v>
        <stp/>
        <stp>BDP|12866108645345259602</stp>
        <tr r="Z13" s="1"/>
      </tp>
      <tp t="s">
        <v>#N/A N/A</v>
        <stp/>
        <stp>BDP|17080196836358809980</stp>
        <tr r="AA1091" s="1"/>
      </tp>
      <tp t="s">
        <v>#N/A N/A</v>
        <stp/>
        <stp>BDP|10897179494228542414</stp>
        <tr r="AA32" s="1"/>
      </tp>
      <tp t="s">
        <v>#N/A N/A</v>
        <stp/>
        <stp>BDP|14703356773672970671</stp>
        <tr r="Y968" s="1"/>
      </tp>
      <tp t="s">
        <v>#N/A N/A</v>
        <stp/>
        <stp>BDP|15965055966173419416</stp>
        <tr r="Z650" s="1"/>
      </tp>
      <tp t="s">
        <v>#N/A N/A</v>
        <stp/>
        <stp>BDP|10843748936389450901</stp>
        <tr r="Y136" s="1"/>
      </tp>
      <tp t="s">
        <v>#N/A N/A</v>
        <stp/>
        <stp>BDP|16778693308654888002</stp>
        <tr r="Y1167" s="1"/>
      </tp>
      <tp t="s">
        <v>#N/A N/A</v>
        <stp/>
        <stp>BDP|12057734955535809109</stp>
        <tr r="Y727" s="1"/>
      </tp>
      <tp t="s">
        <v>#N/A N/A</v>
        <stp/>
        <stp>BDP|10337210449171256376</stp>
        <tr r="AA1157" s="1"/>
      </tp>
      <tp t="s">
        <v>#N/A N/A</v>
        <stp/>
        <stp>BDP|18024513768398519723</stp>
        <tr r="AA952" s="1"/>
      </tp>
      <tp t="s">
        <v>#N/A N/A</v>
        <stp/>
        <stp>BDP|13462007205420825771</stp>
        <tr r="Z958" s="1"/>
      </tp>
      <tp t="s">
        <v>#N/A N/A</v>
        <stp/>
        <stp>BDP|14042062265695292302</stp>
        <tr r="AA1073" s="1"/>
      </tp>
      <tp t="s">
        <v>#N/A N/A</v>
        <stp/>
        <stp>BDP|11835636870907339394</stp>
        <tr r="Y697" s="1"/>
      </tp>
      <tp t="s">
        <v>#N/A N/A</v>
        <stp/>
        <stp>BDP|15387162811562469311</stp>
        <tr r="Y103" s="1"/>
      </tp>
      <tp t="s">
        <v>#N/A N/A</v>
        <stp/>
        <stp>BDP|10815282064162071255</stp>
        <tr r="Y1025" s="1"/>
      </tp>
      <tp t="s">
        <v>#N/A N/A</v>
        <stp/>
        <stp>BDP|17587052844251485616</stp>
        <tr r="Y1308" s="1"/>
      </tp>
      <tp t="s">
        <v>#N/A N/A</v>
        <stp/>
        <stp>BDP|14155245471213478610</stp>
        <tr r="Y379" s="1"/>
      </tp>
      <tp t="s">
        <v>#N/A N/A</v>
        <stp/>
        <stp>BDP|10692699595238943323</stp>
        <tr r="AA34" s="1"/>
      </tp>
      <tp t="s">
        <v>#N/A N/A</v>
        <stp/>
        <stp>BDP|17515090927899370885</stp>
        <tr r="Y1091" s="1"/>
      </tp>
      <tp t="s">
        <v>#N/A N/A</v>
        <stp/>
        <stp>BDP|11580840191017275327</stp>
        <tr r="Z577" s="1"/>
      </tp>
      <tp t="s">
        <v>#N/A N/A</v>
        <stp/>
        <stp>BDP|15592615980507354871</stp>
        <tr r="Z1001" s="1"/>
      </tp>
      <tp t="s">
        <v>#N/A N/A</v>
        <stp/>
        <stp>BDP|16829752933211950776</stp>
        <tr r="Z182" s="1"/>
      </tp>
      <tp t="s">
        <v>#N/A N/A</v>
        <stp/>
        <stp>BDP|11488031138594685294</stp>
        <tr r="Y1084" s="1"/>
      </tp>
      <tp t="s">
        <v>#N/A N/A</v>
        <stp/>
        <stp>BDP|10286803465262496837</stp>
        <tr r="Z906" s="1"/>
      </tp>
      <tp t="s">
        <v>#N/A N/A</v>
        <stp/>
        <stp>BDP|16864988600472481944</stp>
        <tr r="Y118" s="1"/>
      </tp>
      <tp t="s">
        <v>#N/A N/A</v>
        <stp/>
        <stp>BDP|16449537155545544776</stp>
        <tr r="AA745" s="1"/>
      </tp>
      <tp t="s">
        <v>#N/A N/A</v>
        <stp/>
        <stp>BDP|13519178763530466061</stp>
        <tr r="Y1305" s="1"/>
      </tp>
      <tp t="s">
        <v>#N/A N/A</v>
        <stp/>
        <stp>BDP|14897747892617461994</stp>
        <tr r="AA265" s="1"/>
      </tp>
      <tp t="s">
        <v>#N/A N/A</v>
        <stp/>
        <stp>BDP|13565188238732214742</stp>
        <tr r="Z27" s="1"/>
      </tp>
      <tp t="s">
        <v>#N/A N/A</v>
        <stp/>
        <stp>BDP|13479127313124227341</stp>
        <tr r="AA782" s="1"/>
      </tp>
      <tp t="s">
        <v>#N/A N/A</v>
        <stp/>
        <stp>BDP|15316395484592405890</stp>
        <tr r="Z1174" s="1"/>
      </tp>
      <tp t="s">
        <v>#N/A N/A</v>
        <stp/>
        <stp>BDP|16321813252098298718</stp>
        <tr r="AA868" s="1"/>
      </tp>
      <tp t="s">
        <v>#N/A N/A</v>
        <stp/>
        <stp>BDP|16812706789074755955</stp>
        <tr r="Z295" s="1"/>
      </tp>
      <tp t="s">
        <v>#N/A N/A</v>
        <stp/>
        <stp>BDP|16280746434711672778</stp>
        <tr r="AA853" s="1"/>
      </tp>
      <tp t="s">
        <v>#N/A N/A</v>
        <stp/>
        <stp>BDP|13498018970413723312</stp>
        <tr r="AA748" s="1"/>
      </tp>
      <tp t="s">
        <v>#N/A N/A</v>
        <stp/>
        <stp>BDP|12717100563030263153</stp>
        <tr r="AA772" s="1"/>
      </tp>
      <tp t="s">
        <v>#N/A N/A</v>
        <stp/>
        <stp>BDP|13749564552452965589</stp>
        <tr r="Y170" s="1"/>
      </tp>
      <tp t="s">
        <v>#N/A N/A</v>
        <stp/>
        <stp>BDP|13029779753290668506</stp>
        <tr r="AA1260" s="1"/>
      </tp>
      <tp t="s">
        <v>#N/A N/A</v>
        <stp/>
        <stp>BDP|16071259157204857180</stp>
        <tr r="Y1186" s="1"/>
      </tp>
      <tp t="s">
        <v>#N/A N/A</v>
        <stp/>
        <stp>BDP|14648578717743721734</stp>
        <tr r="Y1030" s="1"/>
      </tp>
      <tp t="s">
        <v>#N/A N/A</v>
        <stp/>
        <stp>BDP|12759642767155275342</stp>
        <tr r="Y675" s="1"/>
      </tp>
      <tp t="s">
        <v>#N/A N/A</v>
        <stp/>
        <stp>BDP|11045636403465718655</stp>
        <tr r="AA311" s="1"/>
      </tp>
      <tp t="s">
        <v>#N/A N/A</v>
        <stp/>
        <stp>BDP|11354299748586804588</stp>
        <tr r="AA38" s="1"/>
      </tp>
      <tp t="s">
        <v>#N/A N/A</v>
        <stp/>
        <stp>BDP|14452627301152766420</stp>
        <tr r="Z800" s="1"/>
      </tp>
      <tp t="s">
        <v>#N/A N/A</v>
        <stp/>
        <stp>BDP|17374680089398488537</stp>
        <tr r="Y16" s="1"/>
      </tp>
      <tp t="s">
        <v>#N/A N/A</v>
        <stp/>
        <stp>BDP|17730808606812557917</stp>
        <tr r="Y569" s="1"/>
      </tp>
      <tp t="s">
        <v>#N/A N/A</v>
        <stp/>
        <stp>BDP|15855092933071279351</stp>
        <tr r="Y816" s="1"/>
      </tp>
      <tp t="s">
        <v>#N/A N/A</v>
        <stp/>
        <stp>BDP|13178697609724627521</stp>
        <tr r="Y962" s="1"/>
      </tp>
      <tp t="s">
        <v>#N/A N/A</v>
        <stp/>
        <stp>BDP|11840033660530989367</stp>
        <tr r="Z1255" s="1"/>
      </tp>
      <tp t="s">
        <v>#N/A N/A</v>
        <stp/>
        <stp>BDP|14429293734450999140</stp>
        <tr r="AA874" s="1"/>
      </tp>
      <tp t="s">
        <v>#N/A N/A</v>
        <stp/>
        <stp>BDP|14722993288986708759</stp>
        <tr r="Y978" s="1"/>
      </tp>
      <tp t="s">
        <v>#N/A N/A</v>
        <stp/>
        <stp>BDP|11635256638327769380</stp>
        <tr r="Y680" s="1"/>
      </tp>
      <tp t="s">
        <v>#N/A N/A</v>
        <stp/>
        <stp>BDP|16049141203650768343</stp>
        <tr r="Z510" s="1"/>
      </tp>
      <tp t="s">
        <v>#N/A N/A</v>
        <stp/>
        <stp>BDP|13368487645514369397</stp>
        <tr r="Y388" s="1"/>
      </tp>
      <tp t="s">
        <v>#N/A N/A</v>
        <stp/>
        <stp>BDP|13989448978626008212</stp>
        <tr r="Z305" s="1"/>
      </tp>
      <tp t="s">
        <v>#N/A N/A</v>
        <stp/>
        <stp>BDP|14910082727133804199</stp>
        <tr r="Z1223" s="1"/>
      </tp>
      <tp t="s">
        <v>#N/A N/A</v>
        <stp/>
        <stp>BDP|14427110115903733300</stp>
        <tr r="Y329" s="1"/>
      </tp>
      <tp t="s">
        <v>#N/A N/A</v>
        <stp/>
        <stp>BDP|12970553838450584065</stp>
        <tr r="AA1179" s="1"/>
      </tp>
      <tp t="s">
        <v>#N/A N/A</v>
        <stp/>
        <stp>BDP|10494154564623334015</stp>
        <tr r="AA136" s="1"/>
      </tp>
      <tp t="s">
        <v>#N/A N/A</v>
        <stp/>
        <stp>BDP|11572252004910164727</stp>
        <tr r="AA149" s="1"/>
      </tp>
      <tp t="s">
        <v>#N/A N/A</v>
        <stp/>
        <stp>BDP|15920487365171410279</stp>
        <tr r="AA297" s="1"/>
      </tp>
      <tp t="s">
        <v>#N/A N/A</v>
        <stp/>
        <stp>BDP|18057155217259164545</stp>
        <tr r="Y636" s="1"/>
      </tp>
      <tp t="s">
        <v>#N/A N/A</v>
        <stp/>
        <stp>BDP|13018525305174023600</stp>
        <tr r="Z1059" s="1"/>
      </tp>
      <tp t="s">
        <v>#N/A N/A</v>
        <stp/>
        <stp>BDP|15641603892186701841</stp>
        <tr r="Z739" s="1"/>
      </tp>
      <tp t="s">
        <v>#N/A N/A</v>
        <stp/>
        <stp>BDP|18273964729774972335</stp>
        <tr r="Z744" s="1"/>
      </tp>
      <tp t="s">
        <v>#N/A N/A</v>
        <stp/>
        <stp>BDP|10325759371075662168</stp>
        <tr r="Y436" s="1"/>
      </tp>
      <tp t="s">
        <v>#N/A N/A</v>
        <stp/>
        <stp>BDP|15080780168503416321</stp>
        <tr r="AA1276" s="1"/>
      </tp>
      <tp t="s">
        <v>#N/A N/A</v>
        <stp/>
        <stp>BDP|15477538637255422222</stp>
        <tr r="Y482" s="1"/>
      </tp>
      <tp t="s">
        <v>#N/A N/A</v>
        <stp/>
        <stp>BDP|15210320922283184358</stp>
        <tr r="Y1073" s="1"/>
      </tp>
      <tp t="s">
        <v>#N/A N/A</v>
        <stp/>
        <stp>BDP|14137040217806689721</stp>
        <tr r="Z26" s="1"/>
      </tp>
      <tp t="s">
        <v>#N/A N/A</v>
        <stp/>
        <stp>BDP|14773625373451937095</stp>
        <tr r="Y868" s="1"/>
      </tp>
      <tp t="s">
        <v>#N/A N/A</v>
        <stp/>
        <stp>BDP|17336311114390876180</stp>
        <tr r="Z841" s="1"/>
      </tp>
      <tp t="s">
        <v>#N/A N/A</v>
        <stp/>
        <stp>BDP|17645359471110332779</stp>
        <tr r="Z812" s="1"/>
      </tp>
      <tp t="s">
        <v>#N/A N/A</v>
        <stp/>
        <stp>BDP|13430128629204387158</stp>
        <tr r="AA355" s="1"/>
      </tp>
      <tp t="s">
        <v>#N/A N/A</v>
        <stp/>
        <stp>BDP|12296208029236137139</stp>
        <tr r="AA537" s="1"/>
      </tp>
      <tp t="s">
        <v>#N/A N/A</v>
        <stp/>
        <stp>BDP|17914042605837506544</stp>
        <tr r="Z429" s="1"/>
      </tp>
      <tp t="s">
        <v>#N/A N/A</v>
        <stp/>
        <stp>BDP|18381894706600340561</stp>
        <tr r="Y288" s="1"/>
      </tp>
      <tp t="s">
        <v>#N/A N/A</v>
        <stp/>
        <stp>BDP|15163781280546590956</stp>
        <tr r="AA278" s="1"/>
      </tp>
      <tp t="s">
        <v>#N/A N/A</v>
        <stp/>
        <stp>BDP|14964574029841765790</stp>
        <tr r="Y326" s="1"/>
      </tp>
      <tp t="s">
        <v>#N/A N/A</v>
        <stp/>
        <stp>BDP|13183783693218436076</stp>
        <tr r="Y1164" s="1"/>
      </tp>
      <tp t="s">
        <v>#N/A N/A</v>
        <stp/>
        <stp>BDP|15554197111457554712</stp>
        <tr r="AA819" s="1"/>
      </tp>
      <tp t="s">
        <v>#N/A N/A</v>
        <stp/>
        <stp>BDP|16770723056000906135</stp>
        <tr r="Z519" s="1"/>
      </tp>
      <tp t="s">
        <v>#N/A N/A</v>
        <stp/>
        <stp>BDP|18147878530197818165</stp>
        <tr r="Y995" s="1"/>
      </tp>
      <tp t="s">
        <v>#N/A N/A</v>
        <stp/>
        <stp>BDP|17107175558167090162</stp>
        <tr r="Z1147" s="1"/>
      </tp>
      <tp t="s">
        <v>#N/A N/A</v>
        <stp/>
        <stp>BDP|11524242588697315924</stp>
        <tr r="AA871" s="1"/>
      </tp>
      <tp t="s">
        <v>#N/A N/A</v>
        <stp/>
        <stp>BDP|18340552658559726413</stp>
        <tr r="AA258" s="1"/>
      </tp>
      <tp t="s">
        <v>#N/A N/A</v>
        <stp/>
        <stp>BDP|16401702456770376197</stp>
        <tr r="Y673" s="1"/>
      </tp>
      <tp t="s">
        <v>#N/A N/A</v>
        <stp/>
        <stp>BDP|10571235348486238540</stp>
        <tr r="Y261" s="1"/>
      </tp>
      <tp t="s">
        <v>#N/A N/A</v>
        <stp/>
        <stp>BDP|12679769818918841987</stp>
        <tr r="AA786" s="1"/>
      </tp>
      <tp t="s">
        <v>#N/A N/A</v>
        <stp/>
        <stp>BDP|11280139279667136510</stp>
        <tr r="AA623" s="1"/>
      </tp>
      <tp t="s">
        <v>#N/A N/A</v>
        <stp/>
        <stp>BDP|12341478489419701213</stp>
        <tr r="Z767" s="1"/>
      </tp>
      <tp t="s">
        <v>#N/A N/A</v>
        <stp/>
        <stp>BDP|10346095358862942204</stp>
        <tr r="Z270" s="1"/>
      </tp>
      <tp t="s">
        <v>#N/A N/A</v>
        <stp/>
        <stp>BDP|13945175923526050369</stp>
        <tr r="Y438" s="1"/>
      </tp>
      <tp t="s">
        <v>#N/A N/A</v>
        <stp/>
        <stp>BDP|11637627905131825324</stp>
        <tr r="AA616" s="1"/>
      </tp>
      <tp t="s">
        <v>#N/A N/A</v>
        <stp/>
        <stp>BDP|15654189648773913649</stp>
        <tr r="Y1110" s="1"/>
      </tp>
      <tp t="s">
        <v>#N/A N/A</v>
        <stp/>
        <stp>BDP|10439785973070551511</stp>
        <tr r="Z292" s="1"/>
      </tp>
      <tp t="s">
        <v>#N/A N/A</v>
        <stp/>
        <stp>BDP|17338097355613778435</stp>
        <tr r="Y901" s="1"/>
      </tp>
      <tp t="s">
        <v>#N/A N/A</v>
        <stp/>
        <stp>BDP|13882050712304054348</stp>
        <tr r="Y98" s="1"/>
      </tp>
      <tp t="s">
        <v>#N/A N/A</v>
        <stp/>
        <stp>BDP|17714795121914118347</stp>
        <tr r="Y1294" s="1"/>
      </tp>
      <tp t="s">
        <v>#N/A N/A</v>
        <stp/>
        <stp>BDP|16971299938577296509</stp>
        <tr r="Z1227" s="1"/>
      </tp>
      <tp t="s">
        <v>#N/A N/A</v>
        <stp/>
        <stp>BDP|14914928590741974080</stp>
        <tr r="Z594" s="1"/>
      </tp>
      <tp t="s">
        <v>#N/A N/A</v>
        <stp/>
        <stp>BDP|11005662777417389281</stp>
        <tr r="AA89" s="1"/>
      </tp>
      <tp t="s">
        <v>#N/A N/A</v>
        <stp/>
        <stp>BDP|17251288162214501271</stp>
        <tr r="AA1287" s="1"/>
      </tp>
      <tp t="s">
        <v>#N/A N/A</v>
        <stp/>
        <stp>BDP|15988344854331306702</stp>
        <tr r="Z1184" s="1"/>
      </tp>
      <tp t="s">
        <v>#N/A N/A</v>
        <stp/>
        <stp>BDP|16551080184903274816</stp>
        <tr r="Z1103" s="1"/>
      </tp>
      <tp t="s">
        <v>#N/A N/A</v>
        <stp/>
        <stp>BDP|12912388587609542598</stp>
        <tr r="Z811" s="1"/>
      </tp>
      <tp t="s">
        <v>#N/A N/A</v>
        <stp/>
        <stp>BDP|15094407459483494274</stp>
        <tr r="Y606" s="1"/>
      </tp>
      <tp t="s">
        <v>#N/A N/A</v>
        <stp/>
        <stp>BDP|10503745768713507765</stp>
        <tr r="AA504" s="1"/>
      </tp>
      <tp t="s">
        <v>#N/A N/A</v>
        <stp/>
        <stp>BDP|16444409128837034261</stp>
        <tr r="Z983" s="1"/>
      </tp>
      <tp t="s">
        <v>#N/A N/A</v>
        <stp/>
        <stp>BDP|18185892957463796321</stp>
        <tr r="AA1267" s="1"/>
      </tp>
      <tp t="s">
        <v>#N/A N/A</v>
        <stp/>
        <stp>BDP|10476285202534781339</stp>
        <tr r="AA878" s="1"/>
      </tp>
      <tp t="s">
        <v>#N/A N/A</v>
        <stp/>
        <stp>BDP|11904419143357270338</stp>
        <tr r="Y467" s="1"/>
      </tp>
      <tp t="s">
        <v>#N/A N/A</v>
        <stp/>
        <stp>BDP|13069480427177593775</stp>
        <tr r="AA761" s="1"/>
      </tp>
      <tp t="s">
        <v>#N/A N/A</v>
        <stp/>
        <stp>BDP|17552651243340899062</stp>
        <tr r="Z1052" s="1"/>
      </tp>
      <tp t="s">
        <v>#N/A N/A</v>
        <stp/>
        <stp>BDP|13159199842924520726</stp>
        <tr r="Z502" s="1"/>
      </tp>
      <tp t="s">
        <v>#N/A N/A</v>
        <stp/>
        <stp>BDP|11970785748312679520</stp>
        <tr r="AA276" s="1"/>
      </tp>
      <tp t="s">
        <v>#N/A N/A</v>
        <stp/>
        <stp>BDP|10304389684168159621</stp>
        <tr r="Y1041" s="1"/>
      </tp>
      <tp t="s">
        <v>#N/A N/A</v>
        <stp/>
        <stp>BDP|15938911296809000928</stp>
        <tr r="Z872" s="1"/>
      </tp>
      <tp t="s">
        <v>#N/A N/A</v>
        <stp/>
        <stp>BDP|13209776094730800850</stp>
        <tr r="Y513" s="1"/>
      </tp>
      <tp t="s">
        <v>#N/A N/A</v>
        <stp/>
        <stp>BDP|13181549138766223631</stp>
        <tr r="Z657" s="1"/>
      </tp>
      <tp t="s">
        <v>#N/A N/A</v>
        <stp/>
        <stp>BDP|13451850248508031268</stp>
        <tr r="Z1110" s="1"/>
      </tp>
      <tp t="s">
        <v>#N/A N/A</v>
        <stp/>
        <stp>BDP|11229213257920202397</stp>
        <tr r="AA847" s="1"/>
      </tp>
      <tp t="s">
        <v>#N/A N/A</v>
        <stp/>
        <stp>BDP|14819168235294037745</stp>
        <tr r="Z1121" s="1"/>
      </tp>
      <tp t="s">
        <v>#N/A N/A</v>
        <stp/>
        <stp>BDP|10260611309272258171</stp>
        <tr r="Z1004" s="1"/>
      </tp>
      <tp t="s">
        <v>#N/A N/A</v>
        <stp/>
        <stp>BDP|12617246908082572701</stp>
        <tr r="AA746" s="1"/>
      </tp>
      <tp t="s">
        <v>#N/A N/A</v>
        <stp/>
        <stp>BDP|10446385256760311367</stp>
        <tr r="Y546" s="1"/>
      </tp>
      <tp t="s">
        <v>#N/A N/A</v>
        <stp/>
        <stp>BDP|18322387082487705116</stp>
        <tr r="Y276" s="1"/>
      </tp>
      <tp t="s">
        <v>#N/A N/A</v>
        <stp/>
        <stp>BDP|14820604075178771855</stp>
        <tr r="Y585" s="1"/>
      </tp>
      <tp t="s">
        <v>#N/A N/A</v>
        <stp/>
        <stp>BDP|12432726902042299287</stp>
        <tr r="Y772" s="1"/>
      </tp>
      <tp t="s">
        <v>#N/A N/A</v>
        <stp/>
        <stp>BDP|17055121769954758120</stp>
        <tr r="Z630" s="1"/>
      </tp>
      <tp t="s">
        <v>#N/A N/A</v>
        <stp/>
        <stp>BDP|17976059143674144204</stp>
        <tr r="Y1117" s="1"/>
      </tp>
      <tp t="s">
        <v>#N/A N/A</v>
        <stp/>
        <stp>BDP|12943314240371393157</stp>
        <tr r="AA148" s="1"/>
      </tp>
      <tp t="s">
        <v>#N/A N/A</v>
        <stp/>
        <stp>BDP|11645099101026927292</stp>
        <tr r="Z987" s="1"/>
      </tp>
      <tp t="s">
        <v>#N/A N/A</v>
        <stp/>
        <stp>BDP|16676561749652269056</stp>
        <tr r="AA544" s="1"/>
      </tp>
      <tp t="s">
        <v>#N/A N/A</v>
        <stp/>
        <stp>BDP|11374383266502483379</stp>
        <tr r="Z157" s="1"/>
      </tp>
      <tp t="s">
        <v>#N/A N/A</v>
        <stp/>
        <stp>BDP|16882837279805284916</stp>
        <tr r="AA46" s="1"/>
      </tp>
      <tp t="s">
        <v>#N/A N/A</v>
        <stp/>
        <stp>BDP|16936371753117999252</stp>
        <tr r="AA569" s="1"/>
      </tp>
      <tp t="s">
        <v>#N/A N/A</v>
        <stp/>
        <stp>BDP|11555252751427283424</stp>
        <tr r="Y250" s="1"/>
      </tp>
      <tp t="s">
        <v>#N/A N/A</v>
        <stp/>
        <stp>BDP|11555549665362242576</stp>
        <tr r="Y596" s="1"/>
      </tp>
      <tp t="s">
        <v>#N/A N/A</v>
        <stp/>
        <stp>BDP|12037880619039685766</stp>
        <tr r="Z625" s="1"/>
      </tp>
      <tp t="s">
        <v>#N/A N/A</v>
        <stp/>
        <stp>BDP|12512311153379130873</stp>
        <tr r="Z877" s="1"/>
      </tp>
      <tp t="s">
        <v>#N/A N/A</v>
        <stp/>
        <stp>BDP|12373446906174004702</stp>
        <tr r="Y255" s="1"/>
      </tp>
      <tp t="s">
        <v>#N/A N/A</v>
        <stp/>
        <stp>BDP|13351901297386235075</stp>
        <tr r="Z615" s="1"/>
      </tp>
      <tp t="s">
        <v>#N/A N/A</v>
        <stp/>
        <stp>BDP|12964089578861178190</stp>
        <tr r="Z1074" s="1"/>
      </tp>
      <tp t="s">
        <v>#N/A N/A</v>
        <stp/>
        <stp>BDP|15189357297202132825</stp>
        <tr r="AA498" s="1"/>
      </tp>
      <tp t="s">
        <v>#N/A N/A</v>
        <stp/>
        <stp>BDP|16456423190089353759</stp>
        <tr r="Y1327" s="1"/>
      </tp>
      <tp t="s">
        <v>#N/A N/A</v>
        <stp/>
        <stp>BDP|10618675671237673368</stp>
        <tr r="Z974" s="1"/>
      </tp>
      <tp t="s">
        <v>#N/A N/A</v>
        <stp/>
        <stp>BDP|11611153159093991332</stp>
        <tr r="AA524" s="1"/>
      </tp>
      <tp t="s">
        <v>#N/A N/A</v>
        <stp/>
        <stp>BDP|15077163011954174463</stp>
        <tr r="Z1090" s="1"/>
      </tp>
      <tp t="s">
        <v>#N/A N/A</v>
        <stp/>
        <stp>BDP|13433279048344287498</stp>
        <tr r="AA636" s="1"/>
      </tp>
      <tp t="s">
        <v>#N/A N/A</v>
        <stp/>
        <stp>BDP|17664308903628548900</stp>
        <tr r="Y1017" s="1"/>
      </tp>
      <tp t="s">
        <v>#N/A N/A</v>
        <stp/>
        <stp>BDP|10015796523540916033</stp>
        <tr r="Y335" s="1"/>
      </tp>
      <tp t="s">
        <v>#N/A N/A</v>
        <stp/>
        <stp>BDP|10287180788835575972</stp>
        <tr r="AA881" s="1"/>
      </tp>
      <tp t="s">
        <v>#N/A N/A</v>
        <stp/>
        <stp>BDP|10403178952421683070</stp>
        <tr r="Y274" s="1"/>
      </tp>
      <tp t="s">
        <v>#N/A N/A</v>
        <stp/>
        <stp>BDP|16682652903751342403</stp>
        <tr r="AA841" s="1"/>
      </tp>
      <tp t="s">
        <v>#N/A N/A</v>
        <stp/>
        <stp>BDP|16147562583569632719</stp>
        <tr r="Z25" s="1"/>
      </tp>
      <tp t="s">
        <v>#N/A N/A</v>
        <stp/>
        <stp>BDP|17586107876101262520</stp>
        <tr r="Z923" s="1"/>
      </tp>
      <tp t="s">
        <v>#N/A N/A</v>
        <stp/>
        <stp>BDP|15154239913093200000</stp>
        <tr r="AA450" s="1"/>
      </tp>
      <tp t="s">
        <v>#N/A N/A</v>
        <stp/>
        <stp>BDP|13538249823110315629</stp>
        <tr r="Y640" s="1"/>
      </tp>
      <tp t="s">
        <v>#N/A N/A</v>
        <stp/>
        <stp>BDP|18066429852544136829</stp>
        <tr r="Y931" s="1"/>
      </tp>
      <tp t="s">
        <v>#N/A N/A</v>
        <stp/>
        <stp>BDP|16745738622044218278</stp>
        <tr r="Z931" s="1"/>
      </tp>
      <tp t="s">
        <v>#N/A N/A</v>
        <stp/>
        <stp>BDP|13897691052081657468</stp>
        <tr r="Z346" s="1"/>
      </tp>
      <tp t="s">
        <v>#N/A N/A</v>
        <stp/>
        <stp>BDP|10481828534396688862</stp>
        <tr r="Z785" s="1"/>
      </tp>
      <tp t="s">
        <v>#N/A N/A</v>
        <stp/>
        <stp>BDP|18257970055165554478</stp>
        <tr r="AA135" s="1"/>
      </tp>
      <tp t="s">
        <v>#N/A N/A</v>
        <stp/>
        <stp>BDP|16498413866218873990</stp>
        <tr r="Z109" s="1"/>
      </tp>
      <tp t="s">
        <v>#N/A N/A</v>
        <stp/>
        <stp>BDP|16092573460708304863</stp>
        <tr r="Z783" s="1"/>
      </tp>
      <tp t="s">
        <v>#N/A N/A</v>
        <stp/>
        <stp>BDP|12906295343000573141</stp>
        <tr r="Z1321" s="1"/>
      </tp>
      <tp t="s">
        <v>#N/A N/A</v>
        <stp/>
        <stp>BDP|12767001700174734326</stp>
        <tr r="AA460" s="1"/>
      </tp>
      <tp t="s">
        <v>#N/A N/A</v>
        <stp/>
        <stp>BDP|13186015763517632779</stp>
        <tr r="Z395" s="1"/>
      </tp>
      <tp t="s">
        <v>#N/A N/A</v>
        <stp/>
        <stp>BDP|14328700117422729516</stp>
        <tr r="Z143" s="1"/>
      </tp>
      <tp t="s">
        <v>#N/A N/A</v>
        <stp/>
        <stp>BDP|17817927295021536385</stp>
        <tr r="Z934" s="1"/>
      </tp>
      <tp t="s">
        <v>#N/A N/A</v>
        <stp/>
        <stp>BDP|16552065296463608910</stp>
        <tr r="Z328" s="1"/>
      </tp>
      <tp t="s">
        <v>#N/A N/A</v>
        <stp/>
        <stp>BDP|15533038347297252366</stp>
        <tr r="AA686" s="1"/>
      </tp>
      <tp t="s">
        <v>#N/A N/A</v>
        <stp/>
        <stp>BDP|11791006995988753509</stp>
        <tr r="AA1000" s="1"/>
      </tp>
      <tp t="s">
        <v>#N/A N/A</v>
        <stp/>
        <stp>BDP|14274807585805219401</stp>
        <tr r="Y461" s="1"/>
      </tp>
      <tp t="s">
        <v>#N/A N/A</v>
        <stp/>
        <stp>BDP|11575007102202168638</stp>
        <tr r="AA1087" s="1"/>
      </tp>
      <tp t="s">
        <v>#N/A N/A</v>
        <stp/>
        <stp>BDP|17453718990639969591</stp>
        <tr r="Y541" s="1"/>
      </tp>
      <tp t="s">
        <v>#N/A N/A</v>
        <stp/>
        <stp>BDP|15421985522509956225</stp>
        <tr r="Y1256" s="1"/>
      </tp>
      <tp t="s">
        <v>#N/A N/A</v>
        <stp/>
        <stp>BDP|15445382207194916776</stp>
        <tr r="Z144" s="1"/>
      </tp>
      <tp t="s">
        <v>#N/A N/A</v>
        <stp/>
        <stp>BDP|12655518246067680125</stp>
        <tr r="Y811" s="1"/>
      </tp>
      <tp t="s">
        <v>#N/A N/A</v>
        <stp/>
        <stp>BDP|12092348221047705176</stp>
        <tr r="Y985" s="1"/>
      </tp>
      <tp t="s">
        <v>#N/A N/A</v>
        <stp/>
        <stp>BDP|11835599057616627259</stp>
        <tr r="Z669" s="1"/>
      </tp>
      <tp t="s">
        <v>#N/A N/A</v>
        <stp/>
        <stp>BDP|12255415047945279226</stp>
        <tr r="Y895" s="1"/>
      </tp>
      <tp t="s">
        <v>#N/A N/A</v>
        <stp/>
        <stp>BDP|15506279846637231120</stp>
        <tr r="Y1270" s="1"/>
      </tp>
      <tp t="s">
        <v>#N/A N/A</v>
        <stp/>
        <stp>BDP|17714391718386213601</stp>
        <tr r="Y841" s="1"/>
      </tp>
      <tp t="s">
        <v>#N/A N/A</v>
        <stp/>
        <stp>BDP|13430369377470942289</stp>
        <tr r="AA454" s="1"/>
      </tp>
      <tp t="s">
        <v>#N/A N/A</v>
        <stp/>
        <stp>BDP|11003535336211904386</stp>
        <tr r="Y252" s="1"/>
      </tp>
      <tp t="s">
        <v>#N/A N/A</v>
        <stp/>
        <stp>BDP|12227924043472606812</stp>
        <tr r="Z929" s="1"/>
      </tp>
      <tp t="s">
        <v>#N/A N/A</v>
        <stp/>
        <stp>BDP|10055164984349485513</stp>
        <tr r="Y511" s="1"/>
      </tp>
      <tp t="s">
        <v>#N/A N/A</v>
        <stp/>
        <stp>BDP|17407389668904280310</stp>
        <tr r="Z982" s="1"/>
      </tp>
      <tp t="s">
        <v>#N/A N/A</v>
        <stp/>
        <stp>BDP|10738601685069784225</stp>
        <tr r="AA299" s="1"/>
      </tp>
      <tp t="s">
        <v>#N/A N/A</v>
        <stp/>
        <stp>BDP|14274664124542000778</stp>
        <tr r="AA178" s="1"/>
      </tp>
      <tp t="s">
        <v>#N/A N/A</v>
        <stp/>
        <stp>BDP|10211834083413544608</stp>
        <tr r="Y757" s="1"/>
      </tp>
      <tp t="s">
        <v>#N/A N/A</v>
        <stp/>
        <stp>BDP|16202210946614014124</stp>
        <tr r="Y495" s="1"/>
      </tp>
      <tp t="s">
        <v>#N/A N/A</v>
        <stp/>
        <stp>BDP|15966994218291840975</stp>
        <tr r="Z537" s="1"/>
      </tp>
      <tp t="s">
        <v>#N/A N/A</v>
        <stp/>
        <stp>BDP|16659368078893982476</stp>
        <tr r="Y726" s="1"/>
      </tp>
      <tp t="s">
        <v>#N/A N/A</v>
        <stp/>
        <stp>BDP|15930230969361621538</stp>
        <tr r="Z833" s="1"/>
      </tp>
      <tp t="s">
        <v>#N/A N/A</v>
        <stp/>
        <stp>BDP|10378693059240584604</stp>
        <tr r="Z195" s="1"/>
      </tp>
      <tp t="s">
        <v>#N/A N/A</v>
        <stp/>
        <stp>BDP|15245558524733414417</stp>
        <tr r="Y95" s="1"/>
      </tp>
      <tp t="s">
        <v>#N/A N/A</v>
        <stp/>
        <stp>BDP|16126461717086203041</stp>
        <tr r="Z15" s="1"/>
      </tp>
      <tp t="s">
        <v>#N/A N/A</v>
        <stp/>
        <stp>BDP|11636440303960490032</stp>
        <tr r="AA1076" s="1"/>
      </tp>
      <tp t="s">
        <v>#N/A N/A</v>
        <stp/>
        <stp>BDP|15901587161720200345</stp>
        <tr r="Y404" s="1"/>
      </tp>
    </main>
    <main first="bofaddin.rtdserver">
      <tp t="s">
        <v>#N/A N/A</v>
        <stp/>
        <stp>BDP|8263083666596286</stp>
        <tr r="Y602" s="1"/>
      </tp>
      <tp t="s">
        <v>#N/A N/A</v>
        <stp/>
        <stp>BDP|9944579555302347723</stp>
        <tr r="AA1172" s="1"/>
      </tp>
      <tp t="s">
        <v>#N/A N/A</v>
        <stp/>
        <stp>BDP|1955909036191262674</stp>
        <tr r="Y307" s="1"/>
      </tp>
      <tp t="s">
        <v>#N/A N/A</v>
        <stp/>
        <stp>BDP|2804938944070314366</stp>
        <tr r="Y1120" s="1"/>
      </tp>
      <tp t="s">
        <v>#N/A N/A</v>
        <stp/>
        <stp>BDP|3622710790508860950</stp>
        <tr r="Z1242" s="1"/>
      </tp>
      <tp t="s">
        <v>#N/A N/A</v>
        <stp/>
        <stp>BDP|5372388406362481831</stp>
        <tr r="AA423" s="1"/>
      </tp>
      <tp t="s">
        <v>#N/A N/A</v>
        <stp/>
        <stp>BDP|4727640398052076511</stp>
        <tr r="Z1142" s="1"/>
      </tp>
      <tp t="s">
        <v>#N/A N/A</v>
        <stp/>
        <stp>BDP|4679661385235956366</stp>
        <tr r="Z673" s="1"/>
      </tp>
      <tp t="s">
        <v>#N/A N/A</v>
        <stp/>
        <stp>BDP|7789042940986153981</stp>
        <tr r="Y939" s="1"/>
      </tp>
      <tp t="s">
        <v>#N/A N/A</v>
        <stp/>
        <stp>BDP|8260590721312996185</stp>
        <tr r="Y198" s="1"/>
      </tp>
      <tp t="s">
        <v>#N/A N/A</v>
        <stp/>
        <stp>BDP|4868874246997557374</stp>
        <tr r="Y102" s="1"/>
      </tp>
      <tp t="s">
        <v>#N/A N/A</v>
        <stp/>
        <stp>BDP|7003915524012632289</stp>
        <tr r="Z920" s="1"/>
      </tp>
      <tp t="s">
        <v>#N/A N/A</v>
        <stp/>
        <stp>BDP|1914721507442032879</stp>
        <tr r="AA826" s="1"/>
      </tp>
      <tp t="s">
        <v>#N/A N/A</v>
        <stp/>
        <stp>BDP|9758748849900648673</stp>
        <tr r="AA225" s="1"/>
      </tp>
      <tp t="s">
        <v>#N/A N/A</v>
        <stp/>
        <stp>BDP|1857221830638923485</stp>
        <tr r="Y1296" s="1"/>
      </tp>
      <tp t="s">
        <v>#N/A N/A</v>
        <stp/>
        <stp>BDP|8016381751426345417</stp>
        <tr r="AA44" s="1"/>
      </tp>
      <tp t="s">
        <v>#N/A N/A</v>
        <stp/>
        <stp>BDP|8339172265353808025</stp>
        <tr r="AA665" s="1"/>
      </tp>
      <tp t="s">
        <v>#N/A N/A</v>
        <stp/>
        <stp>BDP|3695479795004968660</stp>
        <tr r="Z817" s="1"/>
      </tp>
      <tp t="s">
        <v>#N/A N/A</v>
        <stp/>
        <stp>BDP|5889047640019732434</stp>
        <tr r="Z68" s="1"/>
      </tp>
      <tp t="s">
        <v>#N/A N/A</v>
        <stp/>
        <stp>BDP|4675179577326971870</stp>
        <tr r="AA896" s="1"/>
      </tp>
      <tp t="s">
        <v>#N/A N/A</v>
        <stp/>
        <stp>BDP|4910930210544086421</stp>
        <tr r="AA513" s="1"/>
      </tp>
      <tp t="s">
        <v>#N/A N/A</v>
        <stp/>
        <stp>BDP|5360680040752589964</stp>
        <tr r="Y231" s="1"/>
      </tp>
      <tp t="s">
        <v>#N/A N/A</v>
        <stp/>
        <stp>BDP|1930173725379186727</stp>
        <tr r="Y1083" s="1"/>
      </tp>
      <tp t="s">
        <v>#N/A N/A</v>
        <stp/>
        <stp>BDP|1666894106776931389</stp>
        <tr r="Y157" s="1"/>
      </tp>
      <tp t="s">
        <v>#N/A N/A</v>
        <stp/>
        <stp>BDP|4256876510425929441</stp>
        <tr r="Z242" s="1"/>
      </tp>
      <tp t="s">
        <v>#N/A N/A</v>
        <stp/>
        <stp>BDP|6176857030463447298</stp>
        <tr r="AA214" s="1"/>
      </tp>
      <tp t="s">
        <v>#N/A N/A</v>
        <stp/>
        <stp>BDP|3896311126567113974</stp>
        <tr r="Z1303" s="1"/>
      </tp>
      <tp t="s">
        <v>#N/A N/A</v>
        <stp/>
        <stp>BDP|4284695959473860835</stp>
        <tr r="AA298" s="1"/>
      </tp>
      <tp t="s">
        <v>#N/A N/A</v>
        <stp/>
        <stp>BDP|8245675138198365979</stp>
        <tr r="AA93" s="1"/>
      </tp>
      <tp t="s">
        <v>#N/A N/A</v>
        <stp/>
        <stp>BDP|9501134555723357297</stp>
        <tr r="Y559" s="1"/>
      </tp>
      <tp t="s">
        <v>#N/A N/A</v>
        <stp/>
        <stp>BDP|5447190195055815495</stp>
        <tr r="Z1061" s="1"/>
      </tp>
      <tp t="s">
        <v>#N/A N/A</v>
        <stp/>
        <stp>BDP|2609441982501816310</stp>
        <tr r="Y908" s="1"/>
      </tp>
      <tp t="s">
        <v>#N/A N/A</v>
        <stp/>
        <stp>BDP|9778036857639973949</stp>
        <tr r="AA469" s="1"/>
      </tp>
      <tp t="s">
        <v>#N/A N/A</v>
        <stp/>
        <stp>BDP|8737290266820703010</stp>
        <tr r="Y1232" s="1"/>
      </tp>
      <tp t="s">
        <v>#N/A N/A</v>
        <stp/>
        <stp>BDP|5007299011452340852</stp>
        <tr r="Z1032" s="1"/>
      </tp>
      <tp t="s">
        <v>#N/A N/A</v>
        <stp/>
        <stp>BDP|7695033544479903660</stp>
        <tr r="AA718" s="1"/>
      </tp>
      <tp t="s">
        <v>#N/A N/A</v>
        <stp/>
        <stp>BDP|2566386037567687923</stp>
        <tr r="Y81" s="1"/>
      </tp>
      <tp t="s">
        <v>#N/A N/A</v>
        <stp/>
        <stp>BDP|5079489190412021669</stp>
        <tr r="AA900" s="1"/>
      </tp>
      <tp t="s">
        <v>#N/A N/A</v>
        <stp/>
        <stp>BDP|5230882374591112716</stp>
        <tr r="Y970" s="1"/>
      </tp>
      <tp t="s">
        <v>#N/A N/A</v>
        <stp/>
        <stp>BDP|9346321457555123696</stp>
        <tr r="AA37" s="1"/>
      </tp>
      <tp t="s">
        <v>#N/A N/A</v>
        <stp/>
        <stp>BDP|9395202896366898835</stp>
        <tr r="AA934" s="1"/>
      </tp>
      <tp t="s">
        <v>#N/A N/A</v>
        <stp/>
        <stp>BDP|5783715410749093685</stp>
        <tr r="Z599" s="1"/>
      </tp>
      <tp t="s">
        <v>#N/A N/A</v>
        <stp/>
        <stp>BDP|2888376795791123542</stp>
        <tr r="AA1022" s="1"/>
      </tp>
      <tp t="s">
        <v>#N/A N/A</v>
        <stp/>
        <stp>BDP|7565255470666959868</stp>
        <tr r="AA158" s="1"/>
      </tp>
      <tp t="s">
        <v>#N/A N/A</v>
        <stp/>
        <stp>BDP|1833281009899753615</stp>
        <tr r="Z327" s="1"/>
      </tp>
      <tp t="s">
        <v>#N/A N/A</v>
        <stp/>
        <stp>BDP|5579087266666465901</stp>
        <tr r="Z1028" s="1"/>
      </tp>
      <tp t="s">
        <v>#N/A N/A</v>
        <stp/>
        <stp>BDP|8000313929411200453</stp>
        <tr r="Y92" s="1"/>
      </tp>
      <tp t="s">
        <v>#N/A N/A</v>
        <stp/>
        <stp>BDP|9760855354631912902</stp>
        <tr r="AA958" s="1"/>
      </tp>
      <tp t="s">
        <v>#N/A N/A</v>
        <stp/>
        <stp>BDP|7766421991531139791</stp>
        <tr r="Z1305" s="1"/>
      </tp>
      <tp t="s">
        <v>#N/A N/A</v>
        <stp/>
        <stp>BDP|8705128480305890811</stp>
        <tr r="AA1301" s="1"/>
      </tp>
      <tp t="s">
        <v>#N/A N/A</v>
        <stp/>
        <stp>BDP|9506892736916083860</stp>
        <tr r="AA519" s="1"/>
      </tp>
      <tp t="s">
        <v>#N/A N/A</v>
        <stp/>
        <stp>BDP|2472595246987097871</stp>
        <tr r="AA324" s="1"/>
      </tp>
      <tp t="s">
        <v>#N/A N/A</v>
        <stp/>
        <stp>BDP|6420911528609447853</stp>
        <tr r="AA1193" s="1"/>
      </tp>
      <tp t="s">
        <v>#N/A N/A</v>
        <stp/>
        <stp>BDP|7609588112407562858</stp>
        <tr r="Z1036" s="1"/>
      </tp>
      <tp t="s">
        <v>#N/A N/A</v>
        <stp/>
        <stp>BDP|8856282576945392492</stp>
        <tr r="Z794" s="1"/>
      </tp>
      <tp t="s">
        <v>#N/A N/A</v>
        <stp/>
        <stp>BDP|8803698101700494283</stp>
        <tr r="Z1055" s="1"/>
      </tp>
      <tp t="s">
        <v>#N/A N/A</v>
        <stp/>
        <stp>BDP|1824428628613693882</stp>
        <tr r="Y1021" s="1"/>
      </tp>
      <tp t="s">
        <v>#N/A N/A</v>
        <stp/>
        <stp>BDP|3758638433193989922</stp>
        <tr r="Y43" s="1"/>
      </tp>
      <tp t="s">
        <v>#N/A N/A</v>
        <stp/>
        <stp>BDP|2382694280317137767</stp>
        <tr r="Z697" s="1"/>
      </tp>
      <tp t="s">
        <v>#N/A N/A</v>
        <stp/>
        <stp>BDP|9553174250145888474</stp>
        <tr r="AA160" s="1"/>
      </tp>
      <tp t="s">
        <v>#N/A N/A</v>
        <stp/>
        <stp>BDP|2510511191354950618</stp>
        <tr r="AA213" s="1"/>
      </tp>
      <tp t="s">
        <v>#N/A N/A</v>
        <stp/>
        <stp>BDP|3114014220164496993</stp>
        <tr r="Z160" s="1"/>
      </tp>
      <tp t="s">
        <v>#N/A N/A</v>
        <stp/>
        <stp>BDP|5447986405262169258</stp>
        <tr r="Y90" s="1"/>
      </tp>
      <tp t="s">
        <v>#N/A N/A</v>
        <stp/>
        <stp>BDP|1576451562388836778</stp>
        <tr r="AA438" s="1"/>
      </tp>
      <tp t="s">
        <v>#N/A N/A</v>
        <stp/>
        <stp>BDP|8920430774943728448</stp>
        <tr r="AA707" s="1"/>
      </tp>
      <tp t="s">
        <v>#N/A N/A</v>
        <stp/>
        <stp>BDP|7114885857137509165</stp>
        <tr r="AA145" s="1"/>
      </tp>
      <tp t="s">
        <v>#N/A N/A</v>
        <stp/>
        <stp>BDP|3408433631981396983</stp>
        <tr r="Y227" s="1"/>
      </tp>
      <tp t="s">
        <v>#N/A N/A</v>
        <stp/>
        <stp>BDP|1415064471822469850</stp>
        <tr r="AA916" s="1"/>
      </tp>
      <tp t="s">
        <v>#N/A N/A</v>
        <stp/>
        <stp>BDP|2460646957505465819</stp>
        <tr r="Z601" s="1"/>
      </tp>
      <tp t="s">
        <v>#N/A N/A</v>
        <stp/>
        <stp>BDP|8107421733464713758</stp>
        <tr r="Z854" s="1"/>
      </tp>
      <tp t="s">
        <v>#N/A N/A</v>
        <stp/>
        <stp>BDP|1826970469092712030</stp>
        <tr r="Y489" s="1"/>
      </tp>
      <tp t="s">
        <v>#N/A N/A</v>
        <stp/>
        <stp>BDP|1011940810935388057</stp>
        <tr r="Z199" s="1"/>
      </tp>
      <tp t="s">
        <v>#N/A N/A</v>
        <stp/>
        <stp>BDP|2686797929368724338</stp>
        <tr r="Z273" s="1"/>
      </tp>
      <tp t="s">
        <v>#N/A N/A</v>
        <stp/>
        <stp>BDP|7502584228369719500</stp>
        <tr r="Y678" s="1"/>
      </tp>
      <tp t="s">
        <v>#N/A N/A</v>
        <stp/>
        <stp>BDP|2873456293414838740</stp>
        <tr r="Z1289" s="1"/>
      </tp>
      <tp t="s">
        <v>#N/A N/A</v>
        <stp/>
        <stp>BDP|6654802241950259663</stp>
        <tr r="AA925" s="1"/>
      </tp>
      <tp t="s">
        <v>#N/A N/A</v>
        <stp/>
        <stp>BDP|9539084461802730186</stp>
        <tr r="Z542" s="1"/>
      </tp>
      <tp t="s">
        <v>#N/A N/A</v>
        <stp/>
        <stp>BDP|5659918721653329168</stp>
        <tr r="AA319" s="1"/>
      </tp>
      <tp t="s">
        <v>#N/A N/A</v>
        <stp/>
        <stp>BDP|3219902761348162817</stp>
        <tr r="AA272" s="1"/>
      </tp>
      <tp t="s">
        <v>#N/A N/A</v>
        <stp/>
        <stp>BDP|1362972001676045266</stp>
        <tr r="Z243" s="1"/>
      </tp>
      <tp t="s">
        <v>#N/A N/A</v>
        <stp/>
        <stp>BDP|8061213968049829925</stp>
        <tr r="AA949" s="1"/>
      </tp>
      <tp t="s">
        <v>#N/A N/A</v>
        <stp/>
        <stp>BDP|3565707861597150964</stp>
        <tr r="Y143" s="1"/>
      </tp>
      <tp t="s">
        <v>#N/A N/A</v>
        <stp/>
        <stp>BDP|5303834862256238130</stp>
        <tr r="Z792" s="1"/>
      </tp>
      <tp t="s">
        <v>#N/A N/A</v>
        <stp/>
        <stp>BDP|3403877130390378436</stp>
        <tr r="Z975" s="1"/>
      </tp>
      <tp t="s">
        <v>#N/A N/A</v>
        <stp/>
        <stp>BDP|8565226442683387158</stp>
        <tr r="Z1020" s="1"/>
      </tp>
      <tp t="s">
        <v>#N/A N/A</v>
        <stp/>
        <stp>BDP|6649951336587140749</stp>
        <tr r="AA778" s="1"/>
      </tp>
      <tp t="s">
        <v>#N/A N/A</v>
        <stp/>
        <stp>BDP|8090270173397507616</stp>
        <tr r="AA57" s="1"/>
      </tp>
      <tp t="s">
        <v>#N/A N/A</v>
        <stp/>
        <stp>BDP|2717442694165329643</stp>
        <tr r="Y207" s="1"/>
      </tp>
      <tp t="s">
        <v>#N/A N/A</v>
        <stp/>
        <stp>BDP|4643543995106067277</stp>
        <tr r="AA617" s="1"/>
      </tp>
      <tp t="s">
        <v>#N/A N/A</v>
        <stp/>
        <stp>BDP|1279329126018287441</stp>
        <tr r="AA244" s="1"/>
      </tp>
      <tp t="s">
        <v>#N/A N/A</v>
        <stp/>
        <stp>BDP|2895770684297885634</stp>
        <tr r="Y190" s="1"/>
      </tp>
      <tp t="s">
        <v>#N/A N/A</v>
        <stp/>
        <stp>BDP|7121039188013208093</stp>
        <tr r="Z1076" s="1"/>
      </tp>
      <tp t="s">
        <v>#N/A N/A</v>
        <stp/>
        <stp>BDP|9271233871936039612</stp>
        <tr r="Y479" s="1"/>
      </tp>
      <tp t="s">
        <v>#N/A N/A</v>
        <stp/>
        <stp>BDP|6117545164521116810</stp>
        <tr r="AA1030" s="1"/>
      </tp>
      <tp t="s">
        <v>#N/A N/A</v>
        <stp/>
        <stp>BDP|8743154704922781704</stp>
        <tr r="Y1307" s="1"/>
      </tp>
      <tp t="s">
        <v>#N/A N/A</v>
        <stp/>
        <stp>BDP|7393118865159139577</stp>
        <tr r="Z411" s="1"/>
      </tp>
      <tp t="s">
        <v>#N/A N/A</v>
        <stp/>
        <stp>BDP|8581057902834346007</stp>
        <tr r="Z1003" s="1"/>
      </tp>
      <tp t="s">
        <v>#N/A N/A</v>
        <stp/>
        <stp>BDP|5057363597385046607</stp>
        <tr r="AA446" s="1"/>
      </tp>
      <tp t="s">
        <v>#N/A N/A</v>
        <stp/>
        <stp>BDP|9304766011837672443</stp>
        <tr r="Y1119" s="1"/>
      </tp>
      <tp t="s">
        <v>#N/A N/A</v>
        <stp/>
        <stp>BDP|3342459942836397916</stp>
        <tr r="Z345" s="1"/>
      </tp>
      <tp t="s">
        <v>#N/A N/A</v>
        <stp/>
        <stp>BDP|1035534803999546137</stp>
        <tr r="Y502" s="1"/>
      </tp>
      <tp t="s">
        <v>#N/A N/A</v>
        <stp/>
        <stp>BDP|2133610196306987794</stp>
        <tr r="AA539" s="1"/>
      </tp>
      <tp t="s">
        <v>#N/A N/A</v>
        <stp/>
        <stp>BDP|8913098974067388415</stp>
        <tr r="AA27" s="1"/>
      </tp>
      <tp t="s">
        <v>#N/A N/A</v>
        <stp/>
        <stp>BDP|6547799582107951202</stp>
        <tr r="AA379" s="1"/>
      </tp>
      <tp t="s">
        <v>#N/A N/A</v>
        <stp/>
        <stp>BDP|9076339764224718472</stp>
        <tr r="Y717" s="1"/>
      </tp>
      <tp t="s">
        <v>#N/A N/A</v>
        <stp/>
        <stp>BDP|9884486046292706762</stp>
        <tr r="AA988" s="1"/>
      </tp>
      <tp t="s">
        <v>#N/A N/A</v>
        <stp/>
        <stp>BDP|5832399747036592840</stp>
        <tr r="Y506" s="1"/>
      </tp>
      <tp t="s">
        <v>#N/A N/A</v>
        <stp/>
        <stp>BDP|9189593698350088949</stp>
        <tr r="Z269" s="1"/>
      </tp>
      <tp t="s">
        <v>#N/A N/A</v>
        <stp/>
        <stp>BDP|2898597495303311133</stp>
        <tr r="Z155" s="1"/>
      </tp>
      <tp t="s">
        <v>#N/A N/A</v>
        <stp/>
        <stp>BDP|1685400403978094116</stp>
        <tr r="AA523" s="1"/>
      </tp>
      <tp t="s">
        <v>#N/A N/A</v>
        <stp/>
        <stp>BDP|6756938439038885816</stp>
        <tr r="Y173" s="1"/>
      </tp>
      <tp t="s">
        <v>#N/A N/A</v>
        <stp/>
        <stp>BDP|6761117538269848124</stp>
        <tr r="Z10" s="1"/>
      </tp>
      <tp t="s">
        <v>#N/A N/A</v>
        <stp/>
        <stp>BDP|2610661273306594928</stp>
        <tr r="AA812" s="1"/>
      </tp>
      <tp t="s">
        <v>#N/A N/A</v>
        <stp/>
        <stp>BDP|3000422135000516867</stp>
        <tr r="Y950" s="1"/>
      </tp>
      <tp t="s">
        <v>#N/A N/A</v>
        <stp/>
        <stp>BDP|4076982008296641727</stp>
        <tr r="Y922" s="1"/>
      </tp>
      <tp t="s">
        <v>#N/A N/A</v>
        <stp/>
        <stp>BDP|2805216799962427715</stp>
        <tr r="Z721" s="1"/>
      </tp>
      <tp t="s">
        <v>#N/A N/A</v>
        <stp/>
        <stp>BDP|4318804413569481810</stp>
        <tr r="Z88" s="1"/>
      </tp>
      <tp t="s">
        <v>#N/A N/A</v>
        <stp/>
        <stp>BDP|1519537394940452131</stp>
        <tr r="Z521" s="1"/>
      </tp>
      <tp t="s">
        <v>#N/A N/A</v>
        <stp/>
        <stp>BDP|3024854331272000618</stp>
        <tr r="AA559" s="1"/>
      </tp>
      <tp t="s">
        <v>#N/A N/A</v>
        <stp/>
        <stp>BDP|2114547634691481909</stp>
        <tr r="Z808" s="1"/>
      </tp>
      <tp t="s">
        <v>#N/A N/A</v>
        <stp/>
        <stp>BDP|5866149467657689983</stp>
        <tr r="Y807" s="1"/>
      </tp>
      <tp t="s">
        <v>#N/A N/A</v>
        <stp/>
        <stp>BDP|6779465659169937245</stp>
        <tr r="Y344" s="1"/>
      </tp>
      <tp t="s">
        <v>#N/A N/A</v>
        <stp/>
        <stp>BDP|5992509999283678630</stp>
        <tr r="Z422" s="1"/>
      </tp>
      <tp t="s">
        <v>#N/A N/A</v>
        <stp/>
        <stp>BDP|7861594842843775919</stp>
        <tr r="AA9" s="1"/>
      </tp>
      <tp t="s">
        <v>#N/A N/A</v>
        <stp/>
        <stp>BDP|1988775975298693580</stp>
        <tr r="AA282" s="1"/>
      </tp>
      <tp t="s">
        <v>#N/A N/A</v>
        <stp/>
        <stp>BDP|2574466642678842738</stp>
        <tr r="AA398" s="1"/>
      </tp>
      <tp t="s">
        <v>#N/A N/A</v>
        <stp/>
        <stp>BDP|3106737792904973434</stp>
        <tr r="Z904" s="1"/>
      </tp>
      <tp t="s">
        <v>#N/A N/A</v>
        <stp/>
        <stp>BDP|6085716064172706883</stp>
        <tr r="Y860" s="1"/>
      </tp>
      <tp t="s">
        <v>#N/A N/A</v>
        <stp/>
        <stp>BDP|1215865759512210350</stp>
        <tr r="Z14" s="1"/>
      </tp>
      <tp t="s">
        <v>#N/A N/A</v>
        <stp/>
        <stp>BDP|9471512350677645394</stp>
        <tr r="AA735" s="1"/>
      </tp>
      <tp t="s">
        <v>#N/A N/A</v>
        <stp/>
        <stp>BDP|9806005731970170729</stp>
        <tr r="AA474" s="1"/>
      </tp>
      <tp t="s">
        <v>#N/A N/A</v>
        <stp/>
        <stp>BDP|9812770257863056535</stp>
        <tr r="Z44" s="1"/>
      </tp>
      <tp t="s">
        <v>#N/A N/A</v>
        <stp/>
        <stp>BDP|8539539419033628223</stp>
        <tr r="Z571" s="1"/>
      </tp>
      <tp t="s">
        <v>#N/A N/A</v>
        <stp/>
        <stp>BDP|9742438134701890239</stp>
        <tr r="Y1185" s="1"/>
      </tp>
      <tp t="s">
        <v>#N/A N/A</v>
        <stp/>
        <stp>BDP|4019992420133037120</stp>
        <tr r="Z1257" s="1"/>
      </tp>
      <tp t="s">
        <v>#N/A N/A</v>
        <stp/>
        <stp>BDP|8245260793957993954</stp>
        <tr r="AA1291" s="1"/>
      </tp>
      <tp t="s">
        <v>#N/A N/A</v>
        <stp/>
        <stp>BDP|2468585486297925580</stp>
        <tr r="Y279" s="1"/>
      </tp>
      <tp t="s">
        <v>#N/A N/A</v>
        <stp/>
        <stp>BDP|6552353246809442598</stp>
        <tr r="AA2" s="1"/>
      </tp>
      <tp t="s">
        <v>#N/A N/A</v>
        <stp/>
        <stp>BDP|4137205567964590980</stp>
        <tr r="Y761" s="1"/>
      </tp>
      <tp t="s">
        <v>#N/A N/A</v>
        <stp/>
        <stp>BDP|1477451708649793164</stp>
        <tr r="AA635" s="1"/>
      </tp>
      <tp t="s">
        <v>#N/A N/A</v>
        <stp/>
        <stp>BDP|2853340984633842789</stp>
        <tr r="Y442" s="1"/>
      </tp>
      <tp t="s">
        <v>#N/A N/A</v>
        <stp/>
        <stp>BDP|8614797432016278777</stp>
        <tr r="AA1032" s="1"/>
      </tp>
      <tp t="s">
        <v>#N/A N/A</v>
        <stp/>
        <stp>BDP|3710835220842818654</stp>
        <tr r="Y1024" s="1"/>
      </tp>
      <tp t="s">
        <v>#N/A N/A</v>
        <stp/>
        <stp>BDP|2364750168826548820</stp>
        <tr r="AA677" s="1"/>
      </tp>
      <tp t="s">
        <v>#N/A N/A</v>
        <stp/>
        <stp>BDP|4702214161994639983</stp>
        <tr r="Z569" s="1"/>
      </tp>
      <tp t="s">
        <v>#N/A N/A</v>
        <stp/>
        <stp>BDP|5146962956044835004</stp>
        <tr r="Y1163" s="1"/>
      </tp>
      <tp t="s">
        <v>#N/A N/A</v>
        <stp/>
        <stp>BDP|2378746009440734805</stp>
        <tr r="Y681" s="1"/>
      </tp>
      <tp t="s">
        <v>#N/A N/A</v>
        <stp/>
        <stp>BDP|3520193770489137145</stp>
        <tr r="Y971" s="1"/>
      </tp>
      <tp t="s">
        <v>#N/A N/A</v>
        <stp/>
        <stp>BDP|3467729494931326186</stp>
        <tr r="Z1025" s="1"/>
      </tp>
      <tp t="s">
        <v>#N/A N/A</v>
        <stp/>
        <stp>BDP|3146449619409492214</stp>
        <tr r="Z1175" s="1"/>
      </tp>
      <tp t="s">
        <v>#N/A N/A</v>
        <stp/>
        <stp>BDP|5400128290159797986</stp>
        <tr r="Z618" s="1"/>
      </tp>
      <tp t="s">
        <v>#N/A N/A</v>
        <stp/>
        <stp>BDP|1488492620499625357</stp>
        <tr r="AA192" s="1"/>
      </tp>
      <tp t="s">
        <v>#N/A N/A</v>
        <stp/>
        <stp>BDP|6413580950902500973</stp>
        <tr r="Y795" s="1"/>
      </tp>
      <tp t="s">
        <v>#N/A N/A</v>
        <stp/>
        <stp>BDP|9883442964453130572</stp>
        <tr r="AA441" s="1"/>
      </tp>
      <tp t="s">
        <v>#N/A N/A</v>
        <stp/>
        <stp>BDP|5819371495934581610</stp>
        <tr r="AA191" s="1"/>
      </tp>
      <tp t="s">
        <v>#N/A N/A</v>
        <stp/>
        <stp>BDP|6622595240729382328</stp>
        <tr r="AA314" s="1"/>
      </tp>
      <tp t="s">
        <v>#N/A N/A</v>
        <stp/>
        <stp>BDP|5001612380922779488</stp>
        <tr r="Y80" s="1"/>
      </tp>
      <tp t="s">
        <v>#N/A N/A</v>
        <stp/>
        <stp>BDP|7135832408706091455</stp>
        <tr r="AA832" s="1"/>
      </tp>
      <tp t="s">
        <v>#N/A N/A</v>
        <stp/>
        <stp>BDP|9477573674826870006</stp>
        <tr r="Y1105" s="1"/>
      </tp>
      <tp t="s">
        <v>#N/A N/A</v>
        <stp/>
        <stp>BDP|6164805468787117278</stp>
        <tr r="Y277" s="1"/>
      </tp>
      <tp t="s">
        <v>#N/A N/A</v>
        <stp/>
        <stp>BDP|4001087373939624723</stp>
        <tr r="AA165" s="1"/>
      </tp>
      <tp t="s">
        <v>#N/A N/A</v>
        <stp/>
        <stp>BDP|4741848016186327690</stp>
        <tr r="Z1135" s="1"/>
      </tp>
      <tp t="s">
        <v>#N/A N/A</v>
        <stp/>
        <stp>BDP|9216131433971558782</stp>
        <tr r="Y747" s="1"/>
      </tp>
      <tp t="s">
        <v>#N/A N/A</v>
        <stp/>
        <stp>BDP|3962152786662712520</stp>
        <tr r="Z619" s="1"/>
      </tp>
      <tp t="s">
        <v>#N/A N/A</v>
        <stp/>
        <stp>BDP|9550666958473216464</stp>
        <tr r="Z486" s="1"/>
      </tp>
      <tp t="s">
        <v>#N/A N/A</v>
        <stp/>
        <stp>BDP|7913217880661484103</stp>
        <tr r="Y1276" s="1"/>
      </tp>
      <tp t="s">
        <v>#N/A N/A</v>
        <stp/>
        <stp>BDP|5534299615873171849</stp>
        <tr r="Z133" s="1"/>
      </tp>
      <tp t="s">
        <v>#N/A N/A</v>
        <stp/>
        <stp>BDP|6397943005124659681</stp>
        <tr r="Z63" s="1"/>
      </tp>
      <tp t="s">
        <v>#N/A N/A</v>
        <stp/>
        <stp>BDP|9038304629844791129</stp>
        <tr r="AA1146" s="1"/>
      </tp>
      <tp t="s">
        <v>#N/A N/A</v>
        <stp/>
        <stp>BDP|1231437695729865804</stp>
        <tr r="Y1240" s="1"/>
      </tp>
      <tp t="s">
        <v>#N/A N/A</v>
        <stp/>
        <stp>BDP|6549735662813885904</stp>
        <tr r="Y707" s="1"/>
      </tp>
      <tp t="s">
        <v>#N/A N/A</v>
        <stp/>
        <stp>BDP|5991732803706195941</stp>
        <tr r="AA822" s="1"/>
      </tp>
      <tp t="s">
        <v>#N/A N/A</v>
        <stp/>
        <stp>BDP|5896273616629187259</stp>
        <tr r="Y969" s="1"/>
      </tp>
      <tp t="s">
        <v>#N/A N/A</v>
        <stp/>
        <stp>BDP|1159250609978302631</stp>
        <tr r="Y1208" s="1"/>
      </tp>
      <tp t="s">
        <v>#N/A N/A</v>
        <stp/>
        <stp>BDP|4813742086156595027</stp>
        <tr r="AA66" s="1"/>
      </tp>
      <tp t="s">
        <v>#N/A N/A</v>
        <stp/>
        <stp>BDP|8394189768247683585</stp>
        <tr r="Z653" s="1"/>
      </tp>
      <tp t="s">
        <v>#N/A N/A</v>
        <stp/>
        <stp>BDP|5828751386577422025</stp>
        <tr r="Z994" s="1"/>
      </tp>
      <tp t="s">
        <v>#N/A N/A</v>
        <stp/>
        <stp>BDP|4013855616270963070</stp>
        <tr r="Y712" s="1"/>
      </tp>
      <tp t="s">
        <v>#N/A N/A</v>
        <stp/>
        <stp>BDP|7698750399004787001</stp>
        <tr r="AA1101" s="1"/>
      </tp>
      <tp t="s">
        <v>#N/A N/A</v>
        <stp/>
        <stp>BDP|8038580284749078111</stp>
        <tr r="AA273" s="1"/>
      </tp>
      <tp t="s">
        <v>#N/A N/A</v>
        <stp/>
        <stp>BDP|5470573767378192388</stp>
        <tr r="Y245" s="1"/>
      </tp>
      <tp t="s">
        <v>#N/A N/A</v>
        <stp/>
        <stp>BDP|6294343770398696729</stp>
        <tr r="AA719" s="1"/>
      </tp>
      <tp t="s">
        <v>#N/A N/A</v>
        <stp/>
        <stp>BDP|8200270843281082240</stp>
        <tr r="Y728" s="1"/>
      </tp>
      <tp t="s">
        <v>#N/A N/A</v>
        <stp/>
        <stp>BDP|9280218926196698219</stp>
        <tr r="Y1056" s="1"/>
      </tp>
      <tp t="s">
        <v>#N/A N/A</v>
        <stp/>
        <stp>BDP|8748626377974014009</stp>
        <tr r="AA951" s="1"/>
      </tp>
      <tp t="s">
        <v>#N/A N/A</v>
        <stp/>
        <stp>BDP|4768833463095225273</stp>
        <tr r="AA1271" s="1"/>
      </tp>
      <tp t="s">
        <v>#N/A N/A</v>
        <stp/>
        <stp>BDP|9005276644265414753</stp>
        <tr r="Y146" s="1"/>
      </tp>
      <tp t="s">
        <v>#N/A N/A</v>
        <stp/>
        <stp>BDP|2236483497233680182</stp>
        <tr r="Y67" s="1"/>
      </tp>
      <tp t="s">
        <v>#N/A N/A</v>
        <stp/>
        <stp>BDP|8797756515000211365</stp>
        <tr r="AA103" s="1"/>
      </tp>
      <tp t="s">
        <v>#N/A N/A</v>
        <stp/>
        <stp>BDP|6678828136666411655</stp>
        <tr r="AA1290" s="1"/>
      </tp>
      <tp t="s">
        <v>#N/A N/A</v>
        <stp/>
        <stp>BDP|1687273935115611814</stp>
        <tr r="Y507" s="1"/>
      </tp>
      <tp t="s">
        <v>#N/A N/A</v>
        <stp/>
        <stp>BDP|3529175454402513803</stp>
        <tr r="Y998" s="1"/>
      </tp>
      <tp t="s">
        <v>#N/A N/A</v>
        <stp/>
        <stp>BDP|9313949431826263874</stp>
        <tr r="AA117" s="1"/>
      </tp>
      <tp t="s">
        <v>#N/A N/A</v>
        <stp/>
        <stp>BDP|9061002515495452027</stp>
        <tr r="AA706" s="1"/>
      </tp>
      <tp t="s">
        <v>#N/A N/A</v>
        <stp/>
        <stp>BDP|8152250817283051506</stp>
        <tr r="Y840" s="1"/>
      </tp>
      <tp t="s">
        <v>#N/A N/A</v>
        <stp/>
        <stp>BDP|6539985277616844310</stp>
        <tr r="Y1253" s="1"/>
      </tp>
      <tp t="s">
        <v>#N/A N/A</v>
        <stp/>
        <stp>BDP|3144741943229065455</stp>
        <tr r="Z1107" s="1"/>
      </tp>
      <tp t="s">
        <v>#N/A N/A</v>
        <stp/>
        <stp>BDP|9157157256298009816</stp>
        <tr r="Y1259" s="1"/>
      </tp>
      <tp t="s">
        <v>#N/A N/A</v>
        <stp/>
        <stp>BDP|5364669276981206820</stp>
        <tr r="Z1261" s="1"/>
      </tp>
      <tp t="s">
        <v>#N/A N/A</v>
        <stp/>
        <stp>BDP|9393497904530741093</stp>
        <tr r="Y416" s="1"/>
      </tp>
      <tp t="s">
        <v>#N/A N/A</v>
        <stp/>
        <stp>BDP|1095801821896670078</stp>
        <tr r="AA67" s="1"/>
      </tp>
      <tp t="s">
        <v>#N/A N/A</v>
        <stp/>
        <stp>BDP|6210530584603541502</stp>
        <tr r="Y147" s="1"/>
      </tp>
      <tp t="s">
        <v>#N/A N/A</v>
        <stp/>
        <stp>BDP|2293639390273930380</stp>
        <tr r="Z1122" s="1"/>
      </tp>
      <tp t="s">
        <v>#N/A N/A</v>
        <stp/>
        <stp>BDP|4167940567447074124</stp>
        <tr r="AA1027" s="1"/>
      </tp>
      <tp t="s">
        <v>#N/A N/A</v>
        <stp/>
        <stp>BDP|6229844716076678461</stp>
        <tr r="Z1276" s="1"/>
      </tp>
      <tp t="s">
        <v>#N/A N/A</v>
        <stp/>
        <stp>BDP|7240925506972081163</stp>
        <tr r="Y538" s="1"/>
      </tp>
      <tp t="s">
        <v>#N/A N/A</v>
        <stp/>
        <stp>BDP|8321345934475270017</stp>
        <tr r="AA1008" s="1"/>
      </tp>
      <tp t="s">
        <v>#N/A N/A</v>
        <stp/>
        <stp>BDP|2920383886270328443</stp>
        <tr r="AA829" s="1"/>
      </tp>
      <tp t="s">
        <v>#N/A N/A</v>
        <stp/>
        <stp>BDP|7930981043196525173</stp>
        <tr r="AA1052" s="1"/>
      </tp>
      <tp t="s">
        <v>#N/A N/A</v>
        <stp/>
        <stp>BDP|2792941486117480914</stp>
        <tr r="Y423" s="1"/>
      </tp>
      <tp t="s">
        <v>#N/A N/A</v>
        <stp/>
        <stp>BDP|4173534562642302832</stp>
        <tr r="Y1048" s="1"/>
      </tp>
      <tp t="s">
        <v>#N/A N/A</v>
        <stp/>
        <stp>BDP|9130545701387607623</stp>
        <tr r="AA766" s="1"/>
      </tp>
      <tp t="s">
        <v>#N/A N/A</v>
        <stp/>
        <stp>BDP|3575820178154691583</stp>
        <tr r="Z474" s="1"/>
      </tp>
      <tp t="s">
        <v>#N/A N/A</v>
        <stp/>
        <stp>BDP|1571346196740439629</stp>
        <tr r="Z1198" s="1"/>
      </tp>
      <tp t="s">
        <v>#N/A N/A</v>
        <stp/>
        <stp>BDP|2544846665117657639</stp>
        <tr r="Z431" s="1"/>
      </tp>
      <tp t="s">
        <v>#N/A N/A</v>
        <stp/>
        <stp>BDP|6084351649694501881</stp>
        <tr r="AA1278" s="1"/>
      </tp>
      <tp t="s">
        <v>#N/A N/A</v>
        <stp/>
        <stp>BDP|4523732691767273040</stp>
        <tr r="AA702" s="1"/>
      </tp>
      <tp t="s">
        <v>#N/A N/A</v>
        <stp/>
        <stp>BDP|7139460683275326360</stp>
        <tr r="Y358" s="1"/>
      </tp>
      <tp t="s">
        <v>#N/A N/A</v>
        <stp/>
        <stp>BDP|5391186378726494864</stp>
        <tr r="AA1273" s="1"/>
      </tp>
      <tp t="s">
        <v>#N/A N/A</v>
        <stp/>
        <stp>BDP|4285013381519283812</stp>
        <tr r="Z400" s="1"/>
      </tp>
      <tp t="s">
        <v>#N/A N/A</v>
        <stp/>
        <stp>BDP|5158003126403354951</stp>
        <tr r="Z190" s="1"/>
      </tp>
      <tp t="s">
        <v>#N/A N/A</v>
        <stp/>
        <stp>BDP|1178832763234457644</stp>
        <tr r="AA736" s="1"/>
      </tp>
      <tp t="s">
        <v>#N/A N/A</v>
        <stp/>
        <stp>BDP|7149390758998069461</stp>
        <tr r="Y292" s="1"/>
      </tp>
      <tp t="s">
        <v>#N/A N/A</v>
        <stp/>
        <stp>BDP|1223567619118216094</stp>
        <tr r="Z1029" s="1"/>
      </tp>
      <tp t="s">
        <v>#N/A N/A</v>
        <stp/>
        <stp>BDP|1132659901518479279</stp>
        <tr r="Y430" s="1"/>
      </tp>
      <tp t="s">
        <v>#N/A N/A</v>
        <stp/>
        <stp>BDP|6903225660206804957</stp>
        <tr r="Z2" s="1"/>
      </tp>
      <tp t="s">
        <v>#N/A N/A</v>
        <stp/>
        <stp>BDP|4422941007517837796</stp>
        <tr r="AA1259" s="1"/>
      </tp>
      <tp t="s">
        <v>#N/A N/A</v>
        <stp/>
        <stp>BDP|9095373102361657658</stp>
        <tr r="AA574" s="1"/>
      </tp>
      <tp t="s">
        <v>#N/A N/A</v>
        <stp/>
        <stp>BDP|9908582715924373418</stp>
        <tr r="Z59" s="1"/>
      </tp>
      <tp t="s">
        <v>#N/A N/A</v>
        <stp/>
        <stp>BDP|4331465504025065877</stp>
        <tr r="Y1064" s="1"/>
      </tp>
      <tp t="s">
        <v>#N/A N/A</v>
        <stp/>
        <stp>BDP|7608653314925698869</stp>
        <tr r="AA1136" s="1"/>
      </tp>
      <tp t="s">
        <v>#N/A N/A</v>
        <stp/>
        <stp>BDP|4707762766988228028</stp>
        <tr r="Y910" s="1"/>
      </tp>
      <tp t="s">
        <v>#N/A N/A</v>
        <stp/>
        <stp>BDP|9958133652496951664</stp>
        <tr r="Z41" s="1"/>
      </tp>
      <tp t="s">
        <v>#N/A N/A</v>
        <stp/>
        <stp>BDP|6481392368636595877</stp>
        <tr r="Z251" s="1"/>
      </tp>
      <tp t="s">
        <v>#N/A N/A</v>
        <stp/>
        <stp>BDP|8713006256114118475</stp>
        <tr r="AA48" s="1"/>
      </tp>
      <tp t="s">
        <v>#N/A N/A</v>
        <stp/>
        <stp>BDP|8510154732804312369</stp>
        <tr r="Z406" s="1"/>
      </tp>
      <tp t="s">
        <v>#N/A N/A</v>
        <stp/>
        <stp>BDP|4736072502511380868</stp>
        <tr r="Y63" s="1"/>
      </tp>
      <tp t="s">
        <v>#N/A N/A</v>
        <stp/>
        <stp>BDP|1139580529839029241</stp>
        <tr r="Z779" s="1"/>
      </tp>
      <tp t="s">
        <v>#N/A N/A</v>
        <stp/>
        <stp>BDP|5439635923088984496</stp>
        <tr r="Z1211" s="1"/>
      </tp>
      <tp t="s">
        <v>#N/A N/A</v>
        <stp/>
        <stp>BDP|1972978424185874264</stp>
        <tr r="Y1254" s="1"/>
      </tp>
      <tp t="s">
        <v>#N/A N/A</v>
        <stp/>
        <stp>BDP|2775969767691556171</stp>
        <tr r="AA88" s="1"/>
      </tp>
      <tp t="s">
        <v>#N/A N/A</v>
        <stp/>
        <stp>BDP|8866435748477790200</stp>
        <tr r="Y310" s="1"/>
      </tp>
      <tp t="s">
        <v>#N/A N/A</v>
        <stp/>
        <stp>BDP|2445000182060727756</stp>
        <tr r="Y301" s="1"/>
      </tp>
      <tp t="s">
        <v>#N/A N/A</v>
        <stp/>
        <stp>BDP|2007328924126020828</stp>
        <tr r="Y1075" s="1"/>
      </tp>
      <tp t="s">
        <v>#N/A N/A</v>
        <stp/>
        <stp>BDP|7069357663826522978</stp>
        <tr r="Y410" s="1"/>
      </tp>
      <tp t="s">
        <v>#N/A N/A</v>
        <stp/>
        <stp>BDP|7730253699020673193</stp>
        <tr r="AA867" s="1"/>
      </tp>
      <tp t="s">
        <v>#N/A N/A</v>
        <stp/>
        <stp>BDP|7669865566047509368</stp>
        <tr r="Y433" s="1"/>
      </tp>
      <tp t="s">
        <v>#N/A N/A</v>
        <stp/>
        <stp>BDP|9832068344208833871</stp>
        <tr r="Y1216" s="1"/>
      </tp>
      <tp t="s">
        <v>#N/A N/A</v>
        <stp/>
        <stp>BDP|3604309480067168225</stp>
        <tr r="Z299" s="1"/>
      </tp>
      <tp t="s">
        <v>#N/A N/A</v>
        <stp/>
        <stp>BDP|3041213481555669139</stp>
        <tr r="Z1218" s="1"/>
      </tp>
      <tp t="s">
        <v>#N/A N/A</v>
        <stp/>
        <stp>BDP|8836599824167111517</stp>
        <tr r="Z467" s="1"/>
      </tp>
      <tp t="s">
        <v>#N/A N/A</v>
        <stp/>
        <stp>BDP|7619171694866382431</stp>
        <tr r="Z1111" s="1"/>
      </tp>
      <tp t="s">
        <v>#N/A N/A</v>
        <stp/>
        <stp>BDP|5237037116732992842</stp>
        <tr r="Y539" s="1"/>
      </tp>
      <tp t="s">
        <v>#N/A N/A</v>
        <stp/>
        <stp>BDP|2335700979719764578</stp>
        <tr r="Z42" s="1"/>
      </tp>
      <tp t="s">
        <v>#N/A N/A</v>
        <stp/>
        <stp>BDP|4985596947983867856</stp>
        <tr r="AA1003" s="1"/>
      </tp>
      <tp t="s">
        <v>#N/A N/A</v>
        <stp/>
        <stp>BDP|5579078112983889929</stp>
        <tr r="Y183" s="1"/>
      </tp>
      <tp t="s">
        <v>#N/A N/A</v>
        <stp/>
        <stp>BDP|1972242428788979763</stp>
        <tr r="AA687" s="1"/>
      </tp>
      <tp t="s">
        <v>#N/A N/A</v>
        <stp/>
        <stp>BDP|2483997922742299568</stp>
        <tr r="Z719" s="1"/>
      </tp>
      <tp t="s">
        <v>#N/A N/A</v>
        <stp/>
        <stp>BDP|5347098190376678475</stp>
        <tr r="Z71" s="1"/>
      </tp>
      <tp t="s">
        <v>#N/A N/A</v>
        <stp/>
        <stp>BDP|4542885262194530012</stp>
        <tr r="Y792" s="1"/>
      </tp>
      <tp t="s">
        <v>#N/A N/A</v>
        <stp/>
        <stp>BDP|3539480457434558847</stp>
        <tr r="AA1247" s="1"/>
      </tp>
      <tp t="s">
        <v>#N/A N/A</v>
        <stp/>
        <stp>BDP|4470417461798927060</stp>
        <tr r="AA955" s="1"/>
      </tp>
      <tp t="s">
        <v>#N/A N/A</v>
        <stp/>
        <stp>BDP|8157993522995024824</stp>
        <tr r="Y990" s="1"/>
      </tp>
      <tp t="s">
        <v>#N/A N/A</v>
        <stp/>
        <stp>BDP|5245090879299321599</stp>
        <tr r="AA714" s="1"/>
      </tp>
      <tp t="s">
        <v>#N/A N/A</v>
        <stp/>
        <stp>BDP|7677994479114909377</stp>
        <tr r="Y986" s="1"/>
      </tp>
      <tp t="s">
        <v>#N/A N/A</v>
        <stp/>
        <stp>BDP|8906891596560930770</stp>
        <tr r="Y796" s="1"/>
      </tp>
      <tp t="s">
        <v>#N/A N/A</v>
        <stp/>
        <stp>BDP|2553718299146693433</stp>
        <tr r="Y836" s="1"/>
      </tp>
      <tp t="s">
        <v>#N/A N/A</v>
        <stp/>
        <stp>BDP|2905264597096643171</stp>
        <tr r="Y649" s="1"/>
      </tp>
      <tp t="s">
        <v>#N/A N/A</v>
        <stp/>
        <stp>BDP|9675756838493770057</stp>
        <tr r="Y5" s="1"/>
      </tp>
      <tp t="s">
        <v>#N/A N/A</v>
        <stp/>
        <stp>BDP|4610875328349648964</stp>
        <tr r="Y769" s="1"/>
      </tp>
      <tp t="s">
        <v>#N/A N/A</v>
        <stp/>
        <stp>BDP|6011544454339865169</stp>
        <tr r="Z770" s="1"/>
      </tp>
      <tp t="s">
        <v>#N/A N/A</v>
        <stp/>
        <stp>BDP|2394783696076339405</stp>
        <tr r="Y815" s="1"/>
      </tp>
      <tp t="s">
        <v>#N/A N/A</v>
        <stp/>
        <stp>BDP|9969181542040425295</stp>
        <tr r="AA289" s="1"/>
      </tp>
      <tp t="s">
        <v>#N/A N/A</v>
        <stp/>
        <stp>BDP|8402048162863974355</stp>
        <tr r="AA236" s="1"/>
      </tp>
      <tp t="s">
        <v>#N/A N/A</v>
        <stp/>
        <stp>BDP|8198100518850060675</stp>
        <tr r="AA1051" s="1"/>
      </tp>
      <tp t="s">
        <v>#N/A N/A</v>
        <stp/>
        <stp>BDP|6086988966645900294</stp>
        <tr r="Z952" s="1"/>
      </tp>
      <tp t="s">
        <v>#N/A N/A</v>
        <stp/>
        <stp>BDP|1925618575389281715</stp>
        <tr r="AA394" s="1"/>
      </tp>
      <tp t="s">
        <v>#N/A N/A</v>
        <stp/>
        <stp>BDP|8185367118855552152</stp>
        <tr r="Z798" s="1"/>
      </tp>
      <tp t="s">
        <v>#N/A N/A</v>
        <stp/>
        <stp>BDP|1777182513377347801</stp>
        <tr r="Y201" s="1"/>
      </tp>
      <tp t="s">
        <v>#N/A N/A</v>
        <stp/>
        <stp>BDP|9073807598086560025</stp>
        <tr r="AA1275" s="1"/>
      </tp>
      <tp t="s">
        <v>#N/A N/A</v>
        <stp/>
        <stp>BDP|9657217043410319184</stp>
        <tr r="AA833" s="1"/>
      </tp>
      <tp t="s">
        <v>#N/A N/A</v>
        <stp/>
        <stp>BDP|8590528168361207426</stp>
        <tr r="Z727" s="1"/>
      </tp>
      <tp t="s">
        <v>#N/A N/A</v>
        <stp/>
        <stp>BDP|5891926536400532150</stp>
        <tr r="Y327" s="1"/>
      </tp>
      <tp t="s">
        <v>#N/A N/A</v>
        <stp/>
        <stp>BDP|5834970314012134168</stp>
        <tr r="Z845" s="1"/>
      </tp>
      <tp t="s">
        <v>#N/A N/A</v>
        <stp/>
        <stp>BDP|6601292035538780114</stp>
        <tr r="AA578" s="1"/>
      </tp>
      <tp t="s">
        <v>#N/A N/A</v>
        <stp/>
        <stp>BDP|9415644784910154993</stp>
        <tr r="AA664" s="1"/>
      </tp>
      <tp t="s">
        <v>#N/A N/A</v>
        <stp/>
        <stp>BDP|4048545101927176880</stp>
        <tr r="Z1316" s="1"/>
      </tp>
      <tp t="s">
        <v>#N/A N/A</v>
        <stp/>
        <stp>BDP|7858014244899837499</stp>
        <tr r="Y214" s="1"/>
      </tp>
      <tp t="s">
        <v>#N/A N/A</v>
        <stp/>
        <stp>BDP|9069764514237916674</stp>
        <tr r="AA372" s="1"/>
      </tp>
      <tp t="s">
        <v>#N/A N/A</v>
        <stp/>
        <stp>BDP|1337947742796017495</stp>
        <tr r="Z1187" s="1"/>
      </tp>
      <tp t="s">
        <v>#N/A N/A</v>
        <stp/>
        <stp>BDP|8880925227459335437</stp>
        <tr r="Z821" s="1"/>
      </tp>
      <tp t="s">
        <v>#N/A N/A</v>
        <stp/>
        <stp>BDP|3682542951708606580</stp>
        <tr r="Z556" s="1"/>
      </tp>
      <tp t="s">
        <v>#N/A N/A</v>
        <stp/>
        <stp>BDP|1124985134852305733</stp>
        <tr r="AA654" s="1"/>
      </tp>
      <tp t="s">
        <v>#N/A N/A</v>
        <stp/>
        <stp>BDP|6932913810783115348</stp>
        <tr r="Y1288" s="1"/>
      </tp>
      <tp t="s">
        <v>#N/A N/A</v>
        <stp/>
        <stp>BDP|9890309577671270200</stp>
        <tr r="Y896" s="1"/>
      </tp>
      <tp t="s">
        <v>#N/A N/A</v>
        <stp/>
        <stp>BDP|2249752489602769146</stp>
        <tr r="Y800" s="1"/>
      </tp>
      <tp t="s">
        <v>#N/A N/A</v>
        <stp/>
        <stp>BDP|5874904246244479275</stp>
        <tr r="Z813" s="1"/>
      </tp>
      <tp t="s">
        <v>#N/A N/A</v>
        <stp/>
        <stp>BDP|3789858575206893429</stp>
        <tr r="AA765" s="1"/>
      </tp>
      <tp t="s">
        <v>#N/A N/A</v>
        <stp/>
        <stp>BDP|8708698536937700424</stp>
        <tr r="Z1095" s="1"/>
      </tp>
      <tp t="s">
        <v>#N/A N/A</v>
        <stp/>
        <stp>BDP|4512164898824917607</stp>
        <tr r="Z652" s="1"/>
      </tp>
      <tp t="s">
        <v>#N/A N/A</v>
        <stp/>
        <stp>BDP|5038465752988479226</stp>
        <tr r="Y475" s="1"/>
      </tp>
      <tp t="s">
        <v>#N/A N/A</v>
        <stp/>
        <stp>BDP|8737446134512418311</stp>
        <tr r="AA1195" s="1"/>
      </tp>
      <tp t="s">
        <v>#N/A N/A</v>
        <stp/>
        <stp>BDP|5803152677285140896</stp>
        <tr r="Z851" s="1"/>
      </tp>
      <tp t="s">
        <v>#N/A N/A</v>
        <stp/>
        <stp>BDP|8490624423223737109</stp>
        <tr r="Y1241" s="1"/>
      </tp>
      <tp t="s">
        <v>#N/A N/A</v>
        <stp/>
        <stp>BDP|5213521480590729650</stp>
        <tr r="Y913" s="1"/>
      </tp>
      <tp t="s">
        <v>#N/A N/A</v>
        <stp/>
        <stp>BDP|6931747348852599923</stp>
        <tr r="AA205" s="1"/>
      </tp>
      <tp t="s">
        <v>#N/A N/A</v>
        <stp/>
        <stp>BDP|3534842842955867481</stp>
        <tr r="Z589" s="1"/>
      </tp>
      <tp t="s">
        <v>#N/A N/A</v>
        <stp/>
        <stp>BDP|7662276000839629245</stp>
        <tr r="Y1286" s="1"/>
      </tp>
      <tp t="s">
        <v>#N/A N/A</v>
        <stp/>
        <stp>BDP|3357873417861941594</stp>
        <tr r="Z832" s="1"/>
      </tp>
      <tp t="s">
        <v>#N/A N/A</v>
        <stp/>
        <stp>BDP|5262836713516060412</stp>
        <tr r="Z414" s="1"/>
      </tp>
      <tp t="s">
        <v>#N/A N/A</v>
        <stp/>
        <stp>BDP|7917402386450902557</stp>
        <tr r="Z47" s="1"/>
      </tp>
      <tp t="s">
        <v>#N/A N/A</v>
        <stp/>
        <stp>BDP|3498107224997537961</stp>
        <tr r="Z602" s="1"/>
      </tp>
      <tp t="s">
        <v>#N/A N/A</v>
        <stp/>
        <stp>BDP|8471603961351617703</stp>
        <tr r="AA836" s="1"/>
      </tp>
      <tp t="s">
        <v>#N/A N/A</v>
        <stp/>
        <stp>BDP|1092759771526612925</stp>
        <tr r="Z1034" s="1"/>
      </tp>
      <tp t="s">
        <v>#N/A N/A</v>
        <stp/>
        <stp>BDP|3121234490776695049</stp>
        <tr r="AA777" s="1"/>
      </tp>
      <tp t="s">
        <v>#N/A N/A</v>
        <stp/>
        <stp>BDP|1004195000426815811</stp>
        <tr r="Y1190" s="1"/>
      </tp>
      <tp t="s">
        <v>#N/A N/A</v>
        <stp/>
        <stp>BDP|1362924133560366510</stp>
        <tr r="Z885" s="1"/>
      </tp>
      <tp t="s">
        <v>#N/A N/A</v>
        <stp/>
        <stp>BDP|4329907109721335291</stp>
        <tr r="Y1099" s="1"/>
      </tp>
      <tp t="s">
        <v>#N/A N/A</v>
        <stp/>
        <stp>BDP|8778516091303474937</stp>
        <tr r="Y627" s="1"/>
      </tp>
      <tp t="s">
        <v>#N/A N/A</v>
        <stp/>
        <stp>BDP|8166752834350437240</stp>
        <tr r="Y429" s="1"/>
      </tp>
      <tp t="s">
        <v>#N/A N/A</v>
        <stp/>
        <stp>BDP|5121891812562279098</stp>
        <tr r="AA31" s="1"/>
      </tp>
      <tp t="s">
        <v>#N/A N/A</v>
        <stp/>
        <stp>BDP|6070339156268532617</stp>
        <tr r="Z529" s="1"/>
      </tp>
      <tp t="s">
        <v>#N/A N/A</v>
        <stp/>
        <stp>BDP|4118991346504966369</stp>
        <tr r="Y474" s="1"/>
      </tp>
      <tp t="s">
        <v>#N/A N/A</v>
        <stp/>
        <stp>BDP|2240153044431753859</stp>
        <tr r="Z351" s="1"/>
      </tp>
      <tp t="s">
        <v>#N/A N/A</v>
        <stp/>
        <stp>BDP|1753446860155346817</stp>
        <tr r="AA481" s="1"/>
      </tp>
      <tp t="s">
        <v>#N/A N/A</v>
        <stp/>
        <stp>BDP|2823323297115513392</stp>
        <tr r="Z977" s="1"/>
      </tp>
      <tp t="s">
        <v>#N/A N/A</v>
        <stp/>
        <stp>BDP|8459231094128287509</stp>
        <tr r="Y110" s="1"/>
      </tp>
      <tp t="s">
        <v>#N/A N/A</v>
        <stp/>
        <stp>BDP|9447272011782112624</stp>
        <tr r="AA901" s="1"/>
      </tp>
      <tp t="s">
        <v>#N/A N/A</v>
        <stp/>
        <stp>BDP|1762508262809781539</stp>
        <tr r="Z621" s="1"/>
      </tp>
      <tp t="s">
        <v>#N/A N/A</v>
        <stp/>
        <stp>BDP|7885997630296451531</stp>
        <tr r="AA1258" s="1"/>
      </tp>
      <tp t="s">
        <v>#N/A N/A</v>
        <stp/>
        <stp>BDP|9619697831185080785</stp>
        <tr r="Z1309" s="1"/>
      </tp>
      <tp t="s">
        <v>#N/A N/A</v>
        <stp/>
        <stp>BDP|9593018835113155764</stp>
        <tr r="AA870" s="1"/>
      </tp>
      <tp t="s">
        <v>#N/A N/A</v>
        <stp/>
        <stp>BDP|2682221482670228628</stp>
        <tr r="Y1226" s="1"/>
      </tp>
      <tp t="s">
        <v>#N/A N/A</v>
        <stp/>
        <stp>BDP|3325797596647949431</stp>
        <tr r="AA661" s="1"/>
      </tp>
      <tp t="s">
        <v>#N/A N/A</v>
        <stp/>
        <stp>BDP|5570104593667390427</stp>
        <tr r="Y113" s="1"/>
      </tp>
      <tp t="s">
        <v>#N/A N/A</v>
        <stp/>
        <stp>BDP|5939813668857122260</stp>
        <tr r="Z803" s="1"/>
      </tp>
      <tp t="s">
        <v>#N/A N/A</v>
        <stp/>
        <stp>BDP|6233324772864548807</stp>
        <tr r="AA1019" s="1"/>
      </tp>
      <tp t="s">
        <v>#N/A N/A</v>
        <stp/>
        <stp>BDP|7785976211312536331</stp>
        <tr r="AA738" s="1"/>
      </tp>
      <tp t="s">
        <v>#N/A N/A</v>
        <stp/>
        <stp>BDP|9808666666545799285</stp>
        <tr r="AA554" s="1"/>
      </tp>
      <tp t="s">
        <v>#N/A N/A</v>
        <stp/>
        <stp>BDP|8756661718204614584</stp>
        <tr r="Z1063" s="1"/>
      </tp>
      <tp t="s">
        <v>#N/A N/A</v>
        <stp/>
        <stp>BDP|6881583815665370918</stp>
        <tr r="AA740" s="1"/>
      </tp>
      <tp t="s">
        <v>#N/A N/A</v>
        <stp/>
        <stp>BDP|7296066675498556607</stp>
        <tr r="AA785" s="1"/>
      </tp>
      <tp t="s">
        <v>#N/A N/A</v>
        <stp/>
        <stp>BDP|9147598885138048292</stp>
        <tr r="AA1319" s="1"/>
      </tp>
      <tp t="s">
        <v>#N/A N/A</v>
        <stp/>
        <stp>BDP|2958818206050903437</stp>
        <tr r="Z961" s="1"/>
      </tp>
      <tp t="s">
        <v>#N/A N/A</v>
        <stp/>
        <stp>BDP|4380370682605428461</stp>
        <tr r="Y254" s="1"/>
      </tp>
      <tp t="s">
        <v>#N/A N/A</v>
        <stp/>
        <stp>BDP|9371075777986140662</stp>
        <tr r="AA502" s="1"/>
      </tp>
      <tp t="s">
        <v>#N/A N/A</v>
        <stp/>
        <stp>BDP|4749372247159491470</stp>
        <tr r="Z19" s="1"/>
      </tp>
      <tp t="s">
        <v>#N/A N/A</v>
        <stp/>
        <stp>BDP|1012347419109900404</stp>
        <tr r="Y563" s="1"/>
      </tp>
      <tp t="s">
        <v>#N/A N/A</v>
        <stp/>
        <stp>BDP|3878899045816608764</stp>
        <tr r="Y992" s="1"/>
      </tp>
      <tp t="s">
        <v>#N/A N/A</v>
        <stp/>
        <stp>BDP|3591310763891756941</stp>
        <tr r="Z732" s="1"/>
      </tp>
      <tp t="s">
        <v>#N/A N/A</v>
        <stp/>
        <stp>BDP|1136651450764653866</stp>
        <tr r="Y736" s="1"/>
      </tp>
      <tp t="s">
        <v>#N/A N/A</v>
        <stp/>
        <stp>BDP|6588886112444247586</stp>
        <tr r="Z46" s="1"/>
      </tp>
      <tp t="s">
        <v>#N/A N/A</v>
        <stp/>
        <stp>BDP|4420125346216083956</stp>
        <tr r="Z504" s="1"/>
      </tp>
      <tp t="s">
        <v>#N/A N/A</v>
        <stp/>
        <stp>BDP|2385602624829280100</stp>
        <tr r="AA930" s="1"/>
      </tp>
      <tp t="s">
        <v>#N/A N/A</v>
        <stp/>
        <stp>BDP|1419809617123268540</stp>
        <tr r="AA994" s="1"/>
      </tp>
      <tp t="s">
        <v>#N/A N/A</v>
        <stp/>
        <stp>BDP|2631107788596884339</stp>
        <tr r="Y91" s="1"/>
      </tp>
      <tp t="s">
        <v>#N/A N/A</v>
        <stp/>
        <stp>BDP|4213328912068792002</stp>
        <tr r="Y1177" s="1"/>
      </tp>
      <tp t="s">
        <v>#N/A N/A</v>
        <stp/>
        <stp>BDP|8538346256509488895</stp>
        <tr r="Z939" s="1"/>
      </tp>
      <tp t="s">
        <v>#N/A N/A</v>
        <stp/>
        <stp>BDP|3436464219090482952</stp>
        <tr r="Z843" s="1"/>
      </tp>
      <tp t="s">
        <v>#N/A N/A</v>
        <stp/>
        <stp>BDP|3861943077746393427</stp>
        <tr r="Y793" s="1"/>
      </tp>
      <tp t="s">
        <v>#N/A N/A</v>
        <stp/>
        <stp>BDP|3422973171460029286</stp>
        <tr r="AA712" s="1"/>
      </tp>
      <tp t="s">
        <v>#N/A N/A</v>
        <stp/>
        <stp>BDP|4780935478520621509</stp>
        <tr r="AA1205" s="1"/>
      </tp>
      <tp t="s">
        <v>#N/A N/A</v>
        <stp/>
        <stp>BDP|1244634062639844714</stp>
        <tr r="Y228" s="1"/>
      </tp>
      <tp t="s">
        <v>#N/A N/A</v>
        <stp/>
        <stp>BDP|4709324097910900105</stp>
        <tr r="Z809" s="1"/>
      </tp>
      <tp t="s">
        <v>#N/A N/A</v>
        <stp/>
        <stp>BDP|6464264684994480792</stp>
        <tr r="AA1058" s="1"/>
      </tp>
      <tp t="s">
        <v>#N/A N/A</v>
        <stp/>
        <stp>BDP|8290669240160664593</stp>
        <tr r="Y19" s="1"/>
      </tp>
      <tp t="s">
        <v>#N/A N/A</v>
        <stp/>
        <stp>BDP|5768065803322125885</stp>
        <tr r="Z16" s="1"/>
      </tp>
      <tp t="s">
        <v>#N/A N/A</v>
        <stp/>
        <stp>BDP|5769210029448045240</stp>
        <tr r="AA1223" s="1"/>
      </tp>
      <tp t="s">
        <v>#N/A N/A</v>
        <stp/>
        <stp>BDP|5357767645170183991</stp>
        <tr r="Z481" s="1"/>
      </tp>
      <tp t="s">
        <v>#N/A N/A</v>
        <stp/>
        <stp>BDP|8884702236521787218</stp>
        <tr r="Y89" s="1"/>
      </tp>
      <tp t="s">
        <v>#N/A N/A</v>
        <stp/>
        <stp>BDP|5078917979784690061</stp>
        <tr r="Y691" s="1"/>
      </tp>
      <tp t="s">
        <v>#N/A N/A</v>
        <stp/>
        <stp>BDP|8388254106110971515</stp>
        <tr r="Y1219" s="1"/>
      </tp>
      <tp t="s">
        <v>#N/A N/A</v>
        <stp/>
        <stp>BDP|7546226779755061861</stp>
        <tr r="AA400" s="1"/>
      </tp>
      <tp t="s">
        <v>#N/A N/A</v>
        <stp/>
        <stp>BDP|4806405525409631436</stp>
        <tr r="AA959" s="1"/>
      </tp>
      <tp t="s">
        <v>#N/A N/A</v>
        <stp/>
        <stp>BDP|7741143690002907220</stp>
        <tr r="Y656" s="1"/>
      </tp>
      <tp t="s">
        <v>#N/A N/A</v>
        <stp/>
        <stp>BDP|2390991721373160536</stp>
        <tr r="Z966" s="1"/>
      </tp>
      <tp t="s">
        <v>#N/A N/A</v>
        <stp/>
        <stp>BDP|5986389098096885687</stp>
        <tr r="Y1012" s="1"/>
      </tp>
      <tp t="s">
        <v>#N/A N/A</v>
        <stp/>
        <stp>BDP|7580876550932874730</stp>
        <tr r="Z377" s="1"/>
      </tp>
      <tp t="s">
        <v>#N/A N/A</v>
        <stp/>
        <stp>BDP|9664241785428975470</stp>
        <tr r="AA335" s="1"/>
      </tp>
      <tp t="s">
        <v>#N/A N/A</v>
        <stp/>
        <stp>BDP|7138992530372624077</stp>
        <tr r="Z451" s="1"/>
      </tp>
      <tp t="s">
        <v>#N/A N/A</v>
        <stp/>
        <stp>BDP|7473422278452408937</stp>
        <tr r="Y1029" s="1"/>
      </tp>
      <tp t="s">
        <v>#N/A N/A</v>
        <stp/>
        <stp>BDP|1704821846151540384</stp>
        <tr r="Z488" s="1"/>
      </tp>
      <tp t="s">
        <v>#N/A N/A</v>
        <stp/>
        <stp>BDP|9815957490637627150</stp>
        <tr r="AA351" s="1"/>
      </tp>
      <tp t="s">
        <v>#N/A N/A</v>
        <stp/>
        <stp>BDP|7975309236708589045</stp>
        <tr r="AA373" s="1"/>
      </tp>
      <tp t="s">
        <v>#N/A N/A</v>
        <stp/>
        <stp>BDP|6868543551438045131</stp>
        <tr r="Y1178" s="1"/>
      </tp>
      <tp t="s">
        <v>#N/A N/A</v>
        <stp/>
        <stp>BDP|5071330713361947968</stp>
        <tr r="Z740" s="1"/>
      </tp>
      <tp t="s">
        <v>#N/A N/A</v>
        <stp/>
        <stp>BDP|1636565314363298994</stp>
        <tr r="AA1226" s="1"/>
      </tp>
      <tp t="s">
        <v>#N/A N/A</v>
        <stp/>
        <stp>BDP|7588080716128265165</stp>
        <tr r="AA705" s="1"/>
      </tp>
      <tp t="s">
        <v>#N/A N/A</v>
        <stp/>
        <stp>BDP|5453069260619913545</stp>
        <tr r="AA734" s="1"/>
      </tp>
      <tp t="s">
        <v>#N/A N/A</v>
        <stp/>
        <stp>BDP|9228449507886849469</stp>
        <tr r="Z831" s="1"/>
      </tp>
      <tp t="s">
        <v>#N/A N/A</v>
        <stp/>
        <stp>BDP|3830602312568161341</stp>
        <tr r="Y954" s="1"/>
      </tp>
      <tp t="s">
        <v>#N/A N/A</v>
        <stp/>
        <stp>BDP|4472806808664974799</stp>
        <tr r="AA885" s="1"/>
      </tp>
      <tp t="s">
        <v>#N/A N/A</v>
        <stp/>
        <stp>BDP|6472780186756282044</stp>
        <tr r="Z1234" s="1"/>
      </tp>
      <tp t="s">
        <v>#N/A N/A</v>
        <stp/>
        <stp>BDP|2309638066469878428</stp>
        <tr r="Y1184" s="1"/>
      </tp>
      <tp t="s">
        <v>#N/A N/A</v>
        <stp/>
        <stp>BDP|9728437707721911360</stp>
        <tr r="Y984" s="1"/>
      </tp>
      <tp t="s">
        <v>#N/A N/A</v>
        <stp/>
        <stp>BDP|4793738089761059515</stp>
        <tr r="Y415" s="1"/>
      </tp>
      <tp t="s">
        <v>#N/A N/A</v>
        <stp/>
        <stp>BDP|9943248316785729013</stp>
        <tr r="AA141" s="1"/>
      </tp>
      <tp t="s">
        <v>#N/A N/A</v>
        <stp/>
        <stp>BDP|7426136788472242305</stp>
        <tr r="Z149" s="1"/>
      </tp>
      <tp t="s">
        <v>#N/A N/A</v>
        <stp/>
        <stp>BDP|4312884305156590569</stp>
        <tr r="Y203" s="1"/>
      </tp>
      <tp t="s">
        <v>#N/A N/A</v>
        <stp/>
        <stp>BDP|4618891960895415090</stp>
        <tr r="Y808" s="1"/>
      </tp>
      <tp t="s">
        <v>#N/A N/A</v>
        <stp/>
        <stp>BDP|6308066712120583807</stp>
        <tr r="Y248" s="1"/>
      </tp>
      <tp t="s">
        <v>#N/A N/A</v>
        <stp/>
        <stp>BDP|8556738159336901345</stp>
        <tr r="AA533" s="1"/>
      </tp>
      <tp t="s">
        <v>#N/A N/A</v>
        <stp/>
        <stp>BDP|2625546094981377077</stp>
        <tr r="Z1100" s="1"/>
      </tp>
      <tp t="s">
        <v>#N/A N/A</v>
        <stp/>
        <stp>BDP|2861864679876228477</stp>
        <tr r="Y62" s="1"/>
      </tp>
      <tp t="s">
        <v>#N/A N/A</v>
        <stp/>
        <stp>BDP|5160454782072559419</stp>
        <tr r="Z1259" s="1"/>
      </tp>
      <tp t="s">
        <v>#N/A N/A</v>
        <stp/>
        <stp>BDP|8560495158630672603</stp>
        <tr r="AA121" s="1"/>
      </tp>
      <tp t="s">
        <v>#N/A N/A</v>
        <stp/>
        <stp>BDP|3639303554432365836</stp>
        <tr r="Z761" s="1"/>
      </tp>
      <tp t="s">
        <v>#N/A N/A</v>
        <stp/>
        <stp>BDP|1483524395523996187</stp>
        <tr r="AA368" s="1"/>
      </tp>
      <tp t="s">
        <v>#N/A N/A</v>
        <stp/>
        <stp>BDP|2630670478768822431</stp>
        <tr r="Y370" s="1"/>
      </tp>
      <tp t="s">
        <v>#N/A N/A</v>
        <stp/>
        <stp>BDP|9009414961713418765</stp>
        <tr r="Z336" s="1"/>
      </tp>
      <tp t="s">
        <v>#N/A N/A</v>
        <stp/>
        <stp>BDP|2492102654000454976</stp>
        <tr r="Z135" s="1"/>
      </tp>
      <tp t="s">
        <v>#N/A N/A</v>
        <stp/>
        <stp>BDP|5687302645059601461</stp>
        <tr r="Z1265" s="1"/>
      </tp>
      <tp t="s">
        <v>#N/A N/A</v>
        <stp/>
        <stp>BDP|7856394585330684315</stp>
        <tr r="Y849" s="1"/>
      </tp>
      <tp t="s">
        <v>#N/A N/A</v>
        <stp/>
        <stp>BDP|6062608105257240847</stp>
        <tr r="AA1177" s="1"/>
      </tp>
      <tp t="s">
        <v>#N/A N/A</v>
        <stp/>
        <stp>BDP|6981299497504337678</stp>
        <tr r="Z20" s="1"/>
      </tp>
      <tp t="s">
        <v>#N/A N/A</v>
        <stp/>
        <stp>BDP|4558935432406230759</stp>
        <tr r="Y1300" s="1"/>
      </tp>
      <tp t="s">
        <v>#N/A N/A</v>
        <stp/>
        <stp>BDP|5662626292913658632</stp>
        <tr r="AA601" s="1"/>
      </tp>
      <tp t="s">
        <v>#N/A N/A</v>
        <stp/>
        <stp>BDP|1115250366442011811</stp>
        <tr r="Z447" s="1"/>
      </tp>
      <tp t="s">
        <v>#N/A N/A</v>
        <stp/>
        <stp>BDP|2722569851338595565</stp>
        <tr r="AA536" s="1"/>
      </tp>
      <tp t="s">
        <v>#N/A N/A</v>
        <stp/>
        <stp>BDP|9526553713697153528</stp>
        <tr r="Y247" s="1"/>
      </tp>
      <tp t="s">
        <v>#N/A N/A</v>
        <stp/>
        <stp>BDP|2035723285444330648</stp>
        <tr r="AA478" s="1"/>
      </tp>
      <tp t="s">
        <v>#N/A N/A</v>
        <stp/>
        <stp>BDP|8408864592457876184</stp>
        <tr r="AA835" s="1"/>
      </tp>
      <tp t="s">
        <v>#N/A N/A</v>
        <stp/>
        <stp>BDP|9184537518577299581</stp>
        <tr r="Z766" s="1"/>
      </tp>
      <tp t="s">
        <v>#N/A N/A</v>
        <stp/>
        <stp>BDP|4139652485604431151</stp>
        <tr r="Z991" s="1"/>
      </tp>
      <tp t="s">
        <v>#N/A N/A</v>
        <stp/>
        <stp>BDP|5255867927259521967</stp>
        <tr r="Y399" s="1"/>
      </tp>
      <tp t="s">
        <v>#N/A N/A</v>
        <stp/>
        <stp>BDP|9622712502457121641</stp>
        <tr r="AA55" s="1"/>
      </tp>
      <tp t="s">
        <v>#N/A N/A</v>
        <stp/>
        <stp>BDP|7789529596075247112</stp>
        <tr r="AA946" s="1"/>
      </tp>
      <tp t="s">
        <v>#N/A N/A</v>
        <stp/>
        <stp>BDP|7642802778481827666</stp>
        <tr r="Z134" s="1"/>
      </tp>
      <tp t="s">
        <v>#N/A N/A</v>
        <stp/>
        <stp>BDP|3263570181851568001</stp>
        <tr r="Y1097" s="1"/>
      </tp>
      <tp t="s">
        <v>#N/A N/A</v>
        <stp/>
        <stp>BDP|3535644662708593472</stp>
        <tr r="AA1150" s="1"/>
      </tp>
      <tp t="s">
        <v>#N/A N/A</v>
        <stp/>
        <stp>BDP|7452308620459146040</stp>
        <tr r="AA170" s="1"/>
      </tp>
      <tp t="s">
        <v>#N/A N/A</v>
        <stp/>
        <stp>BDP|8137923881644331209</stp>
        <tr r="Y32" s="1"/>
      </tp>
      <tp t="s">
        <v>#N/A N/A</v>
        <stp/>
        <stp>BDP|9482626015765253403</stp>
        <tr r="Y336" s="1"/>
      </tp>
      <tp t="s">
        <v>#N/A N/A</v>
        <stp/>
        <stp>BDP|4469670985293247651</stp>
        <tr r="Z505" s="1"/>
      </tp>
      <tp t="s">
        <v>#N/A N/A</v>
        <stp/>
        <stp>BDP|5785879977825714018</stp>
        <tr r="Y1074" s="1"/>
      </tp>
      <tp t="s">
        <v>#N/A N/A</v>
        <stp/>
        <stp>BDP|3194803777797232426</stp>
        <tr r="Y661" s="1"/>
      </tp>
      <tp t="s">
        <v>#N/A N/A</v>
        <stp/>
        <stp>BDP|5389012448788423683</stp>
        <tr r="AA58" s="1"/>
      </tp>
      <tp t="s">
        <v>#N/A N/A</v>
        <stp/>
        <stp>BDP|3113180934079257794</stp>
        <tr r="AA327" s="1"/>
      </tp>
      <tp t="s">
        <v>#N/A N/A</v>
        <stp/>
        <stp>BDP|7177893962621802744</stp>
        <tr r="Z585" s="1"/>
      </tp>
      <tp t="s">
        <v>#N/A N/A</v>
        <stp/>
        <stp>BDP|7525801666521075749</stp>
        <tr r="Z443" s="1"/>
      </tp>
      <tp t="s">
        <v>#N/A N/A</v>
        <stp/>
        <stp>BDP|3045239579278930147</stp>
        <tr r="AA68" s="1"/>
      </tp>
      <tp t="s">
        <v>#N/A N/A</v>
        <stp/>
        <stp>BDP|1572978635243043703</stp>
        <tr r="AA652" s="1"/>
      </tp>
      <tp t="s">
        <v>#N/A N/A</v>
        <stp/>
        <stp>BDP|8261545045860699626</stp>
        <tr r="Y21" s="1"/>
      </tp>
      <tp t="s">
        <v>#N/A N/A</v>
        <stp/>
        <stp>BDP|5264999029774490516</stp>
        <tr r="AA271" s="1"/>
      </tp>
      <tp t="s">
        <v>#N/A N/A</v>
        <stp/>
        <stp>BDP|8491578046880950687</stp>
        <tr r="Y1142" s="1"/>
      </tp>
      <tp t="s">
        <v>#N/A N/A</v>
        <stp/>
        <stp>BDP|7592829197801743833</stp>
        <tr r="AA1216" s="1"/>
      </tp>
      <tp t="s">
        <v>#N/A N/A</v>
        <stp/>
        <stp>BDP|8160355769342968009</stp>
        <tr r="Z374" s="1"/>
      </tp>
      <tp t="s">
        <v>#N/A N/A</v>
        <stp/>
        <stp>BDP|2433603083803480070</stp>
        <tr r="Y393" s="1"/>
      </tp>
      <tp t="s">
        <v>#N/A N/A</v>
        <stp/>
        <stp>BDP|1277848293198947789</stp>
        <tr r="AA180" s="1"/>
      </tp>
      <tp t="s">
        <v>#N/A N/A</v>
        <stp/>
        <stp>BDP|5005801576467046224</stp>
        <tr r="Z1053" s="1"/>
      </tp>
      <tp t="s">
        <v>#N/A N/A</v>
        <stp/>
        <stp>BDP|8640975049973894944</stp>
        <tr r="Y1262" s="1"/>
      </tp>
      <tp t="s">
        <v>#N/A N/A</v>
        <stp/>
        <stp>BDP|8193375642751478149</stp>
        <tr r="Z824" s="1"/>
      </tp>
      <tp t="s">
        <v>#N/A N/A</v>
        <stp/>
        <stp>BDP|1868203414288098597</stp>
        <tr r="Y603" s="1"/>
      </tp>
      <tp t="s">
        <v>#N/A N/A</v>
        <stp/>
        <stp>BDP|5169706594995176116</stp>
        <tr r="Z1006" s="1"/>
      </tp>
      <tp t="s">
        <v>#N/A N/A</v>
        <stp/>
        <stp>BDP|2902995726987674151</stp>
        <tr r="Z111" s="1"/>
      </tp>
      <tp t="s">
        <v>#N/A N/A</v>
        <stp/>
        <stp>BDP|9741957652068061258</stp>
        <tr r="AA105" s="1"/>
      </tp>
      <tp t="s">
        <v>#N/A N/A</v>
        <stp/>
        <stp>BDP|6412343851749519618</stp>
        <tr r="Z604" s="1"/>
      </tp>
      <tp t="s">
        <v>#N/A N/A</v>
        <stp/>
        <stp>BDP|8468455274856131219</stp>
        <tr r="Z1251" s="1"/>
      </tp>
      <tp t="s">
        <v>#N/A N/A</v>
        <stp/>
        <stp>BDP|3416389251502988815</stp>
        <tr r="Y267" s="1"/>
      </tp>
      <tp t="s">
        <v>#N/A N/A</v>
        <stp/>
        <stp>BDP|7062463907139370573</stp>
        <tr r="Y439" s="1"/>
      </tp>
      <tp t="s">
        <v>#N/A N/A</v>
        <stp/>
        <stp>BDP|9075673344325111175</stp>
        <tr r="AA852" s="1"/>
      </tp>
      <tp t="s">
        <v>#N/A N/A</v>
        <stp/>
        <stp>BDP|2718120491871687472</stp>
        <tr r="Z963" s="1"/>
      </tp>
      <tp t="s">
        <v>#N/A N/A</v>
        <stp/>
        <stp>BDP|7034977773833201539</stp>
        <tr r="Y1211" s="1"/>
      </tp>
      <tp t="s">
        <v>#N/A N/A</v>
        <stp/>
        <stp>BDP|9531700744431234462</stp>
        <tr r="Y644" s="1"/>
      </tp>
      <tp t="s">
        <v>#N/A N/A</v>
        <stp/>
        <stp>BDP|2553676060819987318</stp>
        <tr r="AA451" s="1"/>
      </tp>
      <tp t="s">
        <v>#N/A N/A</v>
        <stp/>
        <stp>BDP|9489605367639166882</stp>
        <tr r="Z896" s="1"/>
      </tp>
      <tp t="s">
        <v>#N/A N/A</v>
        <stp/>
        <stp>BDP|2935834430348044901</stp>
        <tr r="Y665" s="1"/>
      </tp>
      <tp t="s">
        <v>#N/A N/A</v>
        <stp/>
        <stp>BDP|2501999376804952094</stp>
        <tr r="Y29" s="1"/>
      </tp>
      <tp t="s">
        <v>#N/A N/A</v>
        <stp/>
        <stp>BDP|3311235500258360193</stp>
        <tr r="Y140" s="1"/>
      </tp>
      <tp t="s">
        <v>#N/A N/A</v>
        <stp/>
        <stp>BDP|9315833297439557981</stp>
        <tr r="Z1329" s="1"/>
      </tp>
      <tp t="s">
        <v>#N/A N/A</v>
        <stp/>
        <stp>BDP|2615994305751464243</stp>
        <tr r="Z1106" s="1"/>
      </tp>
      <tp t="s">
        <v>#N/A N/A</v>
        <stp/>
        <stp>BDP|8092898411950104920</stp>
        <tr r="Z507" s="1"/>
      </tp>
      <tp t="s">
        <v>#N/A N/A</v>
        <stp/>
        <stp>BDP|9570522326917831124</stp>
        <tr r="Z623" s="1"/>
      </tp>
      <tp t="s">
        <v>#N/A N/A</v>
        <stp/>
        <stp>BDP|8720791480277032856</stp>
        <tr r="Y1156" s="1"/>
      </tp>
      <tp t="s">
        <v>#N/A N/A</v>
        <stp/>
        <stp>BDP|1301484096790766411</stp>
        <tr r="Y27" s="1"/>
      </tp>
      <tp t="s">
        <v>#N/A N/A</v>
        <stp/>
        <stp>BDP|6031322094032940643</stp>
        <tr r="AA198" s="1"/>
      </tp>
      <tp t="s">
        <v>#N/A N/A</v>
        <stp/>
        <stp>BDP|7307197818398909702</stp>
        <tr r="Y1303" s="1"/>
      </tp>
      <tp t="s">
        <v>#N/A N/A</v>
        <stp/>
        <stp>BDP|9935622716800220672</stp>
        <tr r="AA630" s="1"/>
      </tp>
      <tp t="s">
        <v>#N/A N/A</v>
        <stp/>
        <stp>BDP|1380931513757869633</stp>
        <tr r="Y312" s="1"/>
      </tp>
      <tp t="s">
        <v>#N/A N/A</v>
        <stp/>
        <stp>BDP|1704580247989374134</stp>
        <tr r="Z524" s="1"/>
      </tp>
      <tp t="s">
        <v>#N/A N/A</v>
        <stp/>
        <stp>BDP|3504059395275504787</stp>
        <tr r="AA430" s="1"/>
      </tp>
      <tp t="s">
        <v>#N/A N/A</v>
        <stp/>
        <stp>BDP|5747571908790855888</stp>
        <tr r="Z713" s="1"/>
      </tp>
      <tp t="s">
        <v>#N/A N/A</v>
        <stp/>
        <stp>BDP|3270917586139565388</stp>
        <tr r="AA458" s="1"/>
      </tp>
      <tp t="s">
        <v>#N/A N/A</v>
        <stp/>
        <stp>BDP|8028676432752854757</stp>
        <tr r="Z728" s="1"/>
      </tp>
      <tp t="s">
        <v>#N/A N/A</v>
        <stp/>
        <stp>BDP|5429313526494833831</stp>
        <tr r="AA155" s="1"/>
      </tp>
      <tp t="s">
        <v>#N/A N/A</v>
        <stp/>
        <stp>BDP|4861031427198654624</stp>
        <tr r="Z1176" s="1"/>
      </tp>
      <tp t="s">
        <v>#N/A N/A</v>
        <stp/>
        <stp>BDP|6974509991693373124</stp>
        <tr r="AA29" s="1"/>
      </tp>
      <tp t="s">
        <v>#N/A N/A</v>
        <stp/>
        <stp>BDP|1640181238149767288</stp>
        <tr r="Z38" s="1"/>
      </tp>
      <tp t="s">
        <v>#N/A N/A</v>
        <stp/>
        <stp>BDP|7332370745061174998</stp>
        <tr r="Z209" s="1"/>
      </tp>
      <tp t="s">
        <v>#N/A N/A</v>
        <stp/>
        <stp>BDP|8219683800972141421</stp>
        <tr r="Z1058" s="1"/>
      </tp>
      <tp t="s">
        <v>#N/A N/A</v>
        <stp/>
        <stp>BDP|3918402180430238724</stp>
        <tr r="Z553" s="1"/>
      </tp>
      <tp t="s">
        <v>#N/A N/A</v>
        <stp/>
        <stp>BDP|8837480409331661565</stp>
        <tr r="AA154" s="1"/>
      </tp>
      <tp t="s">
        <v>#N/A N/A</v>
        <stp/>
        <stp>BDP|2109517219258439643</stp>
        <tr r="Y610" s="1"/>
      </tp>
      <tp t="s">
        <v>#N/A N/A</v>
        <stp/>
        <stp>BDP|8218689285566845892</stp>
        <tr r="Z206" s="1"/>
      </tp>
      <tp t="s">
        <v>#N/A N/A</v>
        <stp/>
        <stp>BDP|2273825807894913607</stp>
        <tr r="Z901" s="1"/>
      </tp>
      <tp t="s">
        <v>#N/A N/A</v>
        <stp/>
        <stp>BDP|2722197193923758146</stp>
        <tr r="Z254" s="1"/>
      </tp>
      <tp t="s">
        <v>#N/A N/A</v>
        <stp/>
        <stp>BDP|1560516249049562167</stp>
        <tr r="Y403" s="1"/>
      </tp>
      <tp t="s">
        <v>#N/A N/A</v>
        <stp/>
        <stp>BDP|9504277580062469981</stp>
        <tr r="Y1231" s="1"/>
      </tp>
      <tp t="s">
        <v>#N/A N/A</v>
        <stp/>
        <stp>BDP|3421192867329340577</stp>
        <tr r="AA752" s="1"/>
      </tp>
      <tp t="s">
        <v>#N/A N/A</v>
        <stp/>
        <stp>BDP|2528803448393661557</stp>
        <tr r="AA1229" s="1"/>
      </tp>
      <tp t="s">
        <v>#N/A N/A</v>
        <stp/>
        <stp>BDP|2930673383034554067</stp>
        <tr r="Y514" s="1"/>
      </tp>
      <tp t="s">
        <v>#N/A N/A</v>
        <stp/>
        <stp>BDP|2629052588402044052</stp>
        <tr r="Y877" s="1"/>
      </tp>
      <tp t="s">
        <v>#N/A N/A</v>
        <stp/>
        <stp>BDP|4775784767728062566</stp>
        <tr r="AA101" s="1"/>
      </tp>
      <tp t="s">
        <v>#N/A N/A</v>
        <stp/>
        <stp>BDP|5140196790216433325</stp>
        <tr r="Z754" s="1"/>
      </tp>
      <tp t="s">
        <v>#N/A N/A</v>
        <stp/>
        <stp>BDP|6776945181888486784</stp>
        <tr r="AA399" s="1"/>
      </tp>
      <tp t="s">
        <v>#N/A N/A</v>
        <stp/>
        <stp>BDP|1371468348788798158</stp>
        <tr r="Z786" s="1"/>
      </tp>
      <tp t="s">
        <v>#N/A N/A</v>
        <stp/>
        <stp>BDP|2634119818288860286</stp>
        <tr r="AA557" s="1"/>
      </tp>
      <tp t="s">
        <v>#N/A N/A</v>
        <stp/>
        <stp>BDP|4730986502955522075</stp>
        <tr r="Y713" s="1"/>
      </tp>
      <tp t="s">
        <v>#N/A N/A</v>
        <stp/>
        <stp>BDP|3107390412531540803</stp>
        <tr r="Z55" s="1"/>
      </tp>
      <tp t="s">
        <v>#N/A N/A</v>
        <stp/>
        <stp>BDP|6974064060560572856</stp>
        <tr r="Y315" s="1"/>
      </tp>
      <tp t="s">
        <v>#N/A N/A</v>
        <stp/>
        <stp>BDP|6430781138598838232</stp>
        <tr r="AA1078" s="1"/>
      </tp>
      <tp t="s">
        <v>#N/A N/A</v>
        <stp/>
        <stp>BDP|4964439386261523169</stp>
        <tr r="AA649" s="1"/>
      </tp>
      <tp t="s">
        <v>#N/A N/A</v>
        <stp/>
        <stp>BDP|8973146674906390068</stp>
        <tr r="Z884" s="1"/>
      </tp>
      <tp t="s">
        <v>#N/A N/A</v>
        <stp/>
        <stp>BDP|6041539767234870907</stp>
        <tr r="Z1014" s="1"/>
      </tp>
      <tp t="s">
        <v>#N/A N/A</v>
        <stp/>
        <stp>BDP|9611689925526405332</stp>
        <tr r="Y186" s="1"/>
      </tp>
      <tp t="s">
        <v>#N/A N/A</v>
        <stp/>
        <stp>BDP|6704900036673499790</stp>
        <tr r="Z136" s="1"/>
      </tp>
      <tp t="s">
        <v>#N/A N/A</v>
        <stp/>
        <stp>BDP|9590447811804402087</stp>
        <tr r="AA78" s="1"/>
      </tp>
      <tp t="s">
        <v>#N/A N/A</v>
        <stp/>
        <stp>BDP|1026960703204010491</stp>
        <tr r="Z314" s="1"/>
      </tp>
      <tp t="s">
        <v>#N/A N/A</v>
        <stp/>
        <stp>BDP|7640733182286978627</stp>
        <tr r="AA443" s="1"/>
      </tp>
      <tp t="s">
        <v>#N/A N/A</v>
        <stp/>
        <stp>BDP|5844289994980039682</stp>
        <tr r="Z878" s="1"/>
      </tp>
      <tp t="s">
        <v>#N/A N/A</v>
        <stp/>
        <stp>BDP|6554522877079456587</stp>
        <tr r="AA814" s="1"/>
      </tp>
      <tp t="s">
        <v>#N/A N/A</v>
        <stp/>
        <stp>BDP|8677774138966756237</stp>
        <tr r="Z946" s="1"/>
      </tp>
      <tp t="s">
        <v>#N/A N/A</v>
        <stp/>
        <stp>BDP|6996405329570573876</stp>
        <tr r="Z578" s="1"/>
      </tp>
      <tp t="s">
        <v>#N/A N/A</v>
        <stp/>
        <stp>BDP|1045029516298322055</stp>
        <tr r="Z196" s="1"/>
      </tp>
      <tp t="s">
        <v>#N/A N/A</v>
        <stp/>
        <stp>BDP|9993544657548958913</stp>
        <tr r="Y890" s="1"/>
      </tp>
      <tp t="s">
        <v>#N/A N/A</v>
        <stp/>
        <stp>BDP|9777144292739625057</stp>
        <tr r="Y1301" s="1"/>
      </tp>
      <tp t="s">
        <v>#N/A N/A</v>
        <stp/>
        <stp>BDP|9721797798758121753</stp>
        <tr r="Z992" s="1"/>
      </tp>
      <tp t="s">
        <v>#N/A N/A</v>
        <stp/>
        <stp>BDP|2928310109080450970</stp>
        <tr r="AA970" s="1"/>
      </tp>
      <tp t="s">
        <v>#N/A N/A</v>
        <stp/>
        <stp>BDP|1630123161726632812</stp>
        <tr r="Y776" s="1"/>
      </tp>
      <tp t="s">
        <v>#N/A N/A</v>
        <stp/>
        <stp>BDP|8723610679201909046</stp>
        <tr r="AA810" s="1"/>
      </tp>
      <tp t="s">
        <v>#N/A N/A</v>
        <stp/>
        <stp>BDP|5933287191064794244</stp>
        <tr r="AA302" s="1"/>
      </tp>
      <tp t="s">
        <v>#N/A N/A</v>
        <stp/>
        <stp>BDP|9325068462414702336</stp>
        <tr r="Y732" s="1"/>
      </tp>
      <tp t="s">
        <v>#N/A N/A</v>
        <stp/>
        <stp>BDP|2840649848470591821</stp>
        <tr r="Z1240" s="1"/>
      </tp>
      <tp t="s">
        <v>#N/A N/A</v>
        <stp/>
        <stp>BDP|4392855855654280523</stp>
        <tr r="AA274" s="1"/>
      </tp>
      <tp t="s">
        <v>#N/A N/A</v>
        <stp/>
        <stp>BDP|8187345779710844444</stp>
        <tr r="AA511" s="1"/>
      </tp>
      <tp t="s">
        <v>#N/A N/A</v>
        <stp/>
        <stp>BDP|3878735797142425780</stp>
        <tr r="AA326" s="1"/>
      </tp>
      <tp t="s">
        <v>#N/A N/A</v>
        <stp/>
        <stp>BDP|2566891325698896818</stp>
        <tr r="AA1175" s="1"/>
      </tp>
      <tp t="s">
        <v>#N/A N/A</v>
        <stp/>
        <stp>BDP|3481035048328988766</stp>
        <tr r="Z86" s="1"/>
      </tp>
      <tp t="s">
        <v>#N/A N/A</v>
        <stp/>
        <stp>BDP|8615523196459365515</stp>
        <tr r="AA53" s="1"/>
      </tp>
      <tp t="s">
        <v>#N/A N/A</v>
        <stp/>
        <stp>BDP|2453156623249406065</stp>
        <tr r="Y806" s="1"/>
      </tp>
      <tp t="s">
        <v>#N/A N/A</v>
        <stp/>
        <stp>BDP|9036802281216770763</stp>
        <tr r="Z472" s="1"/>
      </tp>
      <tp t="s">
        <v>#N/A N/A</v>
        <stp/>
        <stp>BDP|8016453504623773764</stp>
        <tr r="Z1064" s="1"/>
      </tp>
      <tp t="s">
        <v>#N/A N/A</v>
        <stp/>
        <stp>BDP|3557751580493618767</stp>
        <tr r="AA1221" s="1"/>
      </tp>
      <tp t="s">
        <v>#N/A N/A</v>
        <stp/>
        <stp>BDP|7952166544828914232</stp>
        <tr r="Z1203" s="1"/>
      </tp>
      <tp t="s">
        <v>#N/A N/A</v>
        <stp/>
        <stp>BDP|7558939186756484858</stp>
        <tr r="Y839" s="1"/>
      </tp>
      <tp t="s">
        <v>#N/A N/A</v>
        <stp/>
        <stp>BDP|1124026624892052965</stp>
        <tr r="Y1210" s="1"/>
      </tp>
      <tp t="s">
        <v>#N/A N/A</v>
        <stp/>
        <stp>BDP|2521220802689076142</stp>
        <tr r="Y837" s="1"/>
      </tp>
      <tp t="s">
        <v>#N/A N/A</v>
        <stp/>
        <stp>BDP|9290018761120365706</stp>
        <tr r="Z1087" s="1"/>
      </tp>
      <tp t="s">
        <v>#N/A N/A</v>
        <stp/>
        <stp>BDP|3302392234862806979</stp>
        <tr r="AA598" s="1"/>
      </tp>
      <tp t="s">
        <v>#N/A N/A</v>
        <stp/>
        <stp>BDP|2555269254824559949</stp>
        <tr r="Z171" s="1"/>
      </tp>
      <tp t="s">
        <v>#N/A N/A</v>
        <stp/>
        <stp>BDP|1594914410284106537</stp>
        <tr r="Z1138" s="1"/>
      </tp>
      <tp t="s">
        <v>#N/A N/A</v>
        <stp/>
        <stp>BDP|1530813206250392174</stp>
        <tr r="Y737" s="1"/>
      </tp>
      <tp t="s">
        <v>#N/A N/A</v>
        <stp/>
        <stp>BDP|6550271796585019020</stp>
        <tr r="Y1258" s="1"/>
      </tp>
      <tp t="s">
        <v>#N/A N/A</v>
        <stp/>
        <stp>BDP|5592847522945411215</stp>
        <tr r="AA823" s="1"/>
      </tp>
      <tp t="s">
        <v>#N/A N/A</v>
        <stp/>
        <stp>BDP|9687481557555732588</stp>
        <tr r="Y616" s="1"/>
      </tp>
      <tp t="s">
        <v>#N/A N/A</v>
        <stp/>
        <stp>BDP|6670832092317656875</stp>
        <tr r="Z924" s="1"/>
      </tp>
      <tp t="s">
        <v>#N/A N/A</v>
        <stp/>
        <stp>BDP|9153429153635037574</stp>
        <tr r="AA783" s="1"/>
      </tp>
      <tp t="s">
        <v>#N/A N/A</v>
        <stp/>
        <stp>BDP|7734886133077913329</stp>
        <tr r="Z927" s="1"/>
      </tp>
      <tp t="s">
        <v>#N/A N/A</v>
        <stp/>
        <stp>BDP|2045088290901875272</stp>
        <tr r="Y114" s="1"/>
      </tp>
      <tp t="s">
        <v>#N/A N/A</v>
        <stp/>
        <stp>BDP|1180307204803124937</stp>
        <tr r="AA733" s="1"/>
      </tp>
      <tp t="s">
        <v>#N/A N/A</v>
        <stp/>
        <stp>BDP|2415335619189147184</stp>
        <tr r="AA1069" s="1"/>
      </tp>
      <tp t="s">
        <v>#N/A N/A</v>
        <stp/>
        <stp>BDP|1532952808619645994</stp>
        <tr r="Z1311" s="1"/>
      </tp>
      <tp t="s">
        <v>#N/A N/A</v>
        <stp/>
        <stp>BDP|2476922816190689225</stp>
        <tr r="Z364" s="1"/>
      </tp>
      <tp t="s">
        <v>#N/A N/A</v>
        <stp/>
        <stp>BDP|2977496585803644572</stp>
        <tr r="Z863" s="1"/>
      </tp>
      <tp t="s">
        <v>#N/A N/A</v>
        <stp/>
        <stp>BDP|1105989672702678596</stp>
        <tr r="Z427" s="1"/>
      </tp>
      <tp t="s">
        <v>#N/A N/A</v>
        <stp/>
        <stp>BDP|4086547485681683031</stp>
        <tr r="Z1290" s="1"/>
      </tp>
      <tp t="s">
        <v>#N/A N/A</v>
        <stp/>
        <stp>BDP|1824868179212694452</stp>
        <tr r="AA708" s="1"/>
      </tp>
      <tp t="s">
        <v>#N/A N/A</v>
        <stp/>
        <stp>BDP|1665838863185090223</stp>
        <tr r="Y1323" s="1"/>
      </tp>
      <tp t="s">
        <v>#N/A N/A</v>
        <stp/>
        <stp>BDP|3154837458884897267</stp>
        <tr r="Z266" s="1"/>
      </tp>
      <tp t="s">
        <v>#N/A N/A</v>
        <stp/>
        <stp>BDP|8751745061571427020</stp>
        <tr r="AA353" s="1"/>
      </tp>
      <tp t="s">
        <v>#N/A N/A</v>
        <stp/>
        <stp>BDP|9654608383158283732</stp>
        <tr r="Z984" s="1"/>
      </tp>
      <tp t="s">
        <v>#N/A N/A</v>
        <stp/>
        <stp>BDP|2542831207111783335</stp>
        <tr r="Y833" s="1"/>
      </tp>
      <tp t="s">
        <v>#N/A N/A</v>
        <stp/>
        <stp>BDP|7457917319830109782</stp>
        <tr r="Y314" s="1"/>
      </tp>
      <tp t="s">
        <v>#N/A N/A</v>
        <stp/>
        <stp>BDP|4544562096046226629</stp>
        <tr r="AA1174" s="1"/>
      </tp>
      <tp t="s">
        <v>#N/A N/A</v>
        <stp/>
        <stp>BDP|6736043034564591970</stp>
        <tr r="AA19" s="1"/>
      </tp>
      <tp t="s">
        <v>#N/A N/A</v>
        <stp/>
        <stp>BDP|3367013339811888969</stp>
        <tr r="Y35" s="1"/>
      </tp>
      <tp t="s">
        <v>#N/A N/A</v>
        <stp/>
        <stp>BDP|4320429366648154637</stp>
        <tr r="Y12" s="1"/>
      </tp>
      <tp t="s">
        <v>#N/A N/A</v>
        <stp/>
        <stp>BDP|1297115782948325876</stp>
        <tr r="Y320" s="1"/>
      </tp>
      <tp t="s">
        <v>#N/A N/A</v>
        <stp/>
        <stp>BDP|8507502503303500662</stp>
        <tr r="Z692" s="1"/>
      </tp>
      <tp t="s">
        <v>#N/A N/A</v>
        <stp/>
        <stp>BDP|8340342231536632655</stp>
        <tr r="Z263" s="1"/>
      </tp>
      <tp t="s">
        <v>#N/A N/A</v>
        <stp/>
        <stp>BDP|4421444261638342673</stp>
        <tr r="Y881" s="1"/>
      </tp>
      <tp t="s">
        <v>#N/A N/A</v>
        <stp/>
        <stp>BDP|6759566184164820787</stp>
        <tr r="Y134" s="1"/>
      </tp>
      <tp t="s">
        <v>#N/A N/A</v>
        <stp/>
        <stp>BDP|8613693362230180160</stp>
        <tr r="Y345" s="1"/>
      </tp>
      <tp t="s">
        <v>#N/A N/A</v>
        <stp/>
        <stp>BDP|2243670834777226999</stp>
        <tr r="Y1183" s="1"/>
      </tp>
      <tp t="s">
        <v>#N/A N/A</v>
        <stp/>
        <stp>BDP|4803839136933737508</stp>
        <tr r="Y731" s="1"/>
      </tp>
      <tp t="s">
        <v>#N/A N/A</v>
        <stp/>
        <stp>BDP|8743156014623993252</stp>
        <tr r="Z514" s="1"/>
      </tp>
      <tp t="s">
        <v>#N/A N/A</v>
        <stp/>
        <stp>BDP|3168943324224396581</stp>
        <tr r="AA229" s="1"/>
      </tp>
      <tp t="s">
        <v>#N/A N/A</v>
        <stp/>
        <stp>BDP|1988737990753677561</stp>
        <tr r="Y667" s="1"/>
      </tp>
      <tp t="s">
        <v>#N/A N/A</v>
        <stp/>
        <stp>BDP|6580227881885422085</stp>
        <tr r="Y964" s="1"/>
      </tp>
      <tp t="s">
        <v>#N/A N/A</v>
        <stp/>
        <stp>BDP|8089905390542992331</stp>
        <tr r="AA1006" s="1"/>
      </tp>
      <tp t="s">
        <v>#N/A N/A</v>
        <stp/>
        <stp>BDP|5839521401371911880</stp>
        <tr r="Y526" s="1"/>
      </tp>
      <tp t="s">
        <v>#N/A N/A</v>
        <stp/>
        <stp>BDP|4762134338089685611</stp>
        <tr r="Y285" s="1"/>
      </tp>
      <tp t="s">
        <v>#N/A N/A</v>
        <stp/>
        <stp>BDP|9657181745852430742</stp>
        <tr r="AA156" s="1"/>
      </tp>
      <tp t="s">
        <v>#N/A N/A</v>
        <stp/>
        <stp>BDP|8949213259176926009</stp>
        <tr r="AA859" s="1"/>
      </tp>
      <tp t="s">
        <v>#N/A N/A</v>
        <stp/>
        <stp>BDP|5099454494516930704</stp>
        <tr r="Z1047" s="1"/>
      </tp>
      <tp t="s">
        <v>#N/A N/A</v>
        <stp/>
        <stp>BDP|8779395908535805766</stp>
        <tr r="Z1071" s="1"/>
      </tp>
      <tp t="s">
        <v>#N/A N/A</v>
        <stp/>
        <stp>BDP|9466246668181476546</stp>
        <tr r="AA35" s="1"/>
      </tp>
      <tp t="s">
        <v>#N/A N/A</v>
        <stp/>
        <stp>BDP|7233870801786431083</stp>
        <tr r="AA260" s="1"/>
      </tp>
      <tp t="s">
        <v>#N/A N/A</v>
        <stp/>
        <stp>BDP|3730332995871052187</stp>
        <tr r="AA410" s="1"/>
      </tp>
      <tp t="s">
        <v>#N/A N/A</v>
        <stp/>
        <stp>BDP|1542687002517798914</stp>
        <tr r="Z1230" s="1"/>
      </tp>
      <tp t="s">
        <v>#N/A N/A</v>
        <stp/>
        <stp>BDP|8027527158559116821</stp>
        <tr r="Y100" s="1"/>
      </tp>
      <tp t="s">
        <v>#N/A N/A</v>
        <stp/>
        <stp>BDP|6851446694424744660</stp>
        <tr r="Z1262" s="1"/>
      </tp>
      <tp t="s">
        <v>#N/A N/A</v>
        <stp/>
        <stp>BDP|5657941760096376581</stp>
        <tr r="Z659" s="1"/>
      </tp>
      <tp t="s">
        <v>#N/A N/A</v>
        <stp/>
        <stp>BDP|7564167895525620392</stp>
        <tr r="Y1284" s="1"/>
      </tp>
      <tp t="s">
        <v>#N/A N/A</v>
        <stp/>
        <stp>BDP|1519374232250836810</stp>
        <tr r="Z687" s="1"/>
      </tp>
      <tp t="s">
        <v>#N/A N/A</v>
        <stp/>
        <stp>BDP|3282284385245875593</stp>
        <tr r="Y158" s="1"/>
      </tp>
      <tp t="s">
        <v>#N/A N/A</v>
        <stp/>
        <stp>BDP|1514440117124962914</stp>
        <tr r="Z1213" s="1"/>
      </tp>
      <tp t="s">
        <v>#N/A N/A</v>
        <stp/>
        <stp>BDP|4917041680022717746</stp>
        <tr r="Y372" s="1"/>
      </tp>
      <tp t="s">
        <v>#N/A N/A</v>
        <stp/>
        <stp>BDP|1910942032960381224</stp>
        <tr r="Y646" s="1"/>
      </tp>
      <tp t="s">
        <v>#N/A N/A</v>
        <stp/>
        <stp>BDP|5668289491050312728</stp>
        <tr r="Z633" s="1"/>
      </tp>
      <tp t="s">
        <v>#N/A N/A</v>
        <stp/>
        <stp>BDP|3846720668643497892</stp>
        <tr r="AA709" s="1"/>
      </tp>
      <tp t="s">
        <v>#N/A N/A</v>
        <stp/>
        <stp>BDP|8716123105865872575</stp>
        <tr r="Z596" s="1"/>
      </tp>
      <tp t="s">
        <v>#N/A N/A</v>
        <stp/>
        <stp>BDP|5918847263407280530</stp>
        <tr r="Y1137" s="1"/>
      </tp>
      <tp t="s">
        <v>#N/A N/A</v>
        <stp/>
        <stp>BDP|2569385025983337944</stp>
        <tr r="AA525" s="1"/>
      </tp>
      <tp t="s">
        <v>#N/A N/A</v>
        <stp/>
        <stp>BDP|2228849241190173790</stp>
        <tr r="Z610" s="1"/>
      </tp>
      <tp t="s">
        <v>#N/A N/A</v>
        <stp/>
        <stp>BDP|6831546286281570300</stp>
        <tr r="Y396" s="1"/>
      </tp>
      <tp t="s">
        <v>#N/A N/A</v>
        <stp/>
        <stp>BDP|8956123609224917442</stp>
        <tr r="Z735" s="1"/>
      </tp>
      <tp t="s">
        <v>#N/A N/A</v>
        <stp/>
        <stp>BDP|4905336182322178465</stp>
        <tr r="Z487" s="1"/>
      </tp>
      <tp t="s">
        <v>#N/A N/A</v>
        <stp/>
        <stp>BDP|1721783686265211244</stp>
        <tr r="Z835" s="1"/>
      </tp>
      <tp t="s">
        <v>#N/A N/A</v>
        <stp/>
        <stp>BDP|2872248292018698870</stp>
        <tr r="AA932" s="1"/>
      </tp>
      <tp t="s">
        <v>#N/A N/A</v>
        <stp/>
        <stp>BDP|3019227980987616785</stp>
        <tr r="Y1122" s="1"/>
      </tp>
      <tp t="s">
        <v>#N/A N/A</v>
        <stp/>
        <stp>BDP|2176395554905936899</stp>
        <tr r="AA1238" s="1"/>
      </tp>
      <tp t="s">
        <v>#N/A N/A</v>
        <stp/>
        <stp>BDP|1751197781782351318</stp>
        <tr r="Y960" s="1"/>
      </tp>
      <tp t="s">
        <v>#N/A N/A</v>
        <stp/>
        <stp>BDP|8541149856840252580</stp>
        <tr r="AA526" s="1"/>
      </tp>
      <tp t="s">
        <v>#N/A N/A</v>
        <stp/>
        <stp>BDP|9350736575179074987</stp>
        <tr r="Z256" s="1"/>
      </tp>
      <tp t="s">
        <v>#N/A N/A</v>
        <stp/>
        <stp>BDP|9645385507761352274</stp>
        <tr r="Y1174" s="1"/>
      </tp>
      <tp t="s">
        <v>#N/A N/A</v>
        <stp/>
        <stp>BDP|9415670477746966707</stp>
        <tr r="AA83" s="1"/>
      </tp>
      <tp t="s">
        <v>#N/A N/A</v>
        <stp/>
        <stp>BDP|3205256921919061340</stp>
        <tr r="AA670" s="1"/>
      </tp>
      <tp t="s">
        <v>#N/A N/A</v>
        <stp/>
        <stp>BDP|9697492961277927552</stp>
        <tr r="Y337" s="1"/>
      </tp>
      <tp t="s">
        <v>#N/A N/A</v>
        <stp/>
        <stp>BDP|7709671180923270306</stp>
        <tr r="AA115" s="1"/>
      </tp>
      <tp t="s">
        <v>#N/A N/A</v>
        <stp/>
        <stp>BDP|5555551686836647723</stp>
        <tr r="Z1171" s="1"/>
      </tp>
      <tp t="s">
        <v>#N/A N/A</v>
        <stp/>
        <stp>BDP|5177658420199750110</stp>
        <tr r="AA421" s="1"/>
      </tp>
      <tp t="s">
        <v>#N/A N/A</v>
        <stp/>
        <stp>BDP|2944337925932493899</stp>
        <tr r="Y408" s="1"/>
      </tp>
      <tp t="s">
        <v>#N/A N/A</v>
        <stp/>
        <stp>BDP|5397116010299759575</stp>
        <tr r="AA350" s="1"/>
      </tp>
      <tp t="s">
        <v>#N/A N/A</v>
        <stp/>
        <stp>BDP|9018547221016365141</stp>
        <tr r="AA188" s="1"/>
      </tp>
      <tp t="s">
        <v>#N/A N/A</v>
        <stp/>
        <stp>BDP|9030937421103239826</stp>
        <tr r="AA1004" s="1"/>
      </tp>
      <tp t="s">
        <v>#N/A N/A</v>
        <stp/>
        <stp>BDP|2282641334886829880</stp>
        <tr r="Y594" s="1"/>
      </tp>
      <tp t="s">
        <v>#N/A N/A</v>
        <stp/>
        <stp>BDP|8385793848881992380</stp>
        <tr r="AA595" s="1"/>
      </tp>
      <tp t="s">
        <v>#N/A N/A</v>
        <stp/>
        <stp>BDP|9495496939726759107</stp>
        <tr r="AA629" s="1"/>
      </tp>
      <tp t="s">
        <v>#N/A N/A</v>
        <stp/>
        <stp>BDP|2372229283237582648</stp>
        <tr r="Z914" s="1"/>
      </tp>
      <tp t="s">
        <v>#N/A N/A</v>
        <stp/>
        <stp>BDP|1438050703118332020</stp>
        <tr r="Y1311" s="1"/>
      </tp>
      <tp t="s">
        <v>#N/A N/A</v>
        <stp/>
        <stp>BDP|9024864874537848892</stp>
        <tr r="Y418" s="1"/>
      </tp>
      <tp t="s">
        <v>#N/A N/A</v>
        <stp/>
        <stp>BDP|8736484848781320076</stp>
        <tr r="Y825" s="1"/>
      </tp>
      <tp t="s">
        <v>#N/A N/A</v>
        <stp/>
        <stp>BDP|9583761363506142713</stp>
        <tr r="Z154" s="1"/>
      </tp>
      <tp t="s">
        <v>#N/A N/A</v>
        <stp/>
        <stp>BDP|2826983533970418172</stp>
        <tr r="AA675" s="1"/>
      </tp>
      <tp t="s">
        <v>#N/A N/A</v>
        <stp/>
        <stp>BDP|3428018055438912794</stp>
        <tr r="Z1273" s="1"/>
      </tp>
      <tp t="s">
        <v>#N/A N/A</v>
        <stp/>
        <stp>BDP|7424920037334424052</stp>
        <tr r="AA1035" s="1"/>
      </tp>
      <tp t="s">
        <v>#N/A N/A</v>
        <stp/>
        <stp>BDP|6095905482957455960</stp>
        <tr r="AA447" s="1"/>
      </tp>
      <tp t="s">
        <v>#N/A N/A</v>
        <stp/>
        <stp>BDP|2941496493570794655</stp>
        <tr r="Z184" s="1"/>
      </tp>
      <tp t="s">
        <v>#N/A N/A</v>
        <stp/>
        <stp>BDP|7048896407936673097</stp>
        <tr r="AA787" s="1"/>
      </tp>
      <tp t="s">
        <v>#N/A N/A</v>
        <stp/>
        <stp>BDP|1930023696404993552</stp>
        <tr r="Z39" s="1"/>
      </tp>
      <tp t="s">
        <v>#N/A N/A</v>
        <stp/>
        <stp>BDP|5831384063369724059</stp>
        <tr r="Z922" s="1"/>
      </tp>
      <tp t="s">
        <v>#N/A N/A</v>
        <stp/>
        <stp>BDP|1867176330363714992</stp>
        <tr r="Y701" s="1"/>
      </tp>
      <tp t="s">
        <v>#N/A N/A</v>
        <stp/>
        <stp>BDP|7067131557059744326</stp>
        <tr r="Y900" s="1"/>
      </tp>
      <tp t="s">
        <v>#N/A N/A</v>
        <stp/>
        <stp>BDP|3006968341547290043</stp>
        <tr r="AA1055" s="1"/>
      </tp>
      <tp t="s">
        <v>#N/A N/A</v>
        <stp/>
        <stp>BDP|9148839319518294186</stp>
        <tr r="AA69" s="1"/>
      </tp>
      <tp t="s">
        <v>#N/A N/A</v>
        <stp/>
        <stp>BDP|4263873530314230219</stp>
        <tr r="Z172" s="1"/>
      </tp>
      <tp t="s">
        <v>#N/A N/A</v>
        <stp/>
        <stp>BDP|3981896957534355320</stp>
        <tr r="Y1095" s="1"/>
      </tp>
      <tp t="s">
        <v>#N/A N/A</v>
        <stp/>
        <stp>BDP|6971264398033060717</stp>
        <tr r="Z743" s="1"/>
      </tp>
      <tp t="s">
        <v>#N/A N/A</v>
        <stp/>
        <stp>BDP|3553025332818187125</stp>
        <tr r="AA10" s="1"/>
      </tp>
      <tp t="s">
        <v>#N/A N/A</v>
        <stp/>
        <stp>BDP|1361611395365453256</stp>
        <tr r="AA842" s="1"/>
      </tp>
      <tp t="s">
        <v>#N/A N/A</v>
        <stp/>
        <stp>BDP|5857005099857582239</stp>
        <tr r="AA938" s="1"/>
      </tp>
      <tp t="s">
        <v>#N/A N/A</v>
        <stp/>
        <stp>BDP|9005736272614615409</stp>
        <tr r="Y1038" s="1"/>
      </tp>
      <tp t="s">
        <v>#N/A N/A</v>
        <stp/>
        <stp>BDP|7425038628139003580</stp>
        <tr r="Z75" s="1"/>
      </tp>
      <tp t="s">
        <v>#N/A N/A</v>
        <stp/>
        <stp>BDP|2108344093840167101</stp>
        <tr r="Z1069" s="1"/>
      </tp>
      <tp t="s">
        <v>#N/A N/A</v>
        <stp/>
        <stp>BDP|3953027872598742599</stp>
        <tr r="AA467" s="1"/>
      </tp>
      <tp t="s">
        <v>#N/A N/A</v>
        <stp/>
        <stp>BDP|4513849821453092479</stp>
        <tr r="Y208" s="1"/>
      </tp>
      <tp t="s">
        <v>#N/A N/A</v>
        <stp/>
        <stp>BDP|6748512272348516568</stp>
        <tr r="Y628" s="1"/>
      </tp>
      <tp t="s">
        <v>#N/A N/A</v>
        <stp/>
        <stp>BDP|2524703838876908936</stp>
        <tr r="Z1217" s="1"/>
      </tp>
      <tp t="s">
        <v>#N/A N/A</v>
        <stp/>
        <stp>BDP|3080968124320455110</stp>
        <tr r="Z632" s="1"/>
      </tp>
      <tp t="s">
        <v>#N/A N/A</v>
        <stp/>
        <stp>BDP|4441847920112363542</stp>
        <tr r="Z91" s="1"/>
      </tp>
      <tp t="s">
        <v>#N/A N/A</v>
        <stp/>
        <stp>BDP|6221926445096147436</stp>
        <tr r="Z188" s="1"/>
      </tp>
      <tp t="s">
        <v>#N/A N/A</v>
        <stp/>
        <stp>BDP|7523948753232631002</stp>
        <tr r="AA380" s="1"/>
      </tp>
      <tp t="s">
        <v>#N/A N/A</v>
        <stp/>
        <stp>BDP|2094255760706422953</stp>
        <tr r="AA888" s="1"/>
      </tp>
      <tp t="s">
        <v>#N/A N/A</v>
        <stp/>
        <stp>BDP|7615659780223542324</stp>
        <tr r="Y1306" s="1"/>
      </tp>
      <tp t="s">
        <v>#N/A N/A</v>
        <stp/>
        <stp>BDP|6296474351316548857</stp>
        <tr r="AA187" s="1"/>
      </tp>
      <tp t="s">
        <v>#N/A N/A</v>
        <stp/>
        <stp>BDP|8924390060503139758</stp>
        <tr r="AA1190" s="1"/>
      </tp>
      <tp t="s">
        <v>#N/A N/A</v>
        <stp/>
        <stp>BDP|3246074991303633060</stp>
        <tr r="AA7" s="1"/>
      </tp>
      <tp t="s">
        <v>#N/A N/A</v>
        <stp/>
        <stp>BDP|9841121593000966840</stp>
        <tr r="AA1092" s="1"/>
      </tp>
      <tp t="s">
        <v>#N/A N/A</v>
        <stp/>
        <stp>BDP|8871394493873723800</stp>
        <tr r="Y1123" s="1"/>
      </tp>
      <tp t="s">
        <v>#N/A N/A</v>
        <stp/>
        <stp>BDP|9641191868112040528</stp>
        <tr r="Y829" s="1"/>
      </tp>
      <tp t="s">
        <v>#N/A N/A</v>
        <stp/>
        <stp>BDP|3170167053136189801</stp>
        <tr r="AA76" s="1"/>
      </tp>
      <tp t="s">
        <v>#N/A N/A</v>
        <stp/>
        <stp>BDP|7378823109876927045</stp>
        <tr r="AA75" s="1"/>
      </tp>
      <tp t="s">
        <v>#N/A N/A</v>
        <stp/>
        <stp>BDP|5922439280145665591</stp>
        <tr r="Y1176" s="1"/>
      </tp>
      <tp t="s">
        <v>#N/A N/A</v>
        <stp/>
        <stp>BDP|4131618564355771863</stp>
        <tr r="AA163" s="1"/>
      </tp>
      <tp t="s">
        <v>#N/A N/A</v>
        <stp/>
        <stp>BDP|9295273771855248036</stp>
        <tr r="Z246" s="1"/>
      </tp>
      <tp t="s">
        <v>#N/A N/A</v>
        <stp/>
        <stp>BDP|6752374044730211830</stp>
        <tr r="Y258" s="1"/>
      </tp>
      <tp t="s">
        <v>#N/A N/A</v>
        <stp/>
        <stp>BDP|4416429252964033814</stp>
        <tr r="Y1018" s="1"/>
      </tp>
      <tp t="s">
        <v>#N/A N/A</v>
        <stp/>
        <stp>BDP|6654864617114999143</stp>
        <tr r="AA288" s="1"/>
      </tp>
      <tp t="s">
        <v>#N/A N/A</v>
        <stp/>
        <stp>BDP|6245923917356880251</stp>
        <tr r="Z221" s="1"/>
      </tp>
      <tp t="s">
        <v>#N/A N/A</v>
        <stp/>
        <stp>BDP|3988133785180067052</stp>
        <tr r="Y359" s="1"/>
      </tp>
      <tp t="s">
        <v>#N/A N/A</v>
        <stp/>
        <stp>BDP|1382331171009949623</stp>
        <tr r="AA899" s="1"/>
      </tp>
      <tp t="s">
        <v>#N/A N/A</v>
        <stp/>
        <stp>BDP|5242653661269448682</stp>
        <tr r="Y363" s="1"/>
      </tp>
      <tp t="s">
        <v>#N/A N/A</v>
        <stp/>
        <stp>BDP|4087972340795405698</stp>
        <tr r="AA1329" s="1"/>
      </tp>
      <tp t="s">
        <v>#N/A N/A</v>
        <stp/>
        <stp>BDP|5807445850347578935</stp>
        <tr r="Y420" s="1"/>
      </tp>
      <tp t="s">
        <v>#N/A N/A</v>
        <stp/>
        <stp>BDP|7495831737850324696</stp>
        <tr r="Y685" s="1"/>
      </tp>
      <tp t="s">
        <v>#N/A N/A</v>
        <stp/>
        <stp>BDP|3899118292428269928</stp>
        <tr r="Y1264" s="1"/>
      </tp>
      <tp t="s">
        <v>#N/A N/A</v>
        <stp/>
        <stp>BDP|3036479452778956073</stp>
        <tr r="AA671" s="1"/>
      </tp>
      <tp t="s">
        <v>#N/A N/A</v>
        <stp/>
        <stp>BDP|6705994380788604539</stp>
        <tr r="Z241" s="1"/>
      </tp>
      <tp t="s">
        <v>#N/A N/A</v>
        <stp/>
        <stp>BDP|6266708989492008106</stp>
        <tr r="Z458" s="1"/>
      </tp>
      <tp t="s">
        <v>#N/A N/A</v>
        <stp/>
        <stp>BDP|2580915121397661489</stp>
        <tr r="Y122" s="1"/>
      </tp>
      <tp t="s">
        <v>#N/A N/A</v>
        <stp/>
        <stp>BDP|8345424509113555561</stp>
        <tr r="Y1315" s="1"/>
      </tp>
      <tp t="s">
        <v>#N/A N/A</v>
        <stp/>
        <stp>BDP|3733725186932356482</stp>
        <tr r="Y869" s="1"/>
      </tp>
      <tp t="s">
        <v>#N/A N/A</v>
        <stp/>
        <stp>BDP|8025501283727271898</stp>
        <tr r="AA1294" s="1"/>
      </tp>
      <tp t="s">
        <v>#N/A N/A</v>
        <stp/>
        <stp>BDP|9100311259660293535</stp>
        <tr r="Z1197" s="1"/>
      </tp>
      <tp t="s">
        <v>#N/A N/A</v>
        <stp/>
        <stp>BDP|4840351770793301969</stp>
        <tr r="Z61" s="1"/>
      </tp>
      <tp t="s">
        <v>#N/A N/A</v>
        <stp/>
        <stp>BDP|9998565181446314856</stp>
        <tr r="Y142" s="1"/>
      </tp>
      <tp t="s">
        <v>#N/A N/A</v>
        <stp/>
        <stp>BDP|7118193959809876013</stp>
        <tr r="AA285" s="1"/>
      </tp>
      <tp t="s">
        <v>#N/A N/A</v>
        <stp/>
        <stp>BDP|1514303285540079081</stp>
        <tr r="Z1298" s="1"/>
      </tp>
      <tp t="s">
        <v>#N/A N/A</v>
        <stp/>
        <stp>BDP|5000905765722837251</stp>
        <tr r="Y570" s="1"/>
      </tp>
      <tp t="s">
        <v>#N/A N/A</v>
        <stp/>
        <stp>BDP|8208838683393882124</stp>
        <tr r="AA713" s="1"/>
      </tp>
      <tp t="s">
        <v>#N/A N/A</v>
        <stp/>
        <stp>BDP|3464496674872182806</stp>
        <tr r="Z58" s="1"/>
      </tp>
      <tp t="s">
        <v>#N/A N/A</v>
        <stp/>
        <stp>BDP|9985120237366005752</stp>
        <tr r="Z426" s="1"/>
      </tp>
      <tp t="s">
        <v>#N/A N/A</v>
        <stp/>
        <stp>BDP|4616478588920482242</stp>
        <tr r="Y1317" s="1"/>
      </tp>
      <tp t="s">
        <v>#N/A N/A</v>
        <stp/>
        <stp>BDP|6991105897763423733</stp>
        <tr r="Z526" s="1"/>
      </tp>
      <tp t="s">
        <v>#N/A N/A</v>
        <stp/>
        <stp>BDP|7826373089881821771</stp>
        <tr r="AA125" s="1"/>
      </tp>
      <tp t="s">
        <v>#N/A N/A</v>
        <stp/>
        <stp>BDP|9795977248137511943</stp>
        <tr r="Z704" s="1"/>
      </tp>
      <tp t="s">
        <v>#N/A N/A</v>
        <stp/>
        <stp>BDP|5630840425587796290</stp>
        <tr r="AA1312" s="1"/>
      </tp>
      <tp t="s">
        <v>#N/A N/A</v>
        <stp/>
        <stp>BDP|7272888747829626824</stp>
        <tr r="Y543" s="1"/>
      </tp>
      <tp t="s">
        <v>#N/A N/A</v>
        <stp/>
        <stp>BDP|4538767770918850629</stp>
        <tr r="Y501" s="1"/>
      </tp>
      <tp t="s">
        <v>#N/A N/A</v>
        <stp/>
        <stp>BDP|6600456698245427466</stp>
        <tr r="Z558" s="1"/>
      </tp>
      <tp t="s">
        <v>#N/A N/A</v>
        <stp/>
        <stp>BDP|6900840227801690752</stp>
        <tr r="Z1296" s="1"/>
      </tp>
      <tp t="s">
        <v>#N/A N/A</v>
        <stp/>
        <stp>BDP|4093192302948257702</stp>
        <tr r="AA36" s="1"/>
      </tp>
      <tp t="s">
        <v>#N/A N/A</v>
        <stp/>
        <stp>BDP|1561885379103911747</stp>
        <tr r="Z1208" s="1"/>
      </tp>
      <tp t="s">
        <v>#N/A N/A</v>
        <stp/>
        <stp>BDP|2370991716030207072</stp>
        <tr r="Z1286" s="1"/>
      </tp>
      <tp t="s">
        <v>#N/A N/A</v>
        <stp/>
        <stp>BDP|3104466123498838757</stp>
        <tr r="Y1182" s="1"/>
      </tp>
      <tp t="s">
        <v>#N/A N/A</v>
        <stp/>
        <stp>BDP|4094034287176951030</stp>
        <tr r="Z751" s="1"/>
      </tp>
      <tp t="s">
        <v>#N/A N/A</v>
        <stp/>
        <stp>BDP|5957020224609894490</stp>
        <tr r="Y311" s="1"/>
      </tp>
      <tp t="s">
        <v>#N/A N/A</v>
        <stp/>
        <stp>BDP|2972976645233786626</stp>
        <tr r="Z1264" s="1"/>
      </tp>
      <tp t="s">
        <v>#N/A N/A</v>
        <stp/>
        <stp>BDP|2797632522019906514</stp>
        <tr r="Z248" s="1"/>
      </tp>
      <tp t="s">
        <v>#N/A N/A</v>
        <stp/>
        <stp>BDP|5162958148752440063</stp>
        <tr r="Y941" s="1"/>
      </tp>
      <tp t="s">
        <v>#N/A N/A</v>
        <stp/>
        <stp>BDP|5862632114210246833</stp>
        <tr r="Y844" s="1"/>
      </tp>
      <tp t="s">
        <v>#N/A N/A</v>
        <stp/>
        <stp>BDP|1816911514642622155</stp>
        <tr r="Z607" s="1"/>
      </tp>
      <tp t="s">
        <v>#N/A N/A</v>
        <stp/>
        <stp>BDP|7669981575511560200</stp>
        <tr r="Y129" s="1"/>
      </tp>
      <tp t="s">
        <v>#N/A N/A</v>
        <stp/>
        <stp>BDP|5478794796170760139</stp>
        <tr r="AA175" s="1"/>
      </tp>
      <tp t="s">
        <v>#N/A N/A</v>
        <stp/>
        <stp>BDP|3598357146698939604</stp>
        <tr r="Y405" s="1"/>
      </tp>
      <tp t="s">
        <v>#N/A N/A</v>
        <stp/>
        <stp>BDP|7076592585034075436</stp>
        <tr r="Z742" s="1"/>
      </tp>
      <tp t="s">
        <v>#N/A N/A</v>
        <stp/>
        <stp>BDP|3867723262191486938</stp>
        <tr r="Z1151" s="1"/>
      </tp>
      <tp t="s">
        <v>#N/A N/A</v>
        <stp/>
        <stp>BDP|2700043272888937741</stp>
        <tr r="Z219" s="1"/>
      </tp>
      <tp t="s">
        <v>#N/A N/A</v>
        <stp/>
        <stp>BDP|8346278719414030511</stp>
        <tr r="Y1187" s="1"/>
      </tp>
      <tp t="s">
        <v>#N/A N/A</v>
        <stp/>
        <stp>BDP|7487293393144111236</stp>
        <tr r="Y341" s="1"/>
      </tp>
      <tp t="s">
        <v>#N/A N/A</v>
        <stp/>
        <stp>BDP|9983901249306811847</stp>
        <tr r="AA522" s="1"/>
      </tp>
      <tp t="s">
        <v>#N/A N/A</v>
        <stp/>
        <stp>BDP|5191546542147340984</stp>
        <tr r="Y1146" s="1"/>
      </tp>
      <tp t="s">
        <v>#N/A N/A</v>
        <stp/>
        <stp>BDP|9091280474757058109</stp>
        <tr r="AA341" s="1"/>
      </tp>
      <tp t="s">
        <v>#N/A N/A</v>
        <stp/>
        <stp>BDP|1754889232566669662</stp>
        <tr r="Y536" s="1"/>
      </tp>
      <tp t="s">
        <v>#N/A N/A</v>
        <stp/>
        <stp>BDP|2218666732328960526</stp>
        <tr r="AA693" s="1"/>
      </tp>
      <tp t="s">
        <v>#N/A N/A</v>
        <stp/>
        <stp>BDP|7959803266152735153</stp>
        <tr r="Z1119" s="1"/>
      </tp>
      <tp t="s">
        <v>#N/A N/A</v>
        <stp/>
        <stp>BDP|4755228701594100870</stp>
        <tr r="AA976" s="1"/>
      </tp>
      <tp t="s">
        <v>#N/A N/A</v>
        <stp/>
        <stp>BDP|9670349531691500243</stp>
        <tr r="AA240" s="1"/>
      </tp>
      <tp t="s">
        <v>#N/A N/A</v>
        <stp/>
        <stp>BDP|9140736565997177547</stp>
        <tr r="Z1252" s="1"/>
      </tp>
      <tp t="s">
        <v>#N/A N/A</v>
        <stp/>
        <stp>BDP|4213082268738186016</stp>
        <tr r="Y779" s="1"/>
      </tp>
      <tp t="s">
        <v>#N/A N/A</v>
        <stp/>
        <stp>BDP|8585627505686867282</stp>
        <tr r="Z580" s="1"/>
      </tp>
      <tp t="s">
        <v>#N/A N/A</v>
        <stp/>
        <stp>BDP|7797761831718757155</stp>
        <tr r="Z198" s="1"/>
      </tp>
      <tp t="s">
        <v>#N/A N/A</v>
        <stp/>
        <stp>BDP|8727106423502387359</stp>
        <tr r="Y172" s="1"/>
      </tp>
      <tp t="s">
        <v>#N/A N/A</v>
        <stp/>
        <stp>BDP|7515189204084892833</stp>
        <tr r="Y31" s="1"/>
      </tp>
      <tp t="s">
        <v>#N/A N/A</v>
        <stp/>
        <stp>BDP|9633533132337762220</stp>
        <tr r="Y50" s="1"/>
      </tp>
      <tp t="s">
        <v>#N/A N/A</v>
        <stp/>
        <stp>BDP|5060740395526208714</stp>
        <tr r="Y766" s="1"/>
      </tp>
      <tp t="s">
        <v>#N/A N/A</v>
        <stp/>
        <stp>BDP|2387886717035767483</stp>
        <tr r="Y620" s="1"/>
      </tp>
      <tp t="s">
        <v>#N/A N/A</v>
        <stp/>
        <stp>BDP|5234861117531922798</stp>
        <tr r="Z432" s="1"/>
      </tp>
      <tp t="s">
        <v>#N/A N/A</v>
        <stp/>
        <stp>BDP|2024965276085231318</stp>
        <tr r="Y561" s="1"/>
      </tp>
      <tp t="s">
        <v>#N/A N/A</v>
        <stp/>
        <stp>BDP|4774802173862011373</stp>
        <tr r="AA894" s="1"/>
      </tp>
      <tp t="s">
        <v>#N/A N/A</v>
        <stp/>
        <stp>BDP|4940812749564280605</stp>
        <tr r="Y630" s="1"/>
      </tp>
      <tp t="s">
        <v>#N/A N/A</v>
        <stp/>
        <stp>BDP|6445213517249461652</stp>
        <tr r="Y722" s="1"/>
      </tp>
      <tp t="s">
        <v>#N/A N/A</v>
        <stp/>
        <stp>BDP|3755268204993276842</stp>
        <tr r="Z663" s="1"/>
      </tp>
      <tp t="s">
        <v>#N/A N/A</v>
        <stp/>
        <stp>BDP|9969815888501320207</stp>
        <tr r="AA408" s="1"/>
      </tp>
      <tp t="s">
        <v>#N/A N/A</v>
        <stp/>
        <stp>BDP|2281640484065343329</stp>
        <tr r="Y97" s="1"/>
      </tp>
      <tp t="s">
        <v>#N/A N/A</v>
        <stp/>
        <stp>BDP|1802505979720621944</stp>
        <tr r="Y49" s="1"/>
      </tp>
      <tp t="s">
        <v>#N/A N/A</v>
        <stp/>
        <stp>BDP|6716269475618518116</stp>
        <tr r="Z624" s="1"/>
      </tp>
      <tp t="s">
        <v>#N/A N/A</v>
        <stp/>
        <stp>BDP|5349068986091160620</stp>
        <tr r="Y871" s="1"/>
      </tp>
      <tp t="s">
        <v>#N/A N/A</v>
        <stp/>
        <stp>BDP|2477206233041661818</stp>
        <tr r="AA1298" s="1"/>
      </tp>
      <tp t="s">
        <v>#N/A N/A</v>
        <stp/>
        <stp>BDP|3654821898818986057</stp>
        <tr r="Z453" s="1"/>
      </tp>
      <tp t="s">
        <v>#N/A N/A</v>
        <stp/>
        <stp>BDP|3067972471552601503</stp>
        <tr r="Y1107" s="1"/>
      </tp>
      <tp t="s">
        <v>#N/A N/A</v>
        <stp/>
        <stp>BDP|4706062960121873992</stp>
        <tr r="Y724" s="1"/>
      </tp>
      <tp t="s">
        <v>#N/A N/A</v>
        <stp/>
        <stp>BDP|2160370034290185827</stp>
        <tr r="AA487" s="1"/>
      </tp>
      <tp t="s">
        <v>#N/A N/A</v>
        <stp/>
        <stp>BDP|6226898009582265616</stp>
        <tr r="Y605" s="1"/>
      </tp>
      <tp t="s">
        <v>#N/A N/A</v>
        <stp/>
        <stp>BDP|3768393089977281545</stp>
        <tr r="Z279" s="1"/>
      </tp>
      <tp t="s">
        <v>#N/A N/A</v>
        <stp/>
        <stp>BDP|9156647617461367500</stp>
        <tr r="AA1285" s="1"/>
      </tp>
      <tp t="s">
        <v>#N/A N/A</v>
        <stp/>
        <stp>BDP|7838970452370921151</stp>
        <tr r="AA159" s="1"/>
      </tp>
      <tp t="s">
        <v>#N/A N/A</v>
        <stp/>
        <stp>BDP|9389559835015621041</stp>
        <tr r="Z925" s="1"/>
      </tp>
      <tp t="s">
        <v>#N/A N/A</v>
        <stp/>
        <stp>BDP|2314344121938082171</stp>
        <tr r="Y972" s="1"/>
      </tp>
      <tp t="s">
        <v>#N/A N/A</v>
        <stp/>
        <stp>BDP|5121913301484778277</stp>
        <tr r="AA352" s="1"/>
      </tp>
      <tp t="s">
        <v>#N/A N/A</v>
        <stp/>
        <stp>BDP|4734433486007004534</stp>
        <tr r="AA1023" s="1"/>
      </tp>
      <tp t="s">
        <v>#N/A N/A</v>
        <stp/>
        <stp>BDP|2451316615873687974</stp>
        <tr r="AA452" s="1"/>
      </tp>
      <tp t="s">
        <v>#N/A N/A</v>
        <stp/>
        <stp>BDP|9045077402594796743</stp>
        <tr r="Y838" s="1"/>
      </tp>
      <tp t="s">
        <v>#N/A N/A</v>
        <stp/>
        <stp>BDP|7614879714291403576</stp>
        <tr r="AA243" s="1"/>
      </tp>
      <tp t="s">
        <v>#N/A N/A</v>
        <stp/>
        <stp>BDP|7383291879549197144</stp>
        <tr r="Y619" s="1"/>
      </tp>
      <tp t="s">
        <v>#N/A N/A</v>
        <stp/>
        <stp>BDP|9416363117099157826</stp>
        <tr r="AA293" s="1"/>
      </tp>
      <tp t="s">
        <v>#N/A N/A</v>
        <stp/>
        <stp>BDP|5645522785643533125</stp>
        <tr r="Y1079" s="1"/>
      </tp>
      <tp t="s">
        <v>#N/A N/A</v>
        <stp/>
        <stp>BDP|1985805623074893542</stp>
        <tr r="Z449" s="1"/>
      </tp>
      <tp t="s">
        <v>#N/A N/A</v>
        <stp/>
        <stp>BDP|5348252137248746606</stp>
        <tr r="Y224" s="1"/>
      </tp>
      <tp t="s">
        <v>#N/A N/A</v>
        <stp/>
        <stp>BDP|7778975681688659408</stp>
        <tr r="Y251" s="1"/>
      </tp>
      <tp t="s">
        <v>#N/A N/A</v>
        <stp/>
        <stp>BDP|4172404184920084228</stp>
        <tr r="Z418" s="1"/>
      </tp>
      <tp t="s">
        <v>#N/A N/A</v>
        <stp/>
        <stp>BDP|5411418254577729914</stp>
        <tr r="Z303" s="1"/>
      </tp>
      <tp t="s">
        <v>#N/A N/A</v>
        <stp/>
        <stp>BDP|6273780991815939753</stp>
        <tr r="AA1224" s="1"/>
      </tp>
      <tp t="s">
        <v>#N/A N/A</v>
        <stp/>
        <stp>BDP|9698517030436772373</stp>
        <tr r="Z326" s="1"/>
      </tp>
      <tp t="s">
        <v>#N/A N/A</v>
        <stp/>
        <stp>BDP|9191290840030786585</stp>
        <tr r="Z1097" s="1"/>
      </tp>
      <tp t="s">
        <v>#N/A N/A</v>
        <stp/>
        <stp>BDP|2414517700738142533</stp>
        <tr r="Y564" s="1"/>
      </tp>
      <tp t="s">
        <v>#N/A N/A</v>
        <stp/>
        <stp>BDP|8099964440449867699</stp>
        <tr r="Y909" s="1"/>
      </tp>
      <tp t="s">
        <v>#N/A N/A</v>
        <stp/>
        <stp>BDP|6074541790958700874</stp>
        <tr r="Y1312" s="1"/>
      </tp>
      <tp t="s">
        <v>#N/A N/A</v>
        <stp/>
        <stp>BDP|4676505074918567433</stp>
        <tr r="Z360" s="1"/>
      </tp>
      <tp t="s">
        <v>#N/A N/A</v>
        <stp/>
        <stp>BDP|2340869810949134807</stp>
        <tr r="AA1071" s="1"/>
      </tp>
      <tp t="s">
        <v>#N/A N/A</v>
        <stp/>
        <stp>BDP|8710337912608543869</stp>
        <tr r="AA698" s="1"/>
      </tp>
      <tp t="s">
        <v>#N/A N/A</v>
        <stp/>
        <stp>BDP|1814020766519104488</stp>
        <tr r="Z337" s="1"/>
      </tp>
      <tp t="s">
        <v>#N/A N/A</v>
        <stp/>
        <stp>BDP|2602504795247317356</stp>
        <tr r="AA73" s="1"/>
      </tp>
      <tp t="s">
        <v>#N/A N/A</v>
        <stp/>
        <stp>BDP|9002159834658751939</stp>
        <tr r="AA566" s="1"/>
      </tp>
      <tp t="s">
        <v>#N/A N/A</v>
        <stp/>
        <stp>BDP|2658094036733500893</stp>
        <tr r="Z393" s="1"/>
      </tp>
      <tp t="s">
        <v>#N/A N/A</v>
        <stp/>
        <stp>BDP|1052829237115184511</stp>
        <tr r="Z1283" s="1"/>
      </tp>
      <tp t="s">
        <v>#N/A N/A</v>
        <stp/>
        <stp>BDP|3050015790233207366</stp>
        <tr r="Y768" s="1"/>
      </tp>
      <tp t="s">
        <v>#N/A N/A</v>
        <stp/>
        <stp>BDP|9437904664188611430</stp>
        <tr r="Z1067" s="1"/>
      </tp>
      <tp t="s">
        <v>#N/A N/A</v>
        <stp/>
        <stp>BDP|2463889822495723632</stp>
        <tr r="Y229" s="1"/>
      </tp>
      <tp t="s">
        <v>#N/A N/A</v>
        <stp/>
        <stp>BDP|1870696212065089892</stp>
        <tr r="Y470" s="1"/>
      </tp>
      <tp t="s">
        <v>#N/A N/A</v>
        <stp/>
        <stp>BDP|9421690316841268437</stp>
        <tr r="AA1020" s="1"/>
      </tp>
      <tp t="s">
        <v>#N/A N/A</v>
        <stp/>
        <stp>BDP|3831994958841411574</stp>
        <tr r="Z1190" s="1"/>
      </tp>
      <tp t="s">
        <v>#N/A N/A</v>
        <stp/>
        <stp>BDP|2420919507920812001</stp>
        <tr r="Z293" s="1"/>
      </tp>
      <tp t="s">
        <v>#N/A N/A</v>
        <stp/>
        <stp>BDP|7370890331155176203</stp>
        <tr r="Y148" s="1"/>
      </tp>
      <tp t="s">
        <v>#N/A N/A</v>
        <stp/>
        <stp>BDP|5817662131193025855</stp>
        <tr r="AA577" s="1"/>
      </tp>
      <tp t="s">
        <v>#N/A N/A</v>
        <stp/>
        <stp>BDP|2705074865848680790</stp>
        <tr r="Z387" s="1"/>
      </tp>
      <tp t="s">
        <v>#N/A N/A</v>
        <stp/>
        <stp>BDP|9545069853636363184</stp>
        <tr r="AA14" s="1"/>
      </tp>
      <tp t="s">
        <v>#N/A N/A</v>
        <stp/>
        <stp>BDP|4115021073871304983</stp>
        <tr r="Z967" s="1"/>
      </tp>
      <tp t="s">
        <v>#N/A N/A</v>
        <stp/>
        <stp>BDP|2527069956208749496</stp>
        <tr r="Y791" s="1"/>
      </tp>
      <tp t="s">
        <v>#N/A N/A</v>
        <stp/>
        <stp>BDP|3235396904903712831</stp>
        <tr r="Z6" s="1"/>
      </tp>
      <tp t="s">
        <v>#N/A N/A</v>
        <stp/>
        <stp>BDP|9610293316515692440</stp>
        <tr r="Y99" s="1"/>
      </tp>
      <tp t="s">
        <v>#N/A N/A</v>
        <stp/>
        <stp>BDP|3085013785773948366</stp>
        <tr r="Y530" s="1"/>
      </tp>
      <tp t="s">
        <v>#N/A N/A</v>
        <stp/>
        <stp>BDP|5360098140178542273</stp>
        <tr r="Y166" s="1"/>
      </tp>
      <tp t="s">
        <v>#N/A N/A</v>
        <stp/>
        <stp>BDP|2995546287752265604</stp>
        <tr r="Z870" s="1"/>
      </tp>
      <tp t="s">
        <v>#N/A N/A</v>
        <stp/>
        <stp>BDP|9280810261489245587</stp>
        <tr r="Y556" s="1"/>
      </tp>
      <tp t="s">
        <v>#N/A N/A</v>
        <stp/>
        <stp>BDP|1063658127946217888</stp>
        <tr r="AA472" s="1"/>
      </tp>
      <tp t="s">
        <v>#N/A N/A</v>
        <stp/>
        <stp>BDP|2322820937313992176</stp>
        <tr r="Y366" s="1"/>
      </tp>
      <tp t="s">
        <v>#N/A N/A</v>
        <stp/>
        <stp>BDP|7461753199434874687</stp>
        <tr r="AA1072" s="1"/>
      </tp>
      <tp t="s">
        <v>#N/A N/A</v>
        <stp/>
        <stp>BDP|3218788485313120469</stp>
        <tr r="AA726" s="1"/>
      </tp>
      <tp t="s">
        <v>#N/A N/A</v>
        <stp/>
        <stp>BDP|6227128009789291534</stp>
        <tr r="Z720" s="1"/>
      </tp>
      <tp t="s">
        <v>#N/A N/A</v>
        <stp/>
        <stp>BDP|3750766565740518997</stp>
        <tr r="Y554" s="1"/>
      </tp>
      <tp t="s">
        <v>#N/A N/A</v>
        <stp/>
        <stp>BDP|8518228435282367098</stp>
        <tr r="Z1293" s="1"/>
      </tp>
      <tp t="s">
        <v>#N/A N/A</v>
        <stp/>
        <stp>BDP|1985700071792023808</stp>
        <tr r="AA915" s="1"/>
      </tp>
      <tp t="s">
        <v>#N/A N/A</v>
        <stp/>
        <stp>BDP|3902033956085016845</stp>
        <tr r="AA1222" s="1"/>
      </tp>
      <tp t="s">
        <v>#N/A N/A</v>
        <stp/>
        <stp>BDP|8264946541976734892</stp>
        <tr r="AA266" s="1"/>
      </tp>
      <tp t="s">
        <v>#N/A N/A</v>
        <stp/>
        <stp>BDP|2842151091972451317</stp>
        <tr r="Z1312" s="1"/>
      </tp>
      <tp t="s">
        <v>#N/A N/A</v>
        <stp/>
        <stp>BDP|8171350259581502412</stp>
        <tr r="Y1316" s="1"/>
      </tp>
      <tp t="s">
        <v>#N/A N/A</v>
        <stp/>
        <stp>BDP|5223260108854686830</stp>
        <tr r="Y730" s="1"/>
      </tp>
      <tp t="s">
        <v>#N/A N/A</v>
        <stp/>
        <stp>BDP|2140430213148078486</stp>
        <tr r="Y1171" s="1"/>
      </tp>
      <tp t="s">
        <v>#N/A N/A</v>
        <stp/>
        <stp>BDP|1328846385038887238</stp>
        <tr r="AA127" s="1"/>
      </tp>
      <tp t="s">
        <v>#N/A N/A</v>
        <stp/>
        <stp>BDP|5295357231146875803</stp>
        <tr r="AA763" s="1"/>
      </tp>
      <tp t="s">
        <v>#N/A N/A</v>
        <stp/>
        <stp>BDP|3906078504731369972</stp>
        <tr r="AA1191" s="1"/>
      </tp>
      <tp t="s">
        <v>#N/A N/A</v>
        <stp/>
        <stp>BDP|7394046464538925247</stp>
        <tr r="Z163" s="1"/>
      </tp>
      <tp t="s">
        <v>#N/A N/A</v>
        <stp/>
        <stp>BDP|2612659890137539184</stp>
        <tr r="Y159" s="1"/>
      </tp>
      <tp t="s">
        <v>#N/A N/A</v>
        <stp/>
        <stp>BDP|2591895616368490807</stp>
        <tr r="AA604" s="1"/>
      </tp>
      <tp t="s">
        <v>#N/A N/A</v>
        <stp/>
        <stp>BDP|3348017583514643493</stp>
        <tr r="Z183" s="1"/>
      </tp>
      <tp t="s">
        <v>#N/A N/A</v>
        <stp/>
        <stp>BDP|3636434096272930745</stp>
        <tr r="Y1126" s="1"/>
      </tp>
      <tp t="s">
        <v>#N/A N/A</v>
        <stp/>
        <stp>BDP|5990856451870532363</stp>
        <tr r="Y1325" s="1"/>
      </tp>
      <tp t="s">
        <v>#N/A N/A</v>
        <stp/>
        <stp>BDP|9069385752431504510</stp>
        <tr r="AA689" s="1"/>
      </tp>
      <tp t="s">
        <v>#N/A N/A</v>
        <stp/>
        <stp>BDP|1298199630209664132</stp>
        <tr r="Y417" s="1"/>
      </tp>
      <tp t="s">
        <v>#N/A N/A</v>
        <stp/>
        <stp>BDP|2771807679875444356</stp>
        <tr r="Z1254" s="1"/>
      </tp>
      <tp t="s">
        <v>#N/A N/A</v>
        <stp/>
        <stp>BDP|8660083216585273759</stp>
        <tr r="Z37" s="1"/>
      </tp>
      <tp t="s">
        <v>#N/A N/A</v>
        <stp/>
        <stp>BDP|3917431650099629033</stp>
        <tr r="Z1062" s="1"/>
      </tp>
      <tp t="s">
        <v>#N/A N/A</v>
        <stp/>
        <stp>BDP|9845054490042745957</stp>
        <tr r="Z595" s="1"/>
      </tp>
      <tp t="s">
        <v>#N/A N/A</v>
        <stp/>
        <stp>BDP|9836933797176046437</stp>
        <tr r="Y1309" s="1"/>
      </tp>
      <tp t="s">
        <v>#N/A N/A</v>
        <stp/>
        <stp>BDP|1154293868887467980</stp>
        <tr r="AA602" s="1"/>
      </tp>
      <tp t="s">
        <v>#N/A N/A</v>
        <stp/>
        <stp>BDP|1987254824103368970</stp>
        <tr r="AA397" s="1"/>
      </tp>
      <tp t="s">
        <v>#N/A N/A</v>
        <stp/>
        <stp>BDP|9462379238877290555</stp>
        <tr r="Y592" s="1"/>
      </tp>
      <tp t="s">
        <v>#N/A N/A</v>
        <stp/>
        <stp>BDP|1570307579259280726</stp>
        <tr r="Z1239" s="1"/>
      </tp>
      <tp t="s">
        <v>#N/A N/A</v>
        <stp/>
        <stp>BDP|1588584468319956005</stp>
        <tr r="AA345" s="1"/>
      </tp>
      <tp t="s">
        <v>#N/A N/A</v>
        <stp/>
        <stp>BDP|9432261129115373745</stp>
        <tr r="AA909" s="1"/>
      </tp>
      <tp t="s">
        <v>#N/A N/A</v>
        <stp/>
        <stp>BDP|4271190406448303621</stp>
        <tr r="AA406" s="1"/>
      </tp>
      <tp t="s">
        <v>#N/A N/A</v>
        <stp/>
        <stp>BDP|4379713252225977854</stp>
        <tr r="AA1068" s="1"/>
      </tp>
      <tp t="s">
        <v>#N/A N/A</v>
        <stp/>
        <stp>BDP|1604156181750917374</stp>
        <tr r="Z1035" s="1"/>
      </tp>
      <tp t="s">
        <v>#N/A N/A</v>
        <stp/>
        <stp>BDP|9109493602646189079</stp>
        <tr r="Z24" s="1"/>
      </tp>
      <tp t="s">
        <v>#N/A N/A</v>
        <stp/>
        <stp>BDP|9099179721999263896</stp>
        <tr r="Z535" s="1"/>
      </tp>
      <tp t="s">
        <v>#N/A N/A</v>
        <stp/>
        <stp>BDP|2510346294365149698</stp>
        <tr r="AA104" s="1"/>
      </tp>
      <tp t="s">
        <v>#N/A N/A</v>
        <stp/>
        <stp>BDP|7044706299532025048</stp>
        <tr r="Z402" s="1"/>
      </tp>
      <tp t="s">
        <v>#N/A N/A</v>
        <stp/>
        <stp>BDP|8666057748417153073</stp>
        <tr r="Z137" s="1"/>
      </tp>
      <tp t="s">
        <v>#N/A N/A</v>
        <stp/>
        <stp>BDP|2495880756757722308</stp>
        <tr r="Z142" s="1"/>
      </tp>
      <tp t="s">
        <v>#N/A N/A</v>
        <stp/>
        <stp>BDP|2402160379139505636</stp>
        <tr r="AA231" s="1"/>
      </tp>
      <tp t="s">
        <v>#N/A N/A</v>
        <stp/>
        <stp>BDP|8094130656603312443</stp>
        <tr r="Y571" s="1"/>
      </tp>
      <tp t="s">
        <v>#N/A N/A</v>
        <stp/>
        <stp>BDP|2667230930968122061</stp>
        <tr r="Z685" s="1"/>
      </tp>
      <tp t="s">
        <v>#N/A N/A</v>
        <stp/>
        <stp>BDP|4485700669567604992</stp>
        <tr r="Y1155" s="1"/>
      </tp>
      <tp t="s">
        <v>#N/A N/A</v>
        <stp/>
        <stp>BDP|7689537086384287537</stp>
        <tr r="Z1096" s="1"/>
      </tp>
      <tp t="s">
        <v>#N/A N/A</v>
        <stp/>
        <stp>BDP|1037920169022046794</stp>
        <tr r="AA1083" s="1"/>
      </tp>
      <tp t="s">
        <v>#N/A N/A</v>
        <stp/>
        <stp>BDP|6679886737920859625</stp>
        <tr r="Y937" s="1"/>
      </tp>
      <tp t="s">
        <v>#N/A N/A</v>
        <stp/>
        <stp>BDP|2651939524134165633</stp>
        <tr r="Y1031" s="1"/>
      </tp>
      <tp t="s">
        <v>#N/A N/A</v>
        <stp/>
        <stp>BDP|3019859710329330850</stp>
        <tr r="Z100" s="1"/>
      </tp>
      <tp t="s">
        <v>#N/A N/A</v>
        <stp/>
        <stp>BDP|3032469291047109252</stp>
        <tr r="Z717" s="1"/>
      </tp>
      <tp t="s">
        <v>#N/A N/A</v>
        <stp/>
        <stp>BDP|7319791945708547798</stp>
        <tr r="Z1005" s="1"/>
      </tp>
      <tp t="s">
        <v>#N/A N/A</v>
        <stp/>
        <stp>BDP|9531958866254270974</stp>
        <tr r="AA114" s="1"/>
      </tp>
      <tp t="s">
        <v>#N/A N/A</v>
        <stp/>
        <stp>BDP|8553204738210696287</stp>
        <tr r="AA1048" s="1"/>
      </tp>
      <tp t="s">
        <v>#N/A N/A</v>
        <stp/>
        <stp>BDP|4927689038722956837</stp>
        <tr r="Y753" s="1"/>
      </tp>
      <tp t="s">
        <v>#N/A N/A</v>
        <stp/>
        <stp>BDP|3751855490871999882</stp>
        <tr r="Y637" s="1"/>
      </tp>
      <tp t="s">
        <v>#N/A N/A</v>
        <stp/>
        <stp>BDP|5705620484092236201</stp>
        <tr r="AA673" s="1"/>
      </tp>
      <tp t="s">
        <v>#N/A N/A</v>
        <stp/>
        <stp>BDP|6018136473382469976</stp>
        <tr r="Z1269" s="1"/>
      </tp>
      <tp t="s">
        <v>#N/A N/A</v>
        <stp/>
        <stp>BDP|6107201275971672918</stp>
        <tr r="Z797" s="1"/>
      </tp>
      <tp t="s">
        <v>#N/A N/A</v>
        <stp/>
        <stp>BDP|7710887186044887829</stp>
        <tr r="Z1113" s="1"/>
      </tp>
      <tp t="s">
        <v>#N/A N/A</v>
        <stp/>
        <stp>BDP|9517312576281825795</stp>
        <tr r="AA660" s="1"/>
      </tp>
      <tp t="s">
        <v>#N/A N/A</v>
        <stp/>
        <stp>BDP|9302993357996422890</stp>
        <tr r="Z1216" s="1"/>
      </tp>
      <tp t="s">
        <v>#N/A N/A</v>
        <stp/>
        <stp>BDP|7198502046218154566</stp>
        <tr r="AA280" s="1"/>
      </tp>
      <tp t="s">
        <v>#N/A N/A</v>
        <stp/>
        <stp>BDP|2853393360998000415</stp>
        <tr r="AA1113" s="1"/>
      </tp>
      <tp t="s">
        <v>#N/A N/A</v>
        <stp/>
        <stp>BDP|8582941125180052843</stp>
        <tr r="AA432" s="1"/>
      </tp>
      <tp t="s">
        <v>#N/A N/A</v>
        <stp/>
        <stp>BDP|8529326745641578577</stp>
        <tr r="AA534" s="1"/>
      </tp>
      <tp t="s">
        <v>#N/A N/A</v>
        <stp/>
        <stp>BDP|5528328745100594977</stp>
        <tr r="AA1302" s="1"/>
      </tp>
      <tp t="s">
        <v>#N/A N/A</v>
        <stp/>
        <stp>BDP|2453053480439025814</stp>
        <tr r="Y818" s="1"/>
      </tp>
      <tp t="s">
        <v>#N/A N/A</v>
        <stp/>
        <stp>BDP|9094847466424641848</stp>
        <tr r="Y674" s="1"/>
      </tp>
      <tp t="s">
        <v>#N/A N/A</v>
        <stp/>
        <stp>BDP|9582467963794771467</stp>
        <tr r="Z1082" s="1"/>
      </tp>
      <tp t="s">
        <v>#N/A N/A</v>
        <stp/>
        <stp>BDP|9183450405572793479</stp>
        <tr r="AA1316" s="1"/>
      </tp>
      <tp t="s">
        <v>#N/A N/A</v>
        <stp/>
        <stp>BDP|5221628287500477028</stp>
        <tr r="Z264" s="1"/>
      </tp>
      <tp t="s">
        <v>#N/A N/A</v>
        <stp/>
        <stp>BDP|1271583339389700554</stp>
        <tr r="Z479" s="1"/>
      </tp>
      <tp t="s">
        <v>#N/A N/A</v>
        <stp/>
        <stp>BDP|6337613422359351021</stp>
        <tr r="AA1064" s="1"/>
      </tp>
      <tp t="s">
        <v>#N/A N/A</v>
        <stp/>
        <stp>BDP|3363899064074171297</stp>
        <tr r="Z1186" s="1"/>
      </tp>
      <tp t="s">
        <v>#N/A N/A</v>
        <stp/>
        <stp>BDP|1206968431199007937</stp>
        <tr r="Z1010" s="1"/>
      </tp>
      <tp t="s">
        <v>#N/A N/A</v>
        <stp/>
        <stp>BDP|8810097532733692339</stp>
        <tr r="Z349" s="1"/>
      </tp>
      <tp t="s">
        <v>#N/A N/A</v>
        <stp/>
        <stp>BDP|5348037647782307825</stp>
        <tr r="AA1112" s="1"/>
      </tp>
      <tp t="s">
        <v>#N/A N/A</v>
        <stp/>
        <stp>BDP|3747133182084444540</stp>
        <tr r="Y322" s="1"/>
      </tp>
      <tp t="s">
        <v>#N/A N/A</v>
        <stp/>
        <stp>BDP|9233118052504791202</stp>
        <tr r="Y873" s="1"/>
      </tp>
      <tp t="s">
        <v>#N/A N/A</v>
        <stp/>
        <stp>BDP|5578285188757737343</stp>
        <tr r="AA971" s="1"/>
      </tp>
      <tp t="s">
        <v>#N/A N/A</v>
        <stp/>
        <stp>BDP|3210031806830168809</stp>
        <tr r="AA1123" s="1"/>
      </tp>
      <tp t="s">
        <v>#N/A N/A</v>
        <stp/>
        <stp>BDP|3883765731718102491</stp>
        <tr r="Z897" s="1"/>
      </tp>
      <tp t="s">
        <v>#N/A N/A</v>
        <stp/>
        <stp>BDP|8146179440777932186</stp>
        <tr r="Y246" s="1"/>
      </tp>
      <tp t="s">
        <v>#N/A N/A</v>
        <stp/>
        <stp>BDP|7564838501970512457</stp>
        <tr r="AA1106" s="1"/>
      </tp>
      <tp t="s">
        <v>#N/A N/A</v>
        <stp/>
        <stp>BDP|5276510209729931242</stp>
        <tr r="Z1127" s="1"/>
      </tp>
      <tp t="s">
        <v>#N/A N/A</v>
        <stp/>
        <stp>BDP|2723878213922005243</stp>
        <tr r="AA1178" s="1"/>
      </tp>
      <tp t="s">
        <v>#N/A N/A</v>
        <stp/>
        <stp>BDP|1461878559823564484</stp>
        <tr r="AA120" s="1"/>
      </tp>
      <tp t="s">
        <v>#N/A N/A</v>
        <stp/>
        <stp>BDP|8479321101411761173</stp>
        <tr r="Z239" s="1"/>
      </tp>
      <tp t="s">
        <v>#N/A N/A</v>
        <stp/>
        <stp>BDP|7587133209098145598</stp>
        <tr r="AA358" s="1"/>
      </tp>
      <tp t="s">
        <v>#N/A N/A</v>
        <stp/>
        <stp>BDP|6082821724554771351</stp>
        <tr r="Y176" s="1"/>
      </tp>
      <tp t="s">
        <v>#N/A N/A</v>
        <stp/>
        <stp>BDP|2274979037566601506</stp>
        <tr r="Z113" s="1"/>
      </tp>
      <tp t="s">
        <v>#N/A N/A</v>
        <stp/>
        <stp>BDP|4343601422958324362</stp>
        <tr r="Y368" s="1"/>
      </tp>
      <tp t="s">
        <v>#N/A N/A</v>
        <stp/>
        <stp>BDP|7514619871734671977</stp>
        <tr r="AA390" s="1"/>
      </tp>
      <tp t="s">
        <v>#N/A N/A</v>
        <stp/>
        <stp>BDP|3546391889196023517</stp>
        <tr r="AA1102" s="1"/>
      </tp>
      <tp t="s">
        <v>#N/A N/A</v>
        <stp/>
        <stp>BDP|7406585538428852287</stp>
        <tr r="AA716" s="1"/>
      </tp>
      <tp t="s">
        <v>#N/A N/A</v>
        <stp/>
        <stp>BDP|8425573906412149403</stp>
        <tr r="Z1297" s="1"/>
      </tp>
      <tp t="s">
        <v>#N/A N/A</v>
        <stp/>
        <stp>BDP|5512790691829888913</stp>
        <tr r="Z702" s="1"/>
      </tp>
      <tp t="s">
        <v>#N/A N/A</v>
        <stp/>
        <stp>BDP|5798775278859585785</stp>
        <tr r="AA610" s="1"/>
      </tp>
      <tp t="s">
        <v>#N/A N/A</v>
        <stp/>
        <stp>BDP|3781244289673816171</stp>
        <tr r="Z1115" s="1"/>
      </tp>
      <tp t="s">
        <v>#N/A N/A</v>
        <stp/>
        <stp>BDP|1525970795958320217</stp>
        <tr r="AA223" s="1"/>
      </tp>
      <tp t="s">
        <v>#N/A N/A</v>
        <stp/>
        <stp>BDP|5275179335738440418</stp>
        <tr r="Y702" s="1"/>
      </tp>
      <tp t="s">
        <v>#N/A N/A</v>
        <stp/>
        <stp>BDP|2777061968021581167</stp>
        <tr r="Y471" s="1"/>
      </tp>
      <tp t="s">
        <v>#N/A N/A</v>
        <stp/>
        <stp>BDP|1367568531321863266</stp>
        <tr r="Z648" s="1"/>
      </tp>
      <tp t="s">
        <v>#N/A N/A</v>
        <stp/>
        <stp>BDP|6949014731915013435</stp>
        <tr r="AA1088" s="1"/>
      </tp>
      <tp t="s">
        <v>#N/A N/A</v>
        <stp/>
        <stp>BDP|6775892487374276611</stp>
        <tr r="AA174" s="1"/>
      </tp>
      <tp t="s">
        <v>#N/A N/A</v>
        <stp/>
        <stp>BDP|3257924792672835501</stp>
        <tr r="Y938" s="1"/>
      </tp>
      <tp t="s">
        <v>#N/A N/A</v>
        <stp/>
        <stp>BDP|6981486458156600546</stp>
        <tr r="Y1092" s="1"/>
      </tp>
      <tp t="s">
        <v>#N/A N/A</v>
        <stp/>
        <stp>BDP|2550566307526785583</stp>
        <tr r="Y521" s="1"/>
      </tp>
      <tp t="s">
        <v>#N/A N/A</v>
        <stp/>
        <stp>BDP|3976524921171570142</stp>
        <tr r="AA415" s="1"/>
      </tp>
      <tp t="s">
        <v>#N/A N/A</v>
        <stp/>
        <stp>BDP|5180153964560156691</stp>
        <tr r="AA514" s="1"/>
      </tp>
      <tp t="s">
        <v>#N/A N/A</v>
        <stp/>
        <stp>BDP|1065089586564062960</stp>
        <tr r="Y422" s="1"/>
      </tp>
      <tp t="s">
        <v>#N/A N/A</v>
        <stp/>
        <stp>BDP|8359805426337533181</stp>
        <tr r="AA628" s="1"/>
      </tp>
      <tp t="s">
        <v>#N/A N/A</v>
        <stp/>
        <stp>BDP|7868830363889380436</stp>
        <tr r="Z1012" s="1"/>
      </tp>
      <tp t="s">
        <v>#N/A N/A</v>
        <stp/>
        <stp>BDP|1335684812180303223</stp>
        <tr r="Z490" s="1"/>
      </tp>
      <tp t="s">
        <v>#N/A N/A</v>
        <stp/>
        <stp>BDP|4689195557234823088</stp>
        <tr r="Z227" s="1"/>
      </tp>
      <tp t="s">
        <v>#N/A N/A</v>
        <stp/>
        <stp>BDP|5209727756637627486</stp>
        <tr r="AA576" s="1"/>
      </tp>
      <tp t="s">
        <v>#N/A N/A</v>
        <stp/>
        <stp>BDP|3468731150681765483</stp>
        <tr r="AA344" s="1"/>
      </tp>
      <tp t="s">
        <v>#N/A N/A</v>
        <stp/>
        <stp>BDP|6987265531377012473</stp>
        <tr r="Z1017" s="1"/>
      </tp>
      <tp t="s">
        <v>#N/A N/A</v>
        <stp/>
        <stp>BDP|4732138961930583796</stp>
        <tr r="AA561" s="1"/>
      </tp>
      <tp t="s">
        <v>#N/A N/A</v>
        <stp/>
        <stp>BDP|7608369322213360182</stp>
        <tr r="AA262" s="1"/>
      </tp>
      <tp t="s">
        <v>#N/A N/A</v>
        <stp/>
        <stp>BDP|7215424588267957883</stp>
        <tr r="AA732" s="1"/>
      </tp>
      <tp t="s">
        <v>#N/A N/A</v>
        <stp/>
        <stp>BDP|5726435067433813021</stp>
        <tr r="AA935" s="1"/>
      </tp>
      <tp t="s">
        <v>#N/A N/A</v>
        <stp/>
        <stp>BDP|1247152851083727286</stp>
        <tr r="AA1047" s="1"/>
      </tp>
      <tp t="s">
        <v>#N/A N/A</v>
        <stp/>
        <stp>BDP|2383198026931558408</stp>
        <tr r="Y824" s="1"/>
      </tp>
      <tp t="s">
        <v>#N/A N/A</v>
        <stp/>
        <stp>BDP|9448864178175047732</stp>
        <tr r="Z466" s="1"/>
      </tp>
      <tp t="s">
        <v>#N/A N/A</v>
        <stp/>
        <stp>BDP|3437285807850234576</stp>
        <tr r="Y202" s="1"/>
      </tp>
      <tp t="s">
        <v>#N/A N/A</v>
        <stp/>
        <stp>BDP|3101935759128677332</stp>
        <tr r="Z1129" s="1"/>
      </tp>
      <tp t="s">
        <v>#N/A N/A</v>
        <stp/>
        <stp>BDP|8119550256135907955</stp>
        <tr r="AA371" s="1"/>
      </tp>
      <tp t="s">
        <v>#N/A N/A</v>
        <stp/>
        <stp>BDP|4550044307563026382</stp>
        <tr r="AA1135" s="1"/>
      </tp>
      <tp t="s">
        <v>#N/A N/A</v>
        <stp/>
        <stp>BDP|8987676861679047505</stp>
        <tr r="AA861" s="1"/>
      </tp>
      <tp t="s">
        <v>#N/A N/A</v>
        <stp/>
        <stp>BDP|9782384660550751877</stp>
        <tr r="Y188" s="1"/>
      </tp>
      <tp t="s">
        <v>#N/A N/A</v>
        <stp/>
        <stp>BDP|6696006949403228527</stp>
        <tr r="Y375" s="1"/>
      </tp>
      <tp t="s">
        <v>#N/A N/A</v>
        <stp/>
        <stp>BDP|8900126582507032263</stp>
        <tr r="Y925" s="1"/>
      </tp>
      <tp t="s">
        <v>#N/A N/A</v>
        <stp/>
        <stp>BDP|6963154365187038263</stp>
        <tr r="AA981" s="1"/>
      </tp>
      <tp t="s">
        <v>#N/A N/A</v>
        <stp/>
        <stp>BDP|4947522853000203055</stp>
        <tr r="AA1005" s="1"/>
      </tp>
      <tp t="s">
        <v>#N/A N/A</v>
        <stp/>
        <stp>BDP|9538566530859863249</stp>
        <tr r="Z228" s="1"/>
      </tp>
      <tp t="s">
        <v>#N/A N/A</v>
        <stp/>
        <stp>BDP|5250196060212367472</stp>
        <tr r="Y1010" s="1"/>
      </tp>
      <tp t="s">
        <v>#N/A N/A</v>
        <stp/>
        <stp>BDP|6604641310480553587</stp>
        <tr r="AA1038" s="1"/>
      </tp>
      <tp t="s">
        <v>#N/A N/A</v>
        <stp/>
        <stp>BDP|1653295846675064667</stp>
        <tr r="Z627" s="1"/>
      </tp>
      <tp t="s">
        <v>#N/A N/A</v>
        <stp/>
        <stp>BDP|2335313863606872558</stp>
        <tr r="Z784" s="1"/>
      </tp>
      <tp t="s">
        <v>#N/A N/A</v>
        <stp/>
        <stp>BDP|3308605534983204194</stp>
        <tr r="Z213" s="1"/>
      </tp>
      <tp t="s">
        <v>#N/A N/A</v>
        <stp/>
        <stp>BDP|8188933038816236048</stp>
        <tr r="AA1061" s="1"/>
      </tp>
      <tp t="s">
        <v>#N/A N/A</v>
        <stp/>
        <stp>BDP|3490743398620146952</stp>
        <tr r="Y1251" s="1"/>
      </tp>
      <tp t="s">
        <v>#N/A N/A</v>
        <stp/>
        <stp>BDP|2968640762961557760</stp>
        <tr r="Y767" s="1"/>
      </tp>
      <tp t="s">
        <v>#N/A N/A</v>
        <stp/>
        <stp>BDP|2721197156953798139</stp>
        <tr r="Z943" s="1"/>
      </tp>
      <tp t="s">
        <v>#N/A N/A</v>
        <stp/>
        <stp>BDP|1309184048366893671</stp>
        <tr r="AA389" s="1"/>
      </tp>
      <tp t="s">
        <v>#N/A N/A</v>
        <stp/>
        <stp>BDP|4790282974916505327</stp>
        <tr r="Z77" s="1"/>
      </tp>
      <tp t="s">
        <v>#N/A N/A</v>
        <stp/>
        <stp>BDP|8600206378391314811</stp>
        <tr r="Z818" s="1"/>
      </tp>
      <tp t="s">
        <v>#N/A N/A</v>
        <stp/>
        <stp>BDP|8351514669879153668</stp>
        <tr r="AA1231" s="1"/>
      </tp>
      <tp t="s">
        <v>#N/A N/A</v>
        <stp/>
        <stp>BDP|1034359815594918346</stp>
        <tr r="Y316" s="1"/>
      </tp>
      <tp t="s">
        <v>#N/A N/A</v>
        <stp/>
        <stp>BDP|6275501544886357583</stp>
        <tr r="Y402" s="1"/>
      </tp>
      <tp t="s">
        <v>#N/A N/A</v>
        <stp/>
        <stp>BDP|7164636845469993835</stp>
        <tr r="Y510" s="1"/>
      </tp>
      <tp t="s">
        <v>#N/A N/A</v>
        <stp/>
        <stp>BDP|4850121177912244426</stp>
        <tr r="Y351" s="1"/>
      </tp>
      <tp t="s">
        <v>#N/A N/A</v>
        <stp/>
        <stp>BDP|4238509617802685615</stp>
        <tr r="Y1181" s="1"/>
      </tp>
      <tp t="s">
        <v>#N/A N/A</v>
        <stp/>
        <stp>BDP|6594804323171677925</stp>
        <tr r="AA1119" s="1"/>
      </tp>
      <tp t="s">
        <v>#N/A N/A</v>
        <stp/>
        <stp>BDP|7168081645425853268</stp>
        <tr r="Y1134" s="1"/>
      </tp>
      <tp t="s">
        <v>#N/A N/A</v>
        <stp/>
        <stp>BDP|7300905090517870496</stp>
        <tr r="Z782" s="1"/>
      </tp>
      <tp t="s">
        <v>#N/A N/A</v>
        <stp/>
        <stp>BDP|5679517255390975194</stp>
        <tr r="Y885" s="1"/>
      </tp>
      <tp t="s">
        <v>#N/A N/A</v>
        <stp/>
        <stp>BDP|3678730729092645087</stp>
        <tr r="AA906" s="1"/>
      </tp>
      <tp t="s">
        <v>#N/A N/A</v>
        <stp/>
        <stp>BDP|3680641205797297670</stp>
        <tr r="Y867" s="1"/>
      </tp>
      <tp t="s">
        <v>#N/A N/A</v>
        <stp/>
        <stp>BDP|7844449320862654786</stp>
        <tr r="Z398" s="1"/>
      </tp>
      <tp t="s">
        <v>#N/A N/A</v>
        <stp/>
        <stp>BDP|6681718944505624471</stp>
        <tr r="Y221" s="1"/>
      </tp>
      <tp t="s">
        <v>#N/A N/A</v>
        <stp/>
        <stp>BDP|4408817063867729926</stp>
        <tr r="Z1043" s="1"/>
      </tp>
      <tp t="s">
        <v>#N/A N/A</v>
        <stp/>
        <stp>BDP|8130198405139767496</stp>
        <tr r="Z370" s="1"/>
      </tp>
      <tp t="s">
        <v>#N/A N/A</v>
        <stp/>
        <stp>BDP|9147244465280506968</stp>
        <tr r="Y58" s="1"/>
      </tp>
      <tp t="s">
        <v>#N/A N/A</v>
        <stp/>
        <stp>BDP|2247008124150214470</stp>
        <tr r="Y902" s="1"/>
      </tp>
      <tp t="s">
        <v>#N/A N/A</v>
        <stp/>
        <stp>BDP|9371071981424044169</stp>
        <tr r="Z51" s="1"/>
      </tp>
      <tp t="s">
        <v>#N/A N/A</v>
        <stp/>
        <stp>BDP|8874480085821649104</stp>
        <tr r="AA483" s="1"/>
      </tp>
      <tp t="s">
        <v>#N/A N/A</v>
        <stp/>
        <stp>BDP|8256803840678127802</stp>
        <tr r="Y787" s="1"/>
      </tp>
      <tp t="s">
        <v>#N/A N/A</v>
        <stp/>
        <stp>BDP|8718530771719340751</stp>
        <tr r="Y269" s="1"/>
      </tp>
      <tp t="s">
        <v>#N/A N/A</v>
        <stp/>
        <stp>BDP|5504187546463165790</stp>
        <tr r="Z425" s="1"/>
      </tp>
      <tp t="s">
        <v>#N/A N/A</v>
        <stp/>
        <stp>BDP|2779892678078529103</stp>
        <tr r="Y1013" s="1"/>
      </tp>
      <tp t="s">
        <v>#N/A N/A</v>
        <stp/>
        <stp>BDP|6294533868260137184</stp>
        <tr r="Y17" s="1"/>
      </tp>
      <tp t="s">
        <v>#N/A N/A</v>
        <stp/>
        <stp>BDP|4788234034993410240</stp>
        <tr r="Z464" s="1"/>
      </tp>
      <tp t="s">
        <v>#N/A N/A</v>
        <stp/>
        <stp>BDP|7582175881893400971</stp>
        <tr r="AA591" s="1"/>
      </tp>
      <tp t="s">
        <v>#N/A N/A</v>
        <stp/>
        <stp>BDP|3476474826096431708</stp>
        <tr r="Y852" s="1"/>
      </tp>
      <tp t="s">
        <v>#N/A N/A</v>
        <stp/>
        <stp>BDP|6296289539805591679</stp>
        <tr r="Z1315" s="1"/>
      </tp>
      <tp t="s">
        <v>#N/A N/A</v>
        <stp/>
        <stp>BDP|2469267231463699447</stp>
        <tr r="Z671" s="1"/>
      </tp>
      <tp t="s">
        <v>#N/A N/A</v>
        <stp/>
        <stp>BDP|8584427907350520845</stp>
        <tr r="AA512" s="1"/>
      </tp>
      <tp t="s">
        <v>#N/A N/A</v>
        <stp/>
        <stp>BDP|6239218043102990688</stp>
        <tr r="AA731" s="1"/>
      </tp>
      <tp t="s">
        <v>#N/A N/A</v>
        <stp/>
        <stp>BDP|1646519231734411737</stp>
        <tr r="AA476" s="1"/>
      </tp>
      <tp t="s">
        <v>#N/A N/A</v>
        <stp/>
        <stp>BDP|7795060254231277760</stp>
        <tr r="AA891" s="1"/>
      </tp>
      <tp t="s">
        <v>#N/A N/A</v>
        <stp/>
        <stp>BDP|4496117257375454176</stp>
        <tr r="Z165" s="1"/>
      </tp>
      <tp t="s">
        <v>#N/A N/A</v>
        <stp/>
        <stp>BDP|4955519714855920147</stp>
        <tr r="Y125" s="1"/>
      </tp>
      <tp t="s">
        <v>#N/A N/A</v>
        <stp/>
        <stp>BDP|3829110322614816021</stp>
        <tr r="Z1194" s="1"/>
      </tp>
      <tp t="s">
        <v>#N/A N/A</v>
        <stp/>
        <stp>BDP|8482983352704976412</stp>
        <tr r="Y865" s="1"/>
      </tp>
      <tp t="s">
        <v>#N/A N/A</v>
        <stp/>
        <stp>BDP|6882616017273996619</stp>
        <tr r="AA1084" s="1"/>
      </tp>
      <tp t="s">
        <v>#N/A N/A</v>
        <stp/>
        <stp>BDP|6998209604824917425</stp>
        <tr r="Y878" s="1"/>
      </tp>
      <tp t="s">
        <v>#N/A N/A</v>
        <stp/>
        <stp>BDP|6763222314628158964</stp>
        <tr r="Z1137" s="1"/>
      </tp>
      <tp t="s">
        <v>#N/A N/A</v>
        <stp/>
        <stp>BDP|1895616340756892175</stp>
        <tr r="Z550" s="1"/>
      </tp>
      <tp t="s">
        <v>#N/A N/A</v>
        <stp/>
        <stp>BDP|5254945095419309860</stp>
        <tr r="Y414" s="1"/>
      </tp>
      <tp t="s">
        <v>#N/A N/A</v>
        <stp/>
        <stp>BDP|7854899050586643804</stp>
        <tr r="Y39" s="1"/>
      </tp>
      <tp t="s">
        <v>#N/A N/A</v>
        <stp/>
        <stp>BDP|1342555525223080140</stp>
        <tr r="AA1320" s="1"/>
      </tp>
      <tp t="s">
        <v>#N/A N/A</v>
        <stp/>
        <stp>BDP|2745621605808507820</stp>
        <tr r="AA1002" s="1"/>
      </tp>
      <tp t="s">
        <v>#N/A N/A</v>
        <stp/>
        <stp>BDP|1682198168624080600</stp>
        <tr r="AA238" s="1"/>
      </tp>
      <tp t="s">
        <v>#N/A N/A</v>
        <stp/>
        <stp>BDP|9209831870511037367</stp>
        <tr r="AA920" s="1"/>
      </tp>
      <tp t="s">
        <v>#N/A N/A</v>
        <stp/>
        <stp>BDP|8897813852359912858</stp>
        <tr r="Y20" s="1"/>
      </tp>
      <tp t="s">
        <v>#N/A N/A</v>
        <stp/>
        <stp>BDP|9056620427129178033</stp>
        <tr r="Z131" s="1"/>
      </tp>
      <tp t="s">
        <v>#N/A N/A</v>
        <stp/>
        <stp>BDP|4712631656591740223</stp>
        <tr r="Y486" s="1"/>
      </tp>
      <tp t="s">
        <v>#N/A N/A</v>
        <stp/>
        <stp>BDP|1461045106775254034</stp>
        <tr r="AA275" s="1"/>
      </tp>
      <tp t="s">
        <v>#N/A N/A</v>
        <stp/>
        <stp>BDP|5690010774324479208</stp>
        <tr r="Z756" s="1"/>
      </tp>
      <tp t="s">
        <v>#N/A N/A</v>
        <stp/>
        <stp>BDP|8848269179950512950</stp>
        <tr r="Y96" s="1"/>
      </tp>
      <tp t="s">
        <v>#N/A N/A</v>
        <stp/>
        <stp>BDP|6061556226787256266</stp>
        <tr r="Z538" s="1"/>
      </tp>
      <tp t="s">
        <v>#N/A N/A</v>
        <stp/>
        <stp>BDP|2867869301826925813</stp>
        <tr r="Z893" s="1"/>
      </tp>
      <tp t="s">
        <v>#N/A N/A</v>
        <stp/>
        <stp>BDP|5650976608611847958</stp>
        <tr r="Z223" s="1"/>
      </tp>
      <tp t="s">
        <v>#N/A N/A</v>
        <stp/>
        <stp>BDP|1312431580008204169</stp>
        <tr r="AA463" s="1"/>
      </tp>
      <tp t="s">
        <v>#N/A N/A</v>
        <stp/>
        <stp>BDP|2240711647052898784</stp>
        <tr r="Y1302" s="1"/>
      </tp>
      <tp t="s">
        <v>#N/A N/A</v>
        <stp/>
        <stp>BDP|8098890775317998418</stp>
        <tr r="Z941" s="1"/>
      </tp>
      <tp t="s">
        <v>#N/A N/A</v>
        <stp/>
        <stp>BDP|6856745325787816058</stp>
        <tr r="Y1175" s="1"/>
      </tp>
      <tp t="s">
        <v>#N/A N/A</v>
        <stp/>
        <stp>BDP|3166161772488169904</stp>
        <tr r="Y991" s="1"/>
      </tp>
      <tp t="s">
        <v>#N/A N/A</v>
        <stp/>
        <stp>BDP|3238940833094571947</stp>
        <tr r="AA575" s="1"/>
      </tp>
      <tp t="s">
        <v>#N/A N/A</v>
        <stp/>
        <stp>BDP|6963256176383973477</stp>
        <tr r="Y1057" s="1"/>
      </tp>
      <tp t="s">
        <v>#N/A N/A</v>
        <stp/>
        <stp>BDP|4060673937867563219</stp>
        <tr r="Y73" s="1"/>
      </tp>
      <tp t="s">
        <v>#N/A N/A</v>
        <stp/>
        <stp>BDP|6367416815235609257</stp>
        <tr r="Y1076" s="1"/>
      </tp>
      <tp t="s">
        <v>#N/A N/A</v>
        <stp/>
        <stp>BDP|4967404011392909756</stp>
        <tr r="Z545" s="1"/>
      </tp>
      <tp t="s">
        <v>#N/A N/A</v>
        <stp/>
        <stp>BDP|8796619202633367937</stp>
        <tr r="Z139" s="1"/>
      </tp>
      <tp t="s">
        <v>#N/A N/A</v>
        <stp/>
        <stp>BDP|1787996556860981945</stp>
        <tr r="Z617" s="1"/>
      </tp>
      <tp t="s">
        <v>#N/A N/A</v>
        <stp/>
        <stp>BDP|2894400548557733124</stp>
        <tr r="Z1177" s="1"/>
      </tp>
      <tp t="s">
        <v>#N/A N/A</v>
        <stp/>
        <stp>BDP|1842663610946310483</stp>
        <tr r="Z592" s="1"/>
      </tp>
      <tp t="s">
        <v>#N/A N/A</v>
        <stp/>
        <stp>BDP|6707401170551621049</stp>
        <tr r="Z778" s="1"/>
      </tp>
      <tp t="s">
        <v>#N/A N/A</v>
        <stp/>
        <stp>BDP|3077278422450978793</stp>
        <tr r="Y93" s="1"/>
      </tp>
      <tp t="s">
        <v>#N/A N/A</v>
        <stp/>
        <stp>BDP|6051034430112090368</stp>
        <tr r="Z310" s="1"/>
      </tp>
      <tp t="s">
        <v>#N/A N/A</v>
        <stp/>
        <stp>BDP|4266223666467021332</stp>
        <tr r="AA520" s="1"/>
      </tp>
      <tp t="s">
        <v>#N/A N/A</v>
        <stp/>
        <stp>BDP|5257932649899445598</stp>
        <tr r="Y1150" s="1"/>
      </tp>
      <tp t="s">
        <v>#N/A N/A</v>
        <stp/>
        <stp>BDP|1057907394750113506</stp>
        <tr r="Z84" s="1"/>
      </tp>
      <tp t="s">
        <v>#N/A N/A</v>
        <stp/>
        <stp>BDP|9713750447487004900</stp>
        <tr r="Y874" s="1"/>
      </tp>
      <tp t="s">
        <v>#N/A N/A</v>
        <stp/>
        <stp>BDP|5757712486139657737</stp>
        <tr r="Y690" s="1"/>
      </tp>
      <tp t="s">
        <v>#N/A N/A</v>
        <stp/>
        <stp>BDP|2542340050307096749</stp>
        <tr r="Y493" s="1"/>
      </tp>
      <tp t="s">
        <v>#N/A N/A</v>
        <stp/>
        <stp>BDP|5055978882591673168</stp>
        <tr r="AA300" s="1"/>
      </tp>
      <tp t="s">
        <v>#N/A N/A</v>
        <stp/>
        <stp>BDP|6652742888835422945</stp>
        <tr r="Z1249" s="1"/>
      </tp>
      <tp t="s">
        <v>#N/A N/A</v>
        <stp/>
        <stp>BDP|9507855723546180082</stp>
        <tr r="AA47" s="1"/>
      </tp>
      <tp t="s">
        <v>#N/A N/A</v>
        <stp/>
        <stp>BDP|3590180772991025158</stp>
        <tr r="AA639" s="1"/>
      </tp>
      <tp t="s">
        <v>#N/A N/A</v>
        <stp/>
        <stp>BDP|1430431541037583394</stp>
        <tr r="AA759" s="1"/>
      </tp>
      <tp t="s">
        <v>#N/A N/A</v>
        <stp/>
        <stp>BDP|4657053324495546687</stp>
        <tr r="AA150" s="1"/>
      </tp>
      <tp t="s">
        <v>#N/A N/A</v>
        <stp/>
        <stp>BDP|8639026698463363757</stp>
        <tr r="AA657" s="1"/>
      </tp>
      <tp t="s">
        <v>#N/A N/A</v>
        <stp/>
        <stp>BDP|5287118998130860892</stp>
        <tr r="Y243" s="1"/>
      </tp>
      <tp t="s">
        <v>#N/A N/A</v>
        <stp/>
        <stp>BDP|2495204859167391740</stp>
        <tr r="AA484" s="1"/>
      </tp>
      <tp t="s">
        <v>#N/A N/A</v>
        <stp/>
        <stp>BDP|6795786504940278435</stp>
        <tr r="Y1326" s="1"/>
      </tp>
      <tp t="s">
        <v>#N/A N/A</v>
        <stp/>
        <stp>BDP|2195685460445371216</stp>
        <tr r="Z226" s="1"/>
      </tp>
      <tp t="s">
        <v>#N/A N/A</v>
        <stp/>
        <stp>BDP|4591446209101117426</stp>
        <tr r="Y845" s="1"/>
      </tp>
      <tp t="s">
        <v>#N/A N/A</v>
        <stp/>
        <stp>BDP|5201206632567398683</stp>
        <tr r="Y1180" s="1"/>
      </tp>
      <tp t="s">
        <v>#N/A N/A</v>
        <stp/>
        <stp>BDP|5344601268858532856</stp>
        <tr r="AA1029" s="1"/>
      </tp>
      <tp t="s">
        <v>#N/A N/A</v>
        <stp/>
        <stp>BDP|9781838598448779508</stp>
        <tr r="Y487" s="1"/>
      </tp>
      <tp t="s">
        <v>#N/A N/A</v>
        <stp/>
        <stp>BDP|4776708388598270667</stp>
        <tr r="Z323" s="1"/>
      </tp>
      <tp t="s">
        <v>#N/A N/A</v>
        <stp/>
        <stp>BDP|6696391515112135307</stp>
        <tr r="Y213" s="1"/>
      </tp>
      <tp t="s">
        <v>#N/A N/A</v>
        <stp/>
        <stp>BDP|8312879814327263393</stp>
        <tr r="Z517" s="1"/>
      </tp>
      <tp t="s">
        <v>#N/A N/A</v>
        <stp/>
        <stp>BDP|2471356268135774754</stp>
        <tr r="Y384" s="1"/>
      </tp>
      <tp t="s">
        <v>#N/A N/A</v>
        <stp/>
        <stp>BDP|3446286940222229251</stp>
        <tr r="AA1100" s="1"/>
      </tp>
      <tp t="s">
        <v>#N/A N/A</v>
        <stp/>
        <stp>BDP|6259706324696930045</stp>
        <tr r="Y639" s="1"/>
      </tp>
      <tp t="s">
        <v>#N/A N/A</v>
        <stp/>
        <stp>BDP|9177636994193464093</stp>
        <tr r="Z285" s="1"/>
      </tp>
      <tp t="s">
        <v>#N/A N/A</v>
        <stp/>
        <stp>BDP|3023499744442788413</stp>
        <tr r="AA1252" s="1"/>
      </tp>
      <tp t="s">
        <v>#N/A N/A</v>
        <stp/>
        <stp>BDP|9001618121319136191</stp>
        <tr r="AA887" s="1"/>
      </tp>
      <tp t="s">
        <v>#N/A N/A</v>
        <stp/>
        <stp>BDP|3797666217417916673</stp>
        <tr r="Z1019" s="1"/>
      </tp>
      <tp t="s">
        <v>#N/A N/A</v>
        <stp/>
        <stp>BDP|2973456030641149158</stp>
        <tr r="Y548" s="1"/>
      </tp>
      <tp t="s">
        <v>#N/A N/A</v>
        <stp/>
        <stp>BDP|9726795997676525449</stp>
        <tr r="Z430" s="1"/>
      </tp>
      <tp t="s">
        <v>#N/A N/A</v>
        <stp/>
        <stp>BDP|1051646506902228087</stp>
        <tr r="Z768" s="1"/>
      </tp>
      <tp t="s">
        <v>#N/A N/A</v>
        <stp/>
        <stp>BDP|6306760024354185285</stp>
        <tr r="Z518" s="1"/>
      </tp>
      <tp t="s">
        <v>#N/A N/A</v>
        <stp/>
        <stp>BDP|6717738019800607530</stp>
        <tr r="Z764" s="1"/>
      </tp>
      <tp t="s">
        <v>#N/A N/A</v>
        <stp/>
        <stp>BDP|4651356086672563887</stp>
        <tr r="Y528" s="1"/>
      </tp>
      <tp t="s">
        <v>#N/A N/A</v>
        <stp/>
        <stp>BDP|6566322315789982821</stp>
        <tr r="AA434" s="1"/>
      </tp>
      <tp t="s">
        <v>#N/A N/A</v>
        <stp/>
        <stp>BDP|6608774417451756488</stp>
        <tr r="Z339" s="1"/>
      </tp>
      <tp t="s">
        <v>#N/A N/A</v>
        <stp/>
        <stp>BDP|9883759492913125175</stp>
        <tr r="Y48" s="1"/>
      </tp>
      <tp t="s">
        <v>#N/A N/A</v>
        <stp/>
        <stp>BDP|9307865763196956463</stp>
        <tr r="Z424" s="1"/>
      </tp>
      <tp t="s">
        <v>#N/A N/A</v>
        <stp/>
        <stp>BDP|8892766421088545039</stp>
        <tr r="Y924" s="1"/>
      </tp>
      <tp t="s">
        <v>#N/A N/A</v>
        <stp/>
        <stp>BDP|6636950736311864843</stp>
        <tr r="AA64" s="1"/>
      </tp>
      <tp t="s">
        <v>#N/A N/A</v>
        <stp/>
        <stp>BDP|8297717007028230285</stp>
        <tr r="Z1011" s="1"/>
      </tp>
      <tp t="s">
        <v>#N/A N/A</v>
        <stp/>
        <stp>BDP|1390223114031229690</stp>
        <tr r="Z280" s="1"/>
      </tp>
      <tp t="s">
        <v>#N/A N/A</v>
        <stp/>
        <stp>BDP|8878508158768856562</stp>
        <tr r="Z1318" s="1"/>
      </tp>
      <tp t="s">
        <v>#N/A N/A</v>
        <stp/>
        <stp>BDP|4542518354788930979</stp>
        <tr r="Y154" s="1"/>
      </tp>
      <tp t="s">
        <v>#N/A N/A</v>
        <stp/>
        <stp>BDP|6985042321281502078</stp>
        <tr r="Z440" s="1"/>
      </tp>
      <tp t="s">
        <v>#N/A N/A</v>
        <stp/>
        <stp>BDP|5493814940309936534</stp>
        <tr r="AA1074" s="1"/>
      </tp>
      <tp t="s">
        <v>#N/A N/A</v>
        <stp/>
        <stp>BDP|8090486788756779784</stp>
        <tr r="Z895" s="1"/>
      </tp>
      <tp t="s">
        <v>#N/A N/A</v>
        <stp/>
        <stp>BDP|8050642151977833927</stp>
        <tr r="Z911" s="1"/>
      </tp>
      <tp t="s">
        <v>#N/A N/A</v>
        <stp/>
        <stp>BDP|2442621208226784763</stp>
        <tr r="AA667" s="1"/>
      </tp>
      <tp t="s">
        <v>#N/A N/A</v>
        <stp/>
        <stp>BDP|1496730038660560058</stp>
        <tr r="Y104" s="1"/>
      </tp>
      <tp t="s">
        <v>#N/A N/A</v>
        <stp/>
        <stp>BDP|8905486429848114368</stp>
        <tr r="Z1301" s="1"/>
      </tp>
      <tp t="s">
        <v>#N/A N/A</v>
        <stp/>
        <stp>BDP|1482398767965762429</stp>
        <tr r="Y746" s="1"/>
      </tp>
      <tp t="s">
        <v>#N/A N/A</v>
        <stp/>
        <stp>BDP|1634198315710111475</stp>
        <tr r="Z788" s="1"/>
      </tp>
      <tp t="s">
        <v>#N/A N/A</v>
        <stp/>
        <stp>BDP|6413778159084673502</stp>
        <tr r="Y733" s="1"/>
      </tp>
      <tp t="s">
        <v>#N/A N/A</v>
        <stp/>
        <stp>BDP|3597388486215042879</stp>
        <tr r="AA816" s="1"/>
      </tp>
      <tp t="s">
        <v>#N/A N/A</v>
        <stp/>
        <stp>BDP|3706177532527744395</stp>
        <tr r="AA608" s="1"/>
      </tp>
      <tp t="s">
        <v>#N/A N/A</v>
        <stp/>
        <stp>BDP|5022073469211055725</stp>
        <tr r="AA419" s="1"/>
      </tp>
      <tp t="s">
        <v>#N/A N/A</v>
        <stp/>
        <stp>BDP|8854967920017565171</stp>
        <tr r="AA1062" s="1"/>
      </tp>
      <tp t="s">
        <v>#N/A N/A</v>
        <stp/>
        <stp>BDP|1161125101700614582</stp>
        <tr r="Z222" s="1"/>
      </tp>
      <tp t="s">
        <v>#N/A N/A</v>
        <stp/>
        <stp>BDP|2921453319594878614</stp>
        <tr r="AA385" s="1"/>
      </tp>
      <tp t="s">
        <v>#N/A N/A</v>
        <stp/>
        <stp>BDP|5546365847243086493</stp>
        <tr r="Z997" s="1"/>
      </tp>
      <tp t="s">
        <v>#N/A N/A</v>
        <stp/>
        <stp>BDP|3595473868280610413</stp>
        <tr r="Z662" s="1"/>
      </tp>
      <tp t="s">
        <v>#N/A N/A</v>
        <stp/>
        <stp>BDP|4985693335572899609</stp>
        <tr r="Y1214" s="1"/>
      </tp>
      <tp t="s">
        <v>#N/A N/A</v>
        <stp/>
        <stp>BDP|9509166833149911745</stp>
        <tr r="Z628" s="1"/>
      </tp>
      <tp t="s">
        <v>#N/A N/A</v>
        <stp/>
        <stp>BDP|6354790350695159460</stp>
        <tr r="Z880" s="1"/>
      </tp>
      <tp t="s">
        <v>#N/A N/A</v>
        <stp/>
        <stp>BDP|8567899661852423143</stp>
        <tr r="Y891" s="1"/>
      </tp>
      <tp t="s">
        <v>#N/A N/A</v>
        <stp/>
        <stp>BDP|5017318341530551770</stp>
        <tr r="Z777" s="1"/>
      </tp>
      <tp t="s">
        <v>#N/A N/A</v>
        <stp/>
        <stp>BDP|8433242843778680375</stp>
        <tr r="AA25" s="1"/>
      </tp>
      <tp t="s">
        <v>#N/A N/A</v>
        <stp/>
        <stp>BDP|6360148120394661437</stp>
        <tr r="Y343" s="1"/>
      </tp>
      <tp t="s">
        <v>#N/A N/A</v>
        <stp/>
        <stp>BDP|8065750916312648971</stp>
        <tr r="Y242" s="1"/>
      </tp>
      <tp t="s">
        <v>#N/A N/A</v>
        <stp/>
        <stp>BDP|2812285938295323397</stp>
        <tr r="AA776" s="1"/>
      </tp>
      <tp t="s">
        <v>#N/A N/A</v>
        <stp/>
        <stp>BDP|7111421556584575721</stp>
        <tr r="Z567" s="1"/>
      </tp>
      <tp t="s">
        <v>#N/A N/A</v>
        <stp/>
        <stp>BDP|1846581916644789439</stp>
        <tr r="AA589" s="1"/>
      </tp>
      <tp t="s">
        <v>#N/A N/A</v>
        <stp/>
        <stp>BDP|2712327048379969961</stp>
        <tr r="AA720" s="1"/>
      </tp>
      <tp t="s">
        <v>#N/A N/A</v>
        <stp/>
        <stp>BDP|1111455883239045150</stp>
        <tr r="Y1139" s="1"/>
      </tp>
      <tp t="s">
        <v>#N/A N/A</v>
        <stp/>
        <stp>BDP|9163719111978250214</stp>
        <tr r="Y994" s="1"/>
      </tp>
      <tp t="s">
        <v>#N/A N/A</v>
        <stp/>
        <stp>BDP|4616724515542581573</stp>
        <tr r="Z1070" s="1"/>
      </tp>
      <tp t="s">
        <v>#N/A N/A</v>
        <stp/>
        <stp>BDP|3084723627571112274</stp>
        <tr r="Z1130" s="1"/>
      </tp>
      <tp t="s">
        <v>#N/A N/A</v>
        <stp/>
        <stp>BDP|6281251424651146214</stp>
        <tr r="AA1207" s="1"/>
      </tp>
      <tp t="s">
        <v>#N/A N/A</v>
        <stp/>
        <stp>BDP|4283078307756914787</stp>
        <tr r="Y604" s="1"/>
      </tp>
      <tp t="s">
        <v>#N/A N/A</v>
        <stp/>
        <stp>BDP|4214376026417228721</stp>
        <tr r="Y296" s="1"/>
      </tp>
      <tp t="s">
        <v>#N/A N/A</v>
        <stp/>
        <stp>BDP|8982948329417004176</stp>
        <tr r="AA16" s="1"/>
      </tp>
      <tp t="s">
        <v>#N/A N/A</v>
        <stp/>
        <stp>BDP|5565076951067212225</stp>
        <tr r="AA255" s="1"/>
      </tp>
      <tp t="s">
        <v>#N/A N/A</v>
        <stp/>
        <stp>BDP|3969036371059935814</stp>
        <tr r="Y802" s="1"/>
      </tp>
      <tp t="s">
        <v>#N/A N/A</v>
        <stp/>
        <stp>BDP|8155145333727437812</stp>
        <tr r="AA317" s="1"/>
      </tp>
      <tp t="s">
        <v>#N/A N/A</v>
        <stp/>
        <stp>BDP|4825013609988298928</stp>
        <tr r="Z731" s="1"/>
      </tp>
      <tp t="s">
        <v>#N/A N/A</v>
        <stp/>
        <stp>BDP|3986908909186519959</stp>
        <tr r="Z873" s="1"/>
      </tp>
      <tp t="s">
        <v>#N/A N/A</v>
        <stp/>
        <stp>BDP|8864478220979987265</stp>
        <tr r="Z313" s="1"/>
      </tp>
      <tp t="s">
        <v>#N/A N/A</v>
        <stp/>
        <stp>BDP|7982200877492723591</stp>
        <tr r="Z95" s="1"/>
      </tp>
      <tp t="s">
        <v>#N/A N/A</v>
        <stp/>
        <stp>BDP|2257135657354754718</stp>
        <tr r="AA898" s="1"/>
      </tp>
      <tp t="s">
        <v>#N/A N/A</v>
        <stp/>
        <stp>BDP|5503862855944124978</stp>
        <tr r="Y880" s="1"/>
      </tp>
      <tp t="s">
        <v>#N/A N/A</v>
        <stp/>
        <stp>BDP|5733365150667801192</stp>
        <tr r="AA1244" s="1"/>
      </tp>
      <tp t="s">
        <v>#N/A N/A</v>
        <stp/>
        <stp>BDP|3318524524627159643</stp>
        <tr r="Y1239" s="1"/>
      </tp>
      <tp t="s">
        <v>#N/A N/A</v>
        <stp/>
        <stp>BDP|7022117491658717275</stp>
        <tr r="AA365" s="1"/>
      </tp>
      <tp t="s">
        <v>#N/A N/A</v>
        <stp/>
        <stp>BDP|6471451080619419648</stp>
        <tr r="Z534" s="1"/>
      </tp>
      <tp t="s">
        <v>#N/A N/A</v>
        <stp/>
        <stp>BDP|4062572766127894581</stp>
        <tr r="Y218" s="1"/>
      </tp>
      <tp t="s">
        <v>#N/A N/A</v>
        <stp/>
        <stp>BDP|9090030401445075934</stp>
        <tr r="Y380" s="1"/>
      </tp>
      <tp t="s">
        <v>#N/A N/A</v>
        <stp/>
        <stp>BDP|2621242599349891529</stp>
        <tr r="AA40" s="1"/>
      </tp>
      <tp t="s">
        <v>#N/A N/A</v>
        <stp/>
        <stp>BDP|9848115496352822663</stp>
        <tr r="Z388" s="1"/>
      </tp>
      <tp t="s">
        <v>#N/A N/A</v>
        <stp/>
        <stp>BDP|9106383004558958756</stp>
        <tr r="Y693" s="1"/>
      </tp>
      <tp t="s">
        <v>#N/A N/A</v>
        <stp/>
        <stp>BDP|1048203553050644344</stp>
        <tr r="Z1220" s="1"/>
      </tp>
      <tp t="s">
        <v>#N/A N/A</v>
        <stp/>
        <stp>BDP|9987035841098476091</stp>
        <tr r="Y914" s="1"/>
      </tp>
      <tp t="s">
        <v>#N/A N/A</v>
        <stp/>
        <stp>BDP|4247676061897054624</stp>
        <tr r="AA612" s="1"/>
      </tp>
      <tp t="s">
        <v>#N/A N/A</v>
        <stp/>
        <stp>BDP|5598021364427409116</stp>
        <tr r="Z244" s="1"/>
      </tp>
      <tp t="s">
        <v>#N/A N/A</v>
        <stp/>
        <stp>BDP|2379543464162699636</stp>
        <tr r="Z321" s="1"/>
      </tp>
      <tp t="s">
        <v>#N/A N/A</v>
        <stp/>
        <stp>BDP|6088639015062359639</stp>
        <tr r="Z681" s="1"/>
      </tp>
      <tp t="s">
        <v>#N/A N/A</v>
        <stp/>
        <stp>BDP|8432908504053642703</stp>
        <tr r="Z382" s="1"/>
      </tp>
      <tp t="s">
        <v>#N/A N/A</v>
        <stp/>
        <stp>BDP|5543264724654711469</stp>
        <tr r="AA206" s="1"/>
      </tp>
      <tp t="s">
        <v>#N/A N/A</v>
        <stp/>
        <stp>BDP|1891969611329039590</stp>
        <tr r="Y1280" s="1"/>
      </tp>
      <tp t="s">
        <v>#N/A N/A</v>
        <stp/>
        <stp>BDP|1396145150777707769</stp>
        <tr r="Z705" s="1"/>
      </tp>
      <tp t="s">
        <v>#N/A N/A</v>
        <stp/>
        <stp>BDP|6958794002243181759</stp>
        <tr r="Y383" s="1"/>
      </tp>
      <tp t="s">
        <v>#N/A N/A</v>
        <stp/>
        <stp>BDP|2627211633004357212</stp>
        <tr r="AA360" s="1"/>
      </tp>
      <tp t="s">
        <v>#N/A N/A</v>
        <stp/>
        <stp>BDP|7593201555843473623</stp>
        <tr r="AA797" s="1"/>
      </tp>
      <tp t="s">
        <v>#N/A N/A</v>
        <stp/>
        <stp>BDP|1458236841484980699</stp>
        <tr r="AA492" s="1"/>
      </tp>
      <tp t="s">
        <v>#N/A N/A</v>
        <stp/>
        <stp>BDP|9866737804228075392</stp>
        <tr r="Z1160" s="1"/>
      </tp>
      <tp t="s">
        <v>#N/A N/A</v>
        <stp/>
        <stp>BDP|1190117477761222322</stp>
        <tr r="AA553" s="1"/>
      </tp>
      <tp t="s">
        <v>#N/A N/A</v>
        <stp/>
        <stp>BDP|7466306064691591626</stp>
        <tr r="AA858" s="1"/>
      </tp>
      <tp t="s">
        <v>#N/A N/A</v>
        <stp/>
        <stp>BDP|6086255723696043516</stp>
        <tr r="AA162" s="1"/>
      </tp>
      <tp t="s">
        <v>#N/A N/A</v>
        <stp/>
        <stp>BDP|9553979659030817047</stp>
        <tr r="Z1101" s="1"/>
      </tp>
      <tp t="s">
        <v>#N/A N/A</v>
        <stp/>
        <stp>BDP|2120671360273789463</stp>
        <tr r="Z629" s="1"/>
      </tp>
      <tp t="s">
        <v>#N/A N/A</v>
        <stp/>
        <stp>BDP|4021014805641564068</stp>
        <tr r="AA543" s="1"/>
      </tp>
      <tp t="s">
        <v>#N/A N/A</v>
        <stp/>
        <stp>BDP|4200050431564683678</stp>
        <tr r="Z531" s="1"/>
      </tp>
      <tp t="s">
        <v>#N/A N/A</v>
        <stp/>
        <stp>BDP|3306042374611343077</stp>
        <tr r="Z959" s="1"/>
      </tp>
      <tp t="s">
        <v>#N/A N/A</v>
        <stp/>
        <stp>BDP|5320265646266029041</stp>
        <tr r="AA978" s="1"/>
      </tp>
      <tp t="s">
        <v>#N/A N/A</v>
        <stp/>
        <stp>BDP|2642536011426675568</stp>
        <tr r="Y281" s="1"/>
      </tp>
      <tp t="s">
        <v>#N/A N/A</v>
        <stp/>
        <stp>BDP|5046778043730305333</stp>
        <tr r="AA831" s="1"/>
      </tp>
      <tp t="s">
        <v>#N/A N/A</v>
        <stp/>
        <stp>BDP|3521152767198767948</stp>
        <tr r="AA641" s="1"/>
      </tp>
      <tp t="s">
        <v>#N/A N/A</v>
        <stp/>
        <stp>BDP|3335509937513811380</stp>
        <tr r="Z847" s="1"/>
      </tp>
      <tp t="s">
        <v>#N/A N/A</v>
        <stp/>
        <stp>BDP|6159115359265489299</stp>
        <tr r="Z294" s="1"/>
      </tp>
      <tp t="s">
        <v>#N/A N/A</v>
        <stp/>
        <stp>BDP|6239500450434431721</stp>
        <tr r="Z1126" s="1"/>
      </tp>
      <tp t="s">
        <v>#N/A N/A</v>
        <stp/>
        <stp>BDP|1475124056820484007</stp>
        <tr r="Y1278" s="1"/>
      </tp>
      <tp t="s">
        <v>#N/A N/A</v>
        <stp/>
        <stp>BDP|8157955524014009247</stp>
        <tr r="Z435" s="1"/>
      </tp>
      <tp t="s">
        <v>#N/A N/A</v>
        <stp/>
        <stp>BDP|7081209035703434053</stp>
        <tr r="Z391" s="1"/>
      </tp>
      <tp t="s">
        <v>#N/A N/A</v>
        <stp/>
        <stp>BDP|8406427891785543562</stp>
        <tr r="AA269" s="1"/>
      </tp>
      <tp t="s">
        <v>#N/A N/A</v>
        <stp/>
        <stp>BDP|6641595271275918434</stp>
        <tr r="Z129" s="1"/>
      </tp>
      <tp t="s">
        <v>#N/A N/A</v>
        <stp/>
        <stp>BDP|7182412155713001004</stp>
        <tr r="Z771" s="1"/>
      </tp>
      <tp t="s">
        <v>#N/A N/A</v>
        <stp/>
        <stp>BDP|5519186340622816709</stp>
        <tr r="Y694" s="1"/>
      </tp>
      <tp t="s">
        <v>#N/A N/A</v>
        <stp/>
        <stp>BDP|6060232372935199359</stp>
        <tr r="Y385" s="1"/>
      </tp>
      <tp t="s">
        <v>#N/A N/A</v>
        <stp/>
        <stp>BDP|9177278085251358757</stp>
        <tr r="Y682" s="1"/>
      </tp>
      <tp t="s">
        <v>#N/A N/A</v>
        <stp/>
        <stp>BDP|7915620169823716106</stp>
        <tr r="Y718" s="1"/>
      </tp>
      <tp t="s">
        <v>#N/A N/A</v>
        <stp/>
        <stp>BDP|9898487745619522554</stp>
        <tr r="Y599" s="1"/>
      </tp>
      <tp t="s">
        <v>#N/A N/A</v>
        <stp/>
        <stp>BDP|5675620775691571017</stp>
        <tr r="AA316" s="1"/>
      </tp>
      <tp t="s">
        <v>#N/A N/A</v>
        <stp/>
        <stp>BDP|3735468434756096705</stp>
        <tr r="Z1317" s="1"/>
      </tp>
      <tp t="s">
        <v>#N/A N/A</v>
        <stp/>
        <stp>BDP|3746105071819114928</stp>
        <tr r="Y912" s="1"/>
      </tp>
      <tp t="s">
        <v>#N/A N/A</v>
        <stp/>
        <stp>BDP|4130690038560006455</stp>
        <tr r="Y1200" s="1"/>
      </tp>
      <tp t="s">
        <v>#N/A N/A</v>
        <stp/>
        <stp>BDP|7771477112140204753</stp>
        <tr r="Z791" s="1"/>
      </tp>
      <tp t="s">
        <v>#N/A N/A</v>
        <stp/>
        <stp>BDP|4392601404806479163</stp>
        <tr r="Z394" s="1"/>
      </tp>
      <tp t="s">
        <v>#N/A N/A</v>
        <stp/>
        <stp>BDP|8758792284664736571</stp>
        <tr r="Z614" s="1"/>
      </tp>
      <tp t="s">
        <v>#N/A N/A</v>
        <stp/>
        <stp>BDP|2844336746017467436</stp>
        <tr r="Y1143" s="1"/>
      </tp>
      <tp t="s">
        <v>#N/A N/A</v>
        <stp/>
        <stp>BDP|8010980636912689626</stp>
        <tr r="Y734" s="1"/>
      </tp>
      <tp t="s">
        <v>#N/A N/A</v>
        <stp/>
        <stp>BDP|7011997970478032728</stp>
        <tr r="Z344" s="1"/>
      </tp>
      <tp t="s">
        <v>#N/A N/A</v>
        <stp/>
        <stp>BDP|1212401759886296028</stp>
        <tr r="Z271" s="1"/>
      </tp>
      <tp t="s">
        <v>#N/A N/A</v>
        <stp/>
        <stp>BDP|7865032485891736825</stp>
        <tr r="Z1195" s="1"/>
      </tp>
      <tp t="s">
        <v>#N/A N/A</v>
        <stp/>
        <stp>BDP|7988531011020858581</stp>
        <tr r="AA550" s="1"/>
      </tp>
      <tp t="s">
        <v>#N/A N/A</v>
        <stp/>
        <stp>BDP|5458491644740064329</stp>
        <tr r="AA453" s="1"/>
      </tp>
      <tp t="s">
        <v>#N/A N/A</v>
        <stp/>
        <stp>BDP|1285845817327976936</stp>
        <tr r="Z1274" s="1"/>
      </tp>
      <tp t="s">
        <v>#N/A N/A</v>
        <stp/>
        <stp>BDP|2523712101154786799</stp>
        <tr r="Z409" s="1"/>
      </tp>
      <tp t="s">
        <v>#N/A N/A</v>
        <stp/>
        <stp>BDP|2335687944011037743</stp>
        <tr r="Z1116" s="1"/>
      </tp>
      <tp t="s">
        <v>#N/A N/A</v>
        <stp/>
        <stp>BDP|8691331185985363083</stp>
        <tr r="AA721" s="1"/>
      </tp>
      <tp t="s">
        <v>#N/A N/A</v>
        <stp/>
        <stp>BDP|7024296331711351101</stp>
        <tr r="Z138" s="1"/>
      </tp>
      <tp t="s">
        <v>#N/A N/A</v>
        <stp/>
        <stp>BDP|3347438806431899069</stp>
        <tr r="Z706" s="1"/>
      </tp>
      <tp t="s">
        <v>#N/A N/A</v>
        <stp/>
        <stp>BDP|1572464373912891609</stp>
        <tr r="Z748" s="1"/>
      </tp>
      <tp t="s">
        <v>#N/A N/A</v>
        <stp/>
        <stp>BDP|3571425107464088583</stp>
        <tr r="Y1237" s="1"/>
      </tp>
      <tp t="s">
        <v>#N/A N/A</v>
        <stp/>
        <stp>BDP|3701727541834413282</stp>
        <tr r="AA11" s="1"/>
      </tp>
      <tp t="s">
        <v>#N/A N/A</v>
        <stp/>
        <stp>BDP|3960661447863743475</stp>
        <tr r="Y1131" s="1"/>
      </tp>
      <tp t="s">
        <v>#N/A N/A</v>
        <stp/>
        <stp>BDP|2579559655570911444</stp>
        <tr r="Z608" s="1"/>
      </tp>
      <tp t="s">
        <v>#N/A N/A</v>
        <stp/>
        <stp>BDP|2058594613921615149</stp>
        <tr r="Z708" s="1"/>
      </tp>
      <tp t="s">
        <v>#N/A N/A</v>
        <stp/>
        <stp>BDP|9322837220940187597</stp>
        <tr r="Z1118" s="1"/>
      </tp>
      <tp t="s">
        <v>#N/A N/A</v>
        <stp/>
        <stp>BDP|7352655830485802160</stp>
        <tr r="AA367" s="1"/>
      </tp>
      <tp t="s">
        <v>#N/A N/A</v>
        <stp/>
        <stp>BDP|5843105628988145898</stp>
        <tr r="AA199" s="1"/>
      </tp>
      <tp t="s">
        <v>#N/A N/A</v>
        <stp/>
        <stp>BDP|6189701618270684675</stp>
        <tr r="Z753" s="1"/>
      </tp>
      <tp t="s">
        <v>#N/A N/A</v>
        <stp/>
        <stp>BDP|9656834630533883744</stp>
        <tr r="AA8" s="1"/>
      </tp>
      <tp t="s">
        <v>#N/A N/A</v>
        <stp/>
        <stp>BDP|6978557023507697001</stp>
        <tr r="Z1026" s="1"/>
      </tp>
      <tp t="s">
        <v>#N/A N/A</v>
        <stp/>
        <stp>BDP|1803769991301357853</stp>
        <tr r="Z148" s="1"/>
      </tp>
      <tp t="s">
        <v>#N/A N/A</v>
        <stp/>
        <stp>BDP|4707117279740325453</stp>
        <tr r="Y720" s="1"/>
      </tp>
      <tp t="s">
        <v>#N/A N/A</v>
        <stp/>
        <stp>BDP|8402516854329012786</stp>
        <tr r="AA456" s="1"/>
      </tp>
      <tp t="s">
        <v>#N/A N/A</v>
        <stp/>
        <stp>BDP|5850379821977592529</stp>
        <tr r="Y481" s="1"/>
      </tp>
      <tp t="s">
        <v>#N/A N/A</v>
        <stp/>
        <stp>BDP|8334167841403573882</stp>
        <tr r="Z408" s="1"/>
      </tp>
      <tp t="s">
        <v>#N/A N/A</v>
        <stp/>
        <stp>BDP|9146732695049704892</stp>
        <tr r="Z868" s="1"/>
      </tp>
      <tp t="s">
        <v>#N/A N/A</v>
        <stp/>
        <stp>BDP|2021137432724141291</stp>
        <tr r="AA424" s="1"/>
      </tp>
      <tp t="s">
        <v>#N/A N/A</v>
        <stp/>
        <stp>BDP|9804806184047165839</stp>
        <tr r="Z780" s="1"/>
      </tp>
      <tp t="s">
        <v>#N/A N/A</v>
        <stp/>
        <stp>BDP|8057886448923847167</stp>
        <tr r="AA203" s="1"/>
      </tp>
      <tp t="s">
        <v>#N/A N/A</v>
        <stp/>
        <stp>BDP|6202299402595190768</stp>
        <tr r="Y6" s="1"/>
      </tp>
      <tp t="s">
        <v>#N/A N/A</v>
        <stp/>
        <stp>BDP|5216564516332807546</stp>
        <tr r="AA856" s="1"/>
      </tp>
      <tp t="s">
        <v>#N/A N/A</v>
        <stp/>
        <stp>BDP|6177183547730129512</stp>
        <tr r="Z288" s="1"/>
      </tp>
      <tp t="s">
        <v>#N/A N/A</v>
        <stp/>
        <stp>BDP|6776656359716562507</stp>
        <tr r="AA126" s="1"/>
      </tp>
      <tp t="s">
        <v>#N/A N/A</v>
        <stp/>
        <stp>BDP|7654682218761835718</stp>
        <tr r="Y1313" s="1"/>
      </tp>
      <tp t="s">
        <v>#N/A N/A</v>
        <stp/>
        <stp>BDP|7447442559402398259</stp>
        <tr r="Y926" s="1"/>
      </tp>
      <tp t="s">
        <v>#N/A N/A</v>
        <stp/>
        <stp>BDP|4453726185285849843</stp>
        <tr r="AA94" s="1"/>
      </tp>
      <tp t="s">
        <v>#N/A N/A</v>
        <stp/>
        <stp>BDP|7922291973665460185</stp>
        <tr r="Z852" s="1"/>
      </tp>
      <tp t="s">
        <v>#N/A N/A</v>
        <stp/>
        <stp>BDP|5066492340965429629</stp>
        <tr r="Y946" s="1"/>
      </tp>
      <tp t="s">
        <v>#N/A N/A</v>
        <stp/>
        <stp>BDP|7622698486677345863</stp>
        <tr r="Z640" s="1"/>
      </tp>
      <tp t="s">
        <v>#N/A N/A</v>
        <stp/>
        <stp>BDP|3902028515184702055</stp>
        <tr r="AA364" s="1"/>
      </tp>
      <tp t="s">
        <v>#N/A N/A</v>
        <stp/>
        <stp>BDP|6188670669494264414</stp>
        <tr r="Z765" s="1"/>
      </tp>
      <tp t="s">
        <v>#N/A N/A</v>
        <stp/>
        <stp>BDP|4512413228931538556</stp>
        <tr r="Z1156" s="1"/>
      </tp>
      <tp t="s">
        <v>#N/A N/A</v>
        <stp/>
        <stp>BDP|5075789343563599323</stp>
        <tr r="Z1094" s="1"/>
      </tp>
      <tp t="s">
        <v>#N/A N/A</v>
        <stp/>
        <stp>BDP|2979535440504543131</stp>
        <tr r="Y1238" s="1"/>
      </tp>
      <tp t="s">
        <v>#N/A N/A</v>
        <stp/>
        <stp>BDP|4857437928733761786</stp>
        <tr r="AA658" s="1"/>
      </tp>
      <tp t="s">
        <v>#N/A N/A</v>
        <stp/>
        <stp>BDP|1932439463737691230</stp>
        <tr r="Z297" s="1"/>
      </tp>
      <tp t="s">
        <v>#N/A N/A</v>
        <stp/>
        <stp>BDP|3647134972464239790</stp>
        <tr r="Y334" s="1"/>
      </tp>
      <tp t="s">
        <v>#N/A N/A</v>
        <stp/>
        <stp>BDP|7685938180972965209</stp>
        <tr r="Z613" s="1"/>
      </tp>
      <tp t="s">
        <v>#N/A N/A</v>
        <stp/>
        <stp>BDP|8203165886440938774</stp>
        <tr r="Y765" s="1"/>
      </tp>
      <tp t="s">
        <v>#N/A N/A</v>
        <stp/>
        <stp>BDP|4439541248771294272</stp>
        <tr r="AA760" s="1"/>
      </tp>
      <tp t="s">
        <v>#N/A N/A</v>
        <stp/>
        <stp>BDP|8621984247426737531</stp>
        <tr r="AA961" s="1"/>
      </tp>
      <tp t="s">
        <v>#N/A N/A</v>
        <stp/>
        <stp>BDP|4014745766641872277</stp>
        <tr r="Z483" s="1"/>
      </tp>
      <tp t="s">
        <v>#N/A N/A</v>
        <stp/>
        <stp>BDP|8485148577969233188</stp>
        <tr r="Z1002" s="1"/>
      </tp>
      <tp t="s">
        <v>#N/A N/A</v>
        <stp/>
        <stp>BDP|2152723870725914172</stp>
        <tr r="Y138" s="1"/>
      </tp>
      <tp t="s">
        <v>#N/A N/A</v>
        <stp/>
        <stp>BDP|7675321299122468944</stp>
        <tr r="AA1183" s="1"/>
      </tp>
      <tp t="s">
        <v>#N/A N/A</v>
        <stp/>
        <stp>BDP|7241500351019728892</stp>
        <tr r="Y850" s="1"/>
      </tp>
      <tp t="s">
        <v>#N/A N/A</v>
        <stp/>
        <stp>BDP|5593255567265060251</stp>
        <tr r="AA747" s="1"/>
      </tp>
      <tp t="s">
        <v>#N/A N/A</v>
        <stp/>
        <stp>BDP|9766203200828170545</stp>
        <tr r="Y635" s="1"/>
      </tp>
      <tp t="s">
        <v>#N/A N/A</v>
        <stp/>
        <stp>BDP|8437040188233922532</stp>
        <tr r="AA1133" s="1"/>
      </tp>
      <tp t="s">
        <v>#N/A N/A</v>
        <stp/>
        <stp>BDP|1655305421822498413</stp>
        <tr r="Z9" s="1"/>
      </tp>
      <tp t="s">
        <v>#N/A N/A</v>
        <stp/>
        <stp>BDP|8788496749157304968</stp>
        <tr r="AA1132" s="1"/>
      </tp>
      <tp t="s">
        <v>#N/A N/A</v>
        <stp/>
        <stp>BDP|1056271872624687600</stp>
        <tr r="Y763" s="1"/>
      </tp>
      <tp t="s">
        <v>#N/A N/A</v>
        <stp/>
        <stp>BDP|6590604705790442671</stp>
        <tr r="Z1068" s="1"/>
      </tp>
      <tp t="s">
        <v>#N/A N/A</v>
        <stp/>
        <stp>BDP|9650520189302676080</stp>
        <tr r="AA567" s="1"/>
      </tp>
      <tp t="s">
        <v>#N/A N/A</v>
        <stp/>
        <stp>BDP|8396313344670340969</stp>
        <tr r="Z715" s="1"/>
      </tp>
      <tp t="s">
        <v>#N/A N/A</v>
        <stp/>
        <stp>BDP|2993548622214504796</stp>
        <tr r="Y831" s="1"/>
      </tp>
      <tp t="s">
        <v>#N/A N/A</v>
        <stp/>
        <stp>BDP|6143325178675037180</stp>
        <tr r="Y784" s="1"/>
      </tp>
      <tp t="s">
        <v>#N/A N/A</v>
        <stp/>
        <stp>BDP|2860123503034233181</stp>
        <tr r="Z1231" s="1"/>
      </tp>
      <tp t="s">
        <v>#N/A N/A</v>
        <stp/>
        <stp>BDP|1031337503544366001</stp>
        <tr r="AA270" s="1"/>
      </tp>
      <tp t="s">
        <v>#N/A N/A</v>
        <stp/>
        <stp>BDP|1328880924709996467</stp>
        <tr r="AA727" s="1"/>
      </tp>
      <tp t="s">
        <v>#N/A N/A</v>
        <stp/>
        <stp>BDP|1934022910970937626</stp>
        <tr r="Z1027" s="1"/>
      </tp>
      <tp t="s">
        <v>#N/A N/A</v>
        <stp/>
        <stp>BDP|6387211279682926723</stp>
        <tr r="Z1304" s="1"/>
      </tp>
      <tp t="s">
        <v>#N/A N/A</v>
        <stp/>
        <stp>BDP|1727227580335655833</stp>
        <tr r="AA4" s="1"/>
      </tp>
      <tp t="s">
        <v>#N/A N/A</v>
        <stp/>
        <stp>BDP|8673064621828783467</stp>
        <tr r="Z18" s="1"/>
      </tp>
      <tp t="s">
        <v>#N/A N/A</v>
        <stp/>
        <stp>BDP|6822544577874215699</stp>
        <tr r="Y872" s="1"/>
      </tp>
      <tp t="s">
        <v>#N/A N/A</v>
        <stp/>
        <stp>BDP|9205490662734960919</stp>
        <tr r="Z656" s="1"/>
      </tp>
      <tp t="s">
        <v>#N/A N/A</v>
        <stp/>
        <stp>BDP|5782449143113645078</stp>
        <tr r="AA790" s="1"/>
      </tp>
      <tp t="s">
        <v>#N/A N/A</v>
        <stp/>
        <stp>BDP|5937390836754478737</stp>
        <tr r="Y1173" s="1"/>
      </tp>
      <tp t="s">
        <v>#N/A N/A</v>
        <stp/>
        <stp>BDP|6273979791615798525</stp>
        <tr r="Y168" s="1"/>
      </tp>
      <tp t="s">
        <v>#N/A N/A</v>
        <stp/>
        <stp>BDP|9367412189327286488</stp>
        <tr r="Y625" s="1"/>
      </tp>
      <tp t="s">
        <v>#N/A N/A</v>
        <stp/>
        <stp>BDP|9173006586705697209</stp>
        <tr r="Y268" s="1"/>
      </tp>
      <tp t="s">
        <v>#N/A N/A</v>
        <stp/>
        <stp>BDP|9811701689142672260</stp>
        <tr r="Z308" s="1"/>
      </tp>
      <tp t="s">
        <v>#N/A N/A</v>
        <stp/>
        <stp>BDP|2607467709946972661</stp>
        <tr r="AA1090" s="1"/>
      </tp>
      <tp t="s">
        <v>#N/A N/A</v>
        <stp/>
        <stp>BDP|6984009968524765209</stp>
        <tr r="Z937" s="1"/>
      </tp>
      <tp t="s">
        <v>#N/A N/A</v>
        <stp/>
        <stp>BDP|6004489761081822371</stp>
        <tr r="Y663" s="1"/>
      </tp>
      <tp t="s">
        <v>#N/A N/A</v>
        <stp/>
        <stp>BDP|9905083635469137539</stp>
        <tr r="Y1196" s="1"/>
      </tp>
      <tp t="s">
        <v>#N/A N/A</v>
        <stp/>
        <stp>BDP|6374713460828436903</stp>
        <tr r="Y1191" s="1"/>
      </tp>
      <tp t="s">
        <v>#N/A N/A</v>
        <stp/>
        <stp>BDP|4541059337094003511</stp>
        <tr r="Y935" s="1"/>
      </tp>
      <tp t="s">
        <v>#N/A N/A</v>
        <stp/>
        <stp>BDP|4678902686031548231</stp>
        <tr r="Z769" s="1"/>
      </tp>
      <tp t="s">
        <v>#N/A N/A</v>
        <stp/>
        <stp>BDP|5498373103931175176</stp>
        <tr r="Z307" s="1"/>
      </tp>
      <tp t="s">
        <v>#N/A N/A</v>
        <stp/>
        <stp>BDP|6640378873657769325</stp>
        <tr r="Z262" s="1"/>
      </tp>
      <tp t="s">
        <v>#N/A N/A</v>
        <stp/>
        <stp>BDP|1839004520892804776</stp>
        <tr r="Z98" s="1"/>
      </tp>
      <tp t="s">
        <v>#N/A N/A</v>
        <stp/>
        <stp>BDP|5250237842140396572</stp>
        <tr r="Y196" s="1"/>
      </tp>
      <tp t="s">
        <v>#N/A N/A</v>
        <stp/>
        <stp>BDP|2698256152396532530</stp>
        <tr r="AA801" s="1"/>
      </tp>
      <tp t="s">
        <v>#N/A N/A</v>
        <stp/>
        <stp>BDP|8556203806899718530</stp>
        <tr r="Z386" s="1"/>
      </tp>
      <tp t="s">
        <v>#N/A N/A</v>
        <stp/>
        <stp>BDP|3120554034046455533</stp>
        <tr r="AA391" s="1"/>
      </tp>
      <tp t="s">
        <v>#N/A N/A</v>
        <stp/>
        <stp>BDP|2123404973167245073</stp>
        <tr r="Z1136" s="1"/>
      </tp>
      <tp t="s">
        <v>#N/A N/A</v>
        <stp/>
        <stp>BDP|5554424445563616037</stp>
        <tr r="Y174" s="1"/>
      </tp>
      <tp t="s">
        <v>#N/A N/A</v>
        <stp/>
        <stp>BDP|1695890298342961499</stp>
        <tr r="AA1188" s="1"/>
      </tp>
      <tp t="s">
        <v>#N/A N/A</v>
        <stp/>
        <stp>BDP|3130614634918734848</stp>
        <tr r="Z802" s="1"/>
      </tp>
      <tp t="s">
        <v>#N/A N/A</v>
        <stp/>
        <stp>BDP|5500054854404344201</stp>
        <tr r="Y659" s="1"/>
      </tp>
      <tp t="s">
        <v>#N/A N/A</v>
        <stp/>
        <stp>BDP|5680316623251700348</stp>
        <tr r="Y508" s="1"/>
      </tp>
      <tp t="s">
        <v>#N/A N/A</v>
        <stp/>
        <stp>BDP|5546464221164745123</stp>
        <tr r="Y233" s="1"/>
      </tp>
      <tp t="s">
        <v>#N/A N/A</v>
        <stp/>
        <stp>BDP|9583987325640875447</stp>
        <tr r="AA151" s="1"/>
      </tp>
      <tp t="s">
        <v>#N/A N/A</v>
        <stp/>
        <stp>BDP|2638334935817277363</stp>
        <tr r="AA728" s="1"/>
      </tp>
      <tp t="s">
        <v>#N/A N/A</v>
        <stp/>
        <stp>BDP|5153884280574880751</stp>
        <tr r="AA795" s="1"/>
      </tp>
      <tp t="s">
        <v>#N/A N/A</v>
        <stp/>
        <stp>BDP|8240428408662961851</stp>
        <tr r="Y306" s="1"/>
      </tp>
      <tp t="s">
        <v>#N/A N/A</v>
        <stp/>
        <stp>BDP|4288901879015923965</stp>
        <tr r="Z1244" s="1"/>
      </tp>
      <tp t="s">
        <v>#N/A N/A</v>
        <stp/>
        <stp>BDP|2675826387413763702</stp>
        <tr r="AA939" s="1"/>
      </tp>
      <tp t="s">
        <v>#N/A N/A</v>
        <stp/>
        <stp>BDP|3208768951510788764</stp>
        <tr r="AA1211" s="1"/>
      </tp>
      <tp t="s">
        <v>#N/A N/A</v>
        <stp/>
        <stp>BDP|3896182313936200352</stp>
        <tr r="Y755" s="1"/>
      </tp>
      <tp t="s">
        <v>#N/A N/A</v>
        <stp/>
        <stp>BDP|3443949324136683864</stp>
        <tr r="Y13" s="1"/>
      </tp>
      <tp t="s">
        <v>#N/A N/A</v>
        <stp/>
        <stp>BDP|3282123433910319741</stp>
        <tr r="Y932" s="1"/>
      </tp>
      <tp t="s">
        <v>#N/A N/A</v>
        <stp/>
        <stp>BDP|3742547896918605178</stp>
        <tr r="AA784" s="1"/>
      </tp>
      <tp t="s">
        <v>#N/A N/A</v>
        <stp/>
        <stp>BDP|6644114746110202576</stp>
        <tr r="AA1324" s="1"/>
      </tp>
      <tp t="s">
        <v>#N/A N/A</v>
        <stp/>
        <stp>BDP|2648925727108174761</stp>
        <tr r="AA417" s="1"/>
      </tp>
      <tp t="s">
        <v>#N/A N/A</v>
        <stp/>
        <stp>BDP|8109668703308996088</stp>
        <tr r="Y156" s="1"/>
      </tp>
      <tp t="s">
        <v>#N/A N/A</v>
        <stp/>
        <stp>BDP|5810904744679077799</stp>
        <tr r="AA696" s="1"/>
      </tp>
      <tp t="s">
        <v>#N/A N/A</v>
        <stp/>
        <stp>BDP|9576382123309994722</stp>
        <tr r="Y72" s="1"/>
      </tp>
      <tp t="s">
        <v>#N/A N/A</v>
        <stp/>
        <stp>BDP|1239774842315022129</stp>
        <tr r="AA903" s="1"/>
      </tp>
      <tp t="s">
        <v>#N/A N/A</v>
        <stp/>
        <stp>BDP|2915978178672692858</stp>
        <tr r="Y1289" s="1"/>
      </tp>
      <tp t="s">
        <v>#N/A N/A</v>
        <stp/>
        <stp>BDP|7178521972122163151</stp>
        <tr r="Z1013" s="1"/>
      </tp>
      <tp t="s">
        <v>#N/A N/A</v>
        <stp/>
        <stp>BDP|7037733958051830263</stp>
        <tr r="AA1037" s="1"/>
      </tp>
      <tp t="s">
        <v>#N/A N/A</v>
        <stp/>
        <stp>BDP|4706494714033876470</stp>
        <tr r="Z1326" s="1"/>
      </tp>
      <tp t="s">
        <v>#N/A N/A</v>
        <stp/>
        <stp>BDP|4962521377788118882</stp>
        <tr r="Y265" s="1"/>
      </tp>
      <tp t="s">
        <v>#N/A N/A</v>
        <stp/>
        <stp>BDP|9825822626443806617</stp>
        <tr r="AA581" s="1"/>
      </tp>
      <tp t="s">
        <v>#N/A N/A</v>
        <stp/>
        <stp>BDP|4302561964633554210</stp>
        <tr r="AA674" s="1"/>
      </tp>
      <tp t="s">
        <v>#N/A N/A</v>
        <stp/>
        <stp>BDP|7305020675133731567</stp>
        <tr r="Y1283" s="1"/>
      </tp>
      <tp t="s">
        <v>#N/A N/A</v>
        <stp/>
        <stp>BDP|9855750069568206636</stp>
        <tr r="Y940" s="1"/>
      </tp>
      <tp t="s">
        <v>#N/A N/A</v>
        <stp/>
        <stp>BDP|3353049922032927598</stp>
        <tr r="Z78" s="1"/>
      </tp>
      <tp t="s">
        <v>#N/A N/A</v>
        <stp/>
        <stp>BDP|6759517750005599491</stp>
        <tr r="Z1287" s="1"/>
      </tp>
      <tp t="s">
        <v>#N/A N/A</v>
        <stp/>
        <stp>BDP|3870588672494952214</stp>
        <tr r="Y522" s="1"/>
      </tp>
      <tp t="s">
        <v>#N/A N/A</v>
        <stp/>
        <stp>BDP|6472133538821461217</stp>
        <tr r="Y1293" s="1"/>
      </tp>
      <tp t="s">
        <v>#N/A N/A</v>
        <stp/>
        <stp>BDP|3930574546593560679</stp>
        <tr r="AA866" s="1"/>
      </tp>
      <tp t="s">
        <v>#N/A N/A</v>
        <stp/>
        <stp>BDP|2527308405646262084</stp>
        <tr r="Z1042" s="1"/>
      </tp>
      <tp t="s">
        <v>#N/A N/A</v>
        <stp/>
        <stp>BDP|4630568461829977926</stp>
        <tr r="Z908" s="1"/>
      </tp>
      <tp t="s">
        <v>#N/A N/A</v>
        <stp/>
        <stp>BDP|7021502970153922137</stp>
        <tr r="AA207" s="1"/>
      </tp>
      <tp t="s">
        <v>#N/A N/A</v>
        <stp/>
        <stp>BDP|3883376239961527589</stp>
        <tr r="AA65" s="1"/>
      </tp>
      <tp t="s">
        <v>#N/A N/A</v>
        <stp/>
        <stp>BDP|4472597272343256261</stp>
        <tr r="AA638" s="1"/>
      </tp>
      <tp t="s">
        <v>#N/A N/A</v>
        <stp/>
        <stp>BDP|2338700169066216235</stp>
        <tr r="AA908" s="1"/>
      </tp>
      <tp t="s">
        <v>#N/A N/A</v>
        <stp/>
        <stp>BDP|6602252744592870578</stp>
        <tr r="Z1056" s="1"/>
      </tp>
      <tp t="s">
        <v>#N/A N/A</v>
        <stp/>
        <stp>BDP|5551861874828666592</stp>
        <tr r="Y1265" s="1"/>
      </tp>
      <tp t="s">
        <v>#N/A N/A</v>
        <stp/>
        <stp>BDP|8889846595788002619</stp>
        <tr r="Z471" s="1"/>
      </tp>
      <tp t="s">
        <v>#N/A N/A</v>
        <stp/>
        <stp>BDP|7391815519261692854</stp>
        <tr r="AA889" s="1"/>
      </tp>
      <tp t="s">
        <v>#N/A N/A</v>
        <stp/>
        <stp>BDP|7256377898169039352</stp>
        <tr r="Z689" s="1"/>
      </tp>
      <tp t="s">
        <v>#N/A N/A</v>
        <stp/>
        <stp>BDP|5777150038810749059</stp>
        <tr r="AA510" s="1"/>
      </tp>
      <tp t="s">
        <v>#N/A N/A</v>
        <stp/>
        <stp>BDP|3479014631503854447</stp>
        <tr r="AA1321" s="1"/>
      </tp>
      <tp t="s">
        <v>#N/A N/A</v>
        <stp/>
        <stp>BDP|9483961355035681788</stp>
        <tr r="AA542" s="1"/>
      </tp>
      <tp t="s">
        <v>#N/A N/A</v>
        <stp/>
        <stp>BDP|2131946481491589582</stp>
        <tr r="AA804" s="1"/>
      </tp>
      <tp t="s">
        <v>#N/A N/A</v>
        <stp/>
        <stp>BDP|4986308127580105264</stp>
        <tr r="Y451" s="1"/>
      </tp>
      <tp t="s">
        <v>#N/A N/A</v>
        <stp/>
        <stp>BDP|3539083263274533624</stp>
        <tr r="Y1090" s="1"/>
      </tp>
      <tp t="s">
        <v>#N/A N/A</v>
        <stp/>
        <stp>BDP|3071188057050425054</stp>
        <tr r="AA1297" s="1"/>
      </tp>
      <tp t="s">
        <v>#N/A N/A</v>
        <stp/>
        <stp>BDP|3935599249391352444</stp>
        <tr r="AA1197" s="1"/>
      </tp>
      <tp t="s">
        <v>#N/A N/A</v>
        <stp/>
        <stp>BDP|3862637671542086747</stp>
        <tr r="Y1319" s="1"/>
      </tp>
      <tp t="s">
        <v>#N/A N/A</v>
        <stp/>
        <stp>BDP|4262677077316461484</stp>
        <tr r="AA1145" s="1"/>
      </tp>
      <tp t="s">
        <v>#N/A N/A</v>
        <stp/>
        <stp>BDP|3060885155331168826</stp>
        <tr r="AA49" s="1"/>
      </tp>
      <tp t="s">
        <v>#N/A N/A</v>
        <stp/>
        <stp>BDP|3349594456555216102</stp>
        <tr r="Y677" s="1"/>
      </tp>
      <tp t="s">
        <v>#N/A N/A</v>
        <stp/>
        <stp>BDP|4077636124973079483</stp>
        <tr r="AA247" s="1"/>
      </tp>
      <tp t="s">
        <v>#N/A N/A</v>
        <stp/>
        <stp>BDP|5051109168581629419</stp>
        <tr r="Z703" s="1"/>
      </tp>
      <tp t="s">
        <v>#N/A N/A</v>
        <stp/>
        <stp>BDP|7052124658442141643</stp>
        <tr r="Y121" s="1"/>
      </tp>
      <tp t="s">
        <v>#N/A N/A</v>
        <stp/>
        <stp>BDP|4363284647337646250</stp>
        <tr r="Y123" s="1"/>
      </tp>
      <tp t="s">
        <v>#N/A N/A</v>
        <stp/>
        <stp>BDP|1830770700449444847</stp>
        <tr r="Z355" s="1"/>
      </tp>
      <tp t="s">
        <v>#N/A N/A</v>
        <stp/>
        <stp>BDP|6958877390575062517</stp>
        <tr r="Z726" s="1"/>
      </tp>
      <tp t="s">
        <v>#N/A N/A</v>
        <stp/>
        <stp>BDP|8985934146640619260</stp>
        <tr r="Z837" s="1"/>
      </tp>
      <tp t="s">
        <v>#N/A N/A</v>
        <stp/>
        <stp>BDP|1613551756047170188</stp>
        <tr r="Z433" s="1"/>
      </tp>
      <tp t="s">
        <v>#N/A N/A</v>
        <stp/>
        <stp>BDP|6990731521413632711</stp>
        <tr r="Y128" s="1"/>
      </tp>
      <tp t="s">
        <v>#N/A N/A</v>
        <stp/>
        <stp>BDP|2908545093240148930</stp>
        <tr r="Z70" s="1"/>
      </tp>
      <tp t="s">
        <v>#N/A N/A</v>
        <stp/>
        <stp>BDP|1465088586239115764</stp>
        <tr r="Y1034" s="1"/>
      </tp>
      <tp t="s">
        <v>#N/A N/A</v>
        <stp/>
        <stp>BDP|2079199144192137215</stp>
        <tr r="AA799" s="1"/>
      </tp>
      <tp t="s">
        <v>#N/A N/A</v>
        <stp/>
        <stp>BDP|2607718149124285210</stp>
        <tr r="Y321" s="1"/>
      </tp>
      <tp t="s">
        <v>#N/A N/A</v>
        <stp/>
        <stp>BDP|6454292486222716911</stp>
        <tr r="Y516" s="1"/>
      </tp>
      <tp t="s">
        <v>#N/A N/A</v>
        <stp/>
        <stp>BDP|6077431708541460421</stp>
        <tr r="Z1247" s="1"/>
      </tp>
      <tp t="s">
        <v>#N/A N/A</v>
        <stp/>
        <stp>BDP|9941980079762359261</stp>
        <tr r="AA703" s="1"/>
      </tp>
      <tp t="s">
        <v>#N/A N/A</v>
        <stp/>
        <stp>BDP|3903034038352599552</stp>
        <tr r="Y1014" s="1"/>
      </tp>
      <tp t="s">
        <v>#N/A N/A</v>
        <stp/>
        <stp>BDP|2280442834743098105</stp>
        <tr r="AA12" s="1"/>
      </tp>
      <tp t="s">
        <v>#N/A N/A</v>
        <stp/>
        <stp>BDP|2449948330037083825</stp>
        <tr r="AA230" s="1"/>
      </tp>
      <tp t="s">
        <v>#N/A N/A</v>
        <stp/>
        <stp>BDP|9593097429815661912</stp>
        <tr r="Z865" s="1"/>
      </tp>
      <tp t="s">
        <v>#N/A N/A</v>
        <stp/>
        <stp>BDP|3760356925633030657</stp>
        <tr r="Z1323" s="1"/>
      </tp>
      <tp t="s">
        <v>#N/A N/A</v>
        <stp/>
        <stp>BDP|8976153965631253993</stp>
        <tr r="Y1314" s="1"/>
      </tp>
      <tp t="s">
        <v>#N/A N/A</v>
        <stp/>
        <stp>BDP|9479075355833682824</stp>
        <tr r="Y1033" s="1"/>
      </tp>
      <tp t="s">
        <v>#N/A N/A</v>
        <stp/>
        <stp>BDP|4332441774081100119</stp>
        <tr r="AA264" s="1"/>
      </tp>
      <tp t="s">
        <v>#N/A N/A</v>
        <stp/>
        <stp>BDP|9786649001151186904</stp>
        <tr r="Z1277" s="1"/>
      </tp>
      <tp t="s">
        <v>#N/A N/A</v>
        <stp/>
        <stp>BDP|8694447588086979505</stp>
        <tr r="Y18" s="1"/>
      </tp>
      <tp t="s">
        <v>#N/A N/A</v>
        <stp/>
        <stp>BDP|6611656503261543661</stp>
        <tr r="Y497" s="1"/>
      </tp>
      <tp t="s">
        <v>#N/A N/A</v>
        <stp/>
        <stp>BDP|3121229711054705369</stp>
        <tr r="Z917" s="1"/>
      </tp>
      <tp t="s">
        <v>#N/A N/A</v>
        <stp/>
        <stp>BDP|1368330643395742474</stp>
        <tr r="Z420" s="1"/>
      </tp>
      <tp t="s">
        <v>#N/A N/A</v>
        <stp/>
        <stp>BDP|6314202645003381452</stp>
        <tr r="Z694" s="1"/>
      </tp>
      <tp t="s">
        <v>#N/A N/A</v>
        <stp/>
        <stp>BDP|5384145479730847464</stp>
        <tr r="Z758" s="1"/>
      </tp>
      <tp t="s">
        <v>#N/A N/A</v>
        <stp/>
        <stp>BDP|5972993578418162498</stp>
        <tr r="AA749" s="1"/>
      </tp>
      <tp t="s">
        <v>#N/A N/A</v>
        <stp/>
        <stp>BDP|2279371686727324901</stp>
        <tr r="Z1093" s="1"/>
      </tp>
      <tp t="s">
        <v>#N/A N/A</v>
        <stp/>
        <stp>BDP|8380014247659335274</stp>
        <tr r="Y1069" s="1"/>
      </tp>
      <tp t="s">
        <v>#N/A N/A</v>
        <stp/>
        <stp>BDP|3309888886583972757</stp>
        <tr r="Z520" s="1"/>
      </tp>
      <tp t="s">
        <v>#N/A N/A</v>
        <stp/>
        <stp>BDP|2087072467363560041</stp>
        <tr r="AA1085" s="1"/>
      </tp>
      <tp t="s">
        <v>#N/A N/A</v>
        <stp/>
        <stp>BDP|6429673653762512047</stp>
        <tr r="Y1245" s="1"/>
      </tp>
      <tp t="s">
        <v>#N/A N/A</v>
        <stp/>
        <stp>BDP|1598355976071797300</stp>
        <tr r="Y1094" s="1"/>
      </tp>
      <tp t="s">
        <v>#N/A N/A</v>
        <stp/>
        <stp>BDP|7577311622151306043</stp>
        <tr r="Y1101" s="1"/>
      </tp>
      <tp t="s">
        <v>#N/A N/A</v>
        <stp/>
        <stp>BDP|5284684219961162434</stp>
        <tr r="AA527" s="1"/>
      </tp>
      <tp t="s">
        <v>#N/A N/A</v>
        <stp/>
        <stp>BDP|4638140164910740409</stp>
        <tr r="Y457" s="1"/>
      </tp>
      <tp t="s">
        <v>#N/A N/A</v>
        <stp/>
        <stp>BDP|3913613175697460284</stp>
        <tr r="Y781" s="1"/>
      </tp>
      <tp t="s">
        <v>#N/A N/A</v>
        <stp/>
        <stp>BDP|2138079954723524316</stp>
        <tr r="Y671" s="1"/>
      </tp>
      <tp t="s">
        <v>#N/A N/A</v>
        <stp/>
        <stp>BDP|1367614894309441044</stp>
        <tr r="Z1299" s="1"/>
      </tp>
      <tp t="s">
        <v>#N/A N/A</v>
        <stp/>
        <stp>BDP|3529769931980706030</stp>
        <tr r="Y1116" s="1"/>
      </tp>
      <tp t="s">
        <v>#N/A N/A</v>
        <stp/>
        <stp>BDP|9448712882222088319</stp>
        <tr r="Y879" s="1"/>
      </tp>
      <tp t="s">
        <v>#N/A N/A</v>
        <stp/>
        <stp>BDP|7235756302423265410</stp>
        <tr r="AA301" s="1"/>
      </tp>
      <tp t="s">
        <v>#N/A N/A</v>
        <stp/>
        <stp>BDP|4534555637364210129</stp>
        <tr r="Z806" s="1"/>
      </tp>
      <tp t="s">
        <v>#N/A N/A</v>
        <stp/>
        <stp>BDP|5603287272432958525</stp>
        <tr r="Y464" s="1"/>
      </tp>
      <tp t="s">
        <v>#N/A N/A</v>
        <stp/>
        <stp>BDP|1136379844867268670</stp>
        <tr r="Z747" s="1"/>
      </tp>
      <tp t="s">
        <v>#N/A N/A</v>
        <stp/>
        <stp>BDP|1916281513793500600</stp>
        <tr r="Y1329" s="1"/>
      </tp>
      <tp t="s">
        <v>#N/A N/A</v>
        <stp/>
        <stp>BDP|3176135358871643187</stp>
        <tr r="Y1287" s="1"/>
      </tp>
      <tp t="s">
        <v>#N/A N/A</v>
        <stp/>
        <stp>BDP|8387134401799773724</stp>
        <tr r="Y588" s="1"/>
      </tp>
      <tp t="s">
        <v>#N/A N/A</v>
        <stp/>
        <stp>BDP|4808093951376751039</stp>
        <tr r="AA370" s="1"/>
      </tp>
      <tp t="s">
        <v>#N/A N/A</v>
        <stp/>
        <stp>BDP|6780041667363550450</stp>
        <tr r="AA1263" s="1"/>
      </tp>
      <tp t="s">
        <v>#N/A N/A</v>
        <stp/>
        <stp>BDP|3057398458953495113</stp>
        <tr r="AA704" s="1"/>
      </tp>
      <tp t="s">
        <v>#N/A N/A</v>
        <stp/>
        <stp>BDP|2450210003600721754</stp>
        <tr r="Z62" s="1"/>
      </tp>
      <tp t="s">
        <v>#N/A N/A</v>
        <stp/>
        <stp>BDP|1149904619226542890</stp>
        <tr r="AA1139" s="1"/>
      </tp>
      <tp t="s">
        <v>#N/A N/A</v>
        <stp/>
        <stp>BDP|9766580497991490380</stp>
        <tr r="Y966" s="1"/>
      </tp>
      <tp t="s">
        <v>#N/A N/A</v>
        <stp/>
        <stp>BDP|5188672070084404773</stp>
        <tr r="Z434" s="1"/>
      </tp>
      <tp t="s">
        <v>#N/A N/A</v>
        <stp/>
        <stp>BDP|4650276461810347766</stp>
        <tr r="Z361" s="1"/>
      </tp>
      <tp t="s">
        <v>#N/A N/A</v>
        <stp/>
        <stp>BDP|7213910417978819092</stp>
        <tr r="Z1270" s="1"/>
      </tp>
      <tp t="s">
        <v>#N/A N/A</v>
        <stp/>
        <stp>BDP|5052332872023224569</stp>
        <tr r="Y348" s="1"/>
      </tp>
      <tp t="s">
        <v>#N/A N/A</v>
        <stp/>
        <stp>BDP|1429482799389883284</stp>
        <tr r="AA1039" s="1"/>
      </tp>
      <tp t="s">
        <v>#N/A N/A</v>
        <stp/>
        <stp>BDP|2060336350124167776</stp>
        <tr r="Z752" s="1"/>
      </tp>
      <tp t="s">
        <v>#N/A N/A</v>
        <stp/>
        <stp>BDP|8306955669090382098</stp>
        <tr r="Y643" s="1"/>
      </tp>
      <tp t="s">
        <v>#N/A N/A</v>
        <stp/>
        <stp>BDP|1977053898937735869</stp>
        <tr r="AA767" s="1"/>
      </tp>
      <tp t="s">
        <v>#N/A N/A</v>
        <stp/>
        <stp>BDP|6459519400910317433</stp>
        <tr r="Y1087" s="1"/>
      </tp>
      <tp t="s">
        <v>#N/A N/A</v>
        <stp/>
        <stp>BDP|9009085395976220654</stp>
        <tr r="Y1201" s="1"/>
      </tp>
      <tp t="s">
        <v>#N/A N/A</v>
        <stp/>
        <stp>BDP|9538792914807134837</stp>
        <tr r="Z8" s="1"/>
      </tp>
      <tp t="s">
        <v>#N/A N/A</v>
        <stp/>
        <stp>BDP|4896221430200039506</stp>
        <tr r="Y323" s="1"/>
      </tp>
      <tp t="s">
        <v>#N/A N/A</v>
        <stp/>
        <stp>BDP|7336202957857963771</stp>
        <tr r="AA928" s="1"/>
      </tp>
      <tp t="s">
        <v>#N/A N/A</v>
        <stp/>
        <stp>BDP|9800809735207627518</stp>
        <tr r="Y743" s="1"/>
      </tp>
      <tp t="s">
        <v>#N/A N/A</v>
        <stp/>
        <stp>BDP|1112786153593771075</stp>
        <tr r="Y503" s="1"/>
      </tp>
      <tp t="s">
        <v>#N/A N/A</v>
        <stp/>
        <stp>BDP|7053019556936537483</stp>
        <tr r="AA245" s="1"/>
      </tp>
      <tp t="s">
        <v>#N/A N/A</v>
        <stp/>
        <stp>BDP|2358088680729096315</stp>
        <tr r="Y106" s="1"/>
      </tp>
      <tp t="s">
        <v>#N/A N/A</v>
        <stp/>
        <stp>BDP|6710188366967584673</stp>
        <tr r="Y45" s="1"/>
      </tp>
      <tp t="s">
        <v>#N/A N/A</v>
        <stp/>
        <stp>BDP|6151069220834519099</stp>
        <tr r="AA771" s="1"/>
      </tp>
      <tp t="s">
        <v>#N/A N/A</v>
        <stp/>
        <stp>BDP|2109117909344369710</stp>
        <tr r="Z255" s="1"/>
      </tp>
      <tp t="s">
        <v>#N/A N/A</v>
        <stp/>
        <stp>BDP|7778743805655808550</stp>
        <tr r="AA1081" s="1"/>
      </tp>
      <tp t="s">
        <v>#N/A N/A</v>
        <stp/>
        <stp>BDP|5045262130681421597</stp>
        <tr r="Y889" s="1"/>
      </tp>
      <tp t="s">
        <v>#N/A N/A</v>
        <stp/>
        <stp>BDP|7104276120612929545</stp>
        <tr r="AA233" s="1"/>
      </tp>
      <tp t="s">
        <v>#N/A N/A</v>
        <stp/>
        <stp>BDP|9289943605809057981</stp>
        <tr r="AA984" s="1"/>
      </tp>
      <tp t="s">
        <v>#N/A N/A</v>
        <stp/>
        <stp>BDP|6763163512363126592</stp>
        <tr r="Z677" s="1"/>
      </tp>
      <tp t="s">
        <v>#N/A N/A</v>
        <stp/>
        <stp>BDP|7813045116493164500</stp>
        <tr r="Z410" s="1"/>
      </tp>
      <tp t="s">
        <v>#N/A N/A</v>
        <stp/>
        <stp>BDP|7267154451234782792</stp>
        <tr r="Z1148" s="1"/>
      </tp>
      <tp t="s">
        <v>#N/A N/A</v>
        <stp/>
        <stp>BDP|8688283360965310959</stp>
        <tr r="Y1290" s="1"/>
      </tp>
      <tp t="s">
        <v>#N/A N/A</v>
        <stp/>
        <stp>BDP|3200475979665690520</stp>
        <tr r="Y84" s="1"/>
      </tp>
      <tp t="s">
        <v>#N/A N/A</v>
        <stp/>
        <stp>BDP|4425753979833673763</stp>
        <tr r="Y591" s="1"/>
      </tp>
      <tp t="s">
        <v>#N/A N/A</v>
        <stp/>
        <stp>BDP|3961197566851611589</stp>
        <tr r="Z955" s="1"/>
      </tp>
      <tp t="s">
        <v>#N/A N/A</v>
        <stp/>
        <stp>BDP|6768785541530662501</stp>
        <tr r="Z193" s="1"/>
      </tp>
      <tp t="s">
        <v>#N/A N/A</v>
        <stp/>
        <stp>BDP|1777097757420669477</stp>
        <tr r="Y752" s="1"/>
      </tp>
      <tp t="s">
        <v>#N/A N/A</v>
        <stp/>
        <stp>BDP|3368477827587817231</stp>
        <tr r="Y812" s="1"/>
      </tp>
      <tp t="s">
        <v>#N/A N/A</v>
        <stp/>
        <stp>BDP|4810303462541629041</stp>
        <tr r="AA571" s="1"/>
      </tp>
      <tp t="s">
        <v>#N/A N/A</v>
        <stp/>
        <stp>BDP|3075572848266261455</stp>
        <tr r="AA1187" s="1"/>
      </tp>
      <tp t="s">
        <v>#N/A N/A</v>
        <stp/>
        <stp>BDP|9707193489284650490</stp>
        <tr r="AA1234" s="1"/>
      </tp>
      <tp t="s">
        <v>#N/A N/A</v>
        <stp/>
        <stp>BDP|6259686805675546527</stp>
        <tr r="Y1104" s="1"/>
      </tp>
      <tp t="s">
        <v>#N/A N/A</v>
        <stp/>
        <stp>BDP|2728469548184248626</stp>
        <tr r="Y782" s="1"/>
      </tp>
      <tp t="s">
        <v>#N/A N/A</v>
        <stp/>
        <stp>BDP|4487580056504348001</stp>
        <tr r="Z1139" s="1"/>
      </tp>
      <tp t="s">
        <v>#N/A N/A</v>
        <stp/>
        <stp>BDP|9615583737327994892</stp>
        <tr r="Z587" s="1"/>
      </tp>
      <tp t="s">
        <v>#N/A N/A</v>
        <stp/>
        <stp>BDP|7472095197147684951</stp>
        <tr r="AA620" s="1"/>
      </tp>
      <tp t="s">
        <v>#N/A N/A</v>
        <stp/>
        <stp>BDP|9008933675724871379</stp>
        <tr r="Z913" s="1"/>
      </tp>
      <tp t="s">
        <v>#N/A N/A</v>
        <stp/>
        <stp>BDP|2743385763735396262</stp>
        <tr r="Y139" s="1"/>
      </tp>
      <tp t="s">
        <v>#N/A N/A</v>
        <stp/>
        <stp>BDP|9608496798621981574</stp>
        <tr r="AA948" s="1"/>
      </tp>
      <tp t="s">
        <v>#N/A N/A</v>
        <stp/>
        <stp>BDP|7757396432423292470</stp>
        <tr r="Y1089" s="1"/>
      </tp>
      <tp t="s">
        <v>#N/A N/A</v>
        <stp/>
        <stp>BDP|8716271136669718089</stp>
        <tr r="Z1228" s="1"/>
      </tp>
      <tp t="s">
        <v>#N/A N/A</v>
        <stp/>
        <stp>BDP|6160440237857884637</stp>
        <tr r="Y1304" s="1"/>
      </tp>
      <tp t="s">
        <v>#N/A N/A</v>
        <stp/>
        <stp>BDP|5751233718153746523</stp>
        <tr r="Z1210" s="1"/>
      </tp>
      <tp t="s">
        <v>#N/A N/A</v>
        <stp/>
        <stp>BDP|3207200013440935017</stp>
        <tr r="Y804" s="1"/>
      </tp>
      <tp t="s">
        <v>#N/A N/A</v>
        <stp/>
        <stp>BDP|1839304903022763054</stp>
        <tr r="Z729" s="1"/>
      </tp>
      <tp t="s">
        <v>#N/A N/A</v>
        <stp/>
        <stp>BDP|5608712393329970241</stp>
        <tr r="Z1167" s="1"/>
      </tp>
      <tp t="s">
        <v>#N/A N/A</v>
        <stp/>
        <stp>BDP|6740859590957221090</stp>
        <tr r="Z1294" s="1"/>
      </tp>
      <tp t="s">
        <v>#N/A N/A</v>
        <stp/>
        <stp>BDP|7324166593299810671</stp>
        <tr r="Z233" s="1"/>
      </tp>
      <tp t="s">
        <v>#N/A N/A</v>
        <stp/>
        <stp>BDP|3371973489787688553</stp>
        <tr r="Y1255" s="1"/>
      </tp>
      <tp t="s">
        <v>#N/A N/A</v>
        <stp/>
        <stp>BDP|4049794522546485717</stp>
        <tr r="Y1207" s="1"/>
      </tp>
      <tp t="s">
        <v>#N/A N/A</v>
        <stp/>
        <stp>BDP|4469396372783126308</stp>
        <tr r="AA991" s="1"/>
      </tp>
      <tp t="s">
        <v>#N/A N/A</v>
        <stp/>
        <stp>BDP|2067527063069789885</stp>
        <tr r="Z635" s="1"/>
      </tp>
      <tp t="s">
        <v>#N/A N/A</v>
        <stp/>
        <stp>BDP|4119525902773792285</stp>
        <tr r="Z178" s="1"/>
      </tp>
      <tp t="s">
        <v>#N/A N/A</v>
        <stp/>
        <stp>BDP|9210829163182503586</stp>
        <tr r="Z826" s="1"/>
      </tp>
      <tp t="s">
        <v>#N/A N/A</v>
        <stp/>
        <stp>BDP|6957374805632767720</stp>
        <tr r="Y15" s="1"/>
      </tp>
      <tp t="s">
        <v>#N/A N/A</v>
        <stp/>
        <stp>BDP|1939342964790069470</stp>
        <tr r="AA1040" s="1"/>
      </tp>
      <tp t="s">
        <v>#N/A N/A</v>
        <stp/>
        <stp>BDP|8990019058569865463</stp>
        <tr r="Y278" s="1"/>
      </tp>
      <tp t="s">
        <v>#N/A N/A</v>
        <stp/>
        <stp>BDP|1145499642708217968</stp>
        <tr r="Y1078" s="1"/>
      </tp>
      <tp t="s">
        <v>#N/A N/A</v>
        <stp/>
        <stp>BDP|3770982270695667877</stp>
        <tr r="AA292" s="1"/>
      </tp>
      <tp t="s">
        <v>#N/A N/A</v>
        <stp/>
        <stp>BDP|4320838538566111965</stp>
        <tr r="Y1194" s="1"/>
      </tp>
      <tp t="s">
        <v>#N/A N/A</v>
        <stp/>
        <stp>BDP|3528337160235185384</stp>
        <tr r="Z834" s="1"/>
      </tp>
      <tp t="s">
        <v>#N/A N/A</v>
        <stp/>
        <stp>BDP|8995747453449533343</stp>
        <tr r="Z1150" s="1"/>
      </tp>
      <tp t="s">
        <v>#N/A N/A</v>
        <stp/>
        <stp>BDP|6560250218716091372</stp>
        <tr r="AA346" s="1"/>
      </tp>
      <tp t="s">
        <v>#N/A N/A</v>
        <stp/>
        <stp>BDP|1138593352644499513</stp>
        <tr r="Y504" s="1"/>
      </tp>
      <tp t="s">
        <v>#N/A N/A</v>
        <stp/>
        <stp>BDP|7599472242812898574</stp>
        <tr r="Z272" s="1"/>
      </tp>
      <tp t="s">
        <v>#N/A N/A</v>
        <stp/>
        <stp>BDP|8957942401301745042</stp>
        <tr r="Y204" s="1"/>
      </tp>
      <tp t="s">
        <v>#N/A N/A</v>
        <stp/>
        <stp>BDP|7949925630689123450</stp>
        <tr r="AA584" s="1"/>
      </tp>
      <tp t="s">
        <v>#N/A N/A</v>
        <stp/>
        <stp>BDP|3332407552236813462</stp>
        <tr r="Z176" s="1"/>
      </tp>
      <tp t="s">
        <v>#N/A N/A</v>
        <stp/>
        <stp>BDP|1298378010267258482</stp>
        <tr r="AA1325" s="1"/>
      </tp>
      <tp t="s">
        <v>#N/A N/A</v>
        <stp/>
        <stp>BDP|2920243680770203802</stp>
        <tr r="Y517" s="1"/>
      </tp>
      <tp t="s">
        <v>#N/A N/A</v>
        <stp/>
        <stp>BDP|7620886075918250051</stp>
        <tr r="Z915" s="1"/>
      </tp>
      <tp t="s">
        <v>#N/A N/A</v>
        <stp/>
        <stp>BDP|5701299902520347730</stp>
        <tr r="Z1207" s="1"/>
      </tp>
      <tp t="s">
        <v>#N/A N/A</v>
        <stp/>
        <stp>BDP|4121212074975925410</stp>
        <tr r="Z816" s="1"/>
      </tp>
      <tp t="s">
        <v>#N/A N/A</v>
        <stp/>
        <stp>BDP|1055755914270497791</stp>
        <tr r="AA147" s="1"/>
      </tp>
      <tp t="s">
        <v>#N/A N/A</v>
        <stp/>
        <stp>BDP|9632198386795168545</stp>
        <tr r="Z1202" s="1"/>
      </tp>
      <tp t="s">
        <v>#N/A N/A</v>
        <stp/>
        <stp>BDP|4700669024206152680</stp>
        <tr r="AA321" s="1"/>
      </tp>
      <tp t="s">
        <v>#N/A N/A</v>
        <stp/>
        <stp>BDP|5240790967326029205</stp>
        <tr r="Z844" s="1"/>
      </tp>
      <tp t="s">
        <v>#N/A N/A</v>
        <stp/>
        <stp>BDP|1901383965507135395</stp>
        <tr r="Y817" s="1"/>
      </tp>
      <tp t="s">
        <v>#N/A N/A</v>
        <stp/>
        <stp>BDP|3421945117752263992</stp>
        <tr r="Y612" s="1"/>
      </tp>
      <tp t="s">
        <v>#N/A N/A</v>
        <stp/>
        <stp>BDP|6692788310655790559</stp>
        <tr r="AA234" s="1"/>
      </tp>
      <tp t="s">
        <v>#N/A N/A</v>
        <stp/>
        <stp>BDP|9074054199345976590</stp>
        <tr r="Z124" s="1"/>
      </tp>
      <tp t="s">
        <v>#N/A N/A</v>
        <stp/>
        <stp>BDP|9869223922808734126</stp>
        <tr r="AA1184" s="1"/>
      </tp>
      <tp t="s">
        <v>#N/A N/A</v>
        <stp/>
        <stp>BDP|5936539500304312443</stp>
        <tr r="Y61" s="1"/>
      </tp>
      <tp t="s">
        <v>#N/A N/A</v>
        <stp/>
        <stp>BDP|3849624614995552161</stp>
        <tr r="Y249" s="1"/>
      </tp>
      <tp t="s">
        <v>#N/A N/A</v>
        <stp/>
        <stp>BDP|1339334716800967324</stp>
        <tr r="AA503" s="1"/>
      </tp>
      <tp t="s">
        <v>#N/A N/A</v>
        <stp/>
        <stp>BDP|7868353387074782802</stp>
        <tr r="AA496" s="1"/>
      </tp>
      <tp t="s">
        <v>#N/A N/A</v>
        <stp/>
        <stp>BDP|6241357328735630249</stp>
        <tr r="Y669" s="1"/>
      </tp>
      <tp t="s">
        <v>#N/A N/A</v>
        <stp/>
        <stp>BDP|2338793210324686015</stp>
        <tr r="Y330" s="1"/>
      </tp>
      <tp t="s">
        <v>#N/A N/A</v>
        <stp/>
        <stp>BDP|3652071173401915561</stp>
        <tr r="AA813" s="1"/>
      </tp>
      <tp t="s">
        <v>#N/A N/A</v>
        <stp/>
        <stp>BDP|5637725515230410380</stp>
        <tr r="AA1167" s="1"/>
      </tp>
      <tp t="s">
        <v>#N/A N/A</v>
        <stp/>
        <stp>BDP|3865740374853429018</stp>
        <tr r="Y906" s="1"/>
      </tp>
      <tp t="s">
        <v>#N/A N/A</v>
        <stp/>
        <stp>BDP|5777993445401142973</stp>
        <tr r="Z90" s="1"/>
      </tp>
      <tp t="s">
        <v>#N/A N/A</v>
        <stp/>
        <stp>BDP|7066352569064734661</stp>
        <tr r="Z1232" s="1"/>
      </tp>
      <tp t="s">
        <v>#N/A N/A</v>
        <stp/>
        <stp>BDP|8363890500519644911</stp>
        <tr r="Z666" s="1"/>
      </tp>
      <tp t="s">
        <v>#N/A N/A</v>
        <stp/>
        <stp>BDP|1201738514255468235</stp>
        <tr r="Z973" s="1"/>
      </tp>
      <tp t="s">
        <v>#N/A N/A</v>
        <stp/>
        <stp>BDP|2151586142261098290</stp>
        <tr r="Z1324" s="1"/>
      </tp>
      <tp t="s">
        <v>#N/A N/A</v>
        <stp/>
        <stp>BDP|5613082929860525702</stp>
        <tr r="Y342" s="1"/>
      </tp>
      <tp t="s">
        <v>#N/A N/A</v>
        <stp/>
        <stp>BDP|1654922961489044775</stp>
        <tr r="Z660" s="1"/>
      </tp>
      <tp t="s">
        <v>#N/A N/A</v>
        <stp/>
        <stp>BDP|1515343670690342505</stp>
        <tr r="Y709" s="1"/>
      </tp>
      <tp t="s">
        <v>#N/A N/A</v>
        <stp/>
        <stp>BDP|6058607646347409307</stp>
        <tr r="Y1295" s="1"/>
      </tp>
      <tp t="s">
        <v>#N/A N/A</v>
        <stp/>
        <stp>BDP|6173005962723030310</stp>
        <tr r="Z853" s="1"/>
      </tp>
      <tp t="s">
        <v>#N/A N/A</v>
        <stp/>
        <stp>BDP|4728176113365995188</stp>
        <tr r="Z300" s="1"/>
      </tp>
      <tp t="s">
        <v>#N/A N/A</v>
        <stp/>
        <stp>BDP|3997884671444254815</stp>
        <tr r="Z574" s="1"/>
      </tp>
      <tp t="s">
        <v>#N/A N/A</v>
        <stp/>
        <stp>BDP|2184243936005321630</stp>
        <tr r="Y921" s="1"/>
      </tp>
      <tp t="s">
        <v>#N/A N/A</v>
        <stp/>
        <stp>BDP|2681521215415176330</stp>
        <tr r="AA583" s="1"/>
      </tp>
      <tp t="s">
        <v>#N/A N/A</v>
        <stp/>
        <stp>BDP|8139909450184226005</stp>
        <tr r="AA407" s="1"/>
      </tp>
      <tp t="s">
        <v>#N/A N/A</v>
        <stp/>
        <stp>BDP|8525760471879774163</stp>
        <tr r="Y263" s="1"/>
      </tp>
      <tp t="s">
        <v>#N/A N/A</v>
        <stp/>
        <stp>BDP|7538038702017352040</stp>
        <tr r="Y953" s="1"/>
      </tp>
      <tp t="s">
        <v>#N/A N/A</v>
        <stp/>
        <stp>BDP|8624506725606436940</stp>
        <tr r="Y1222" s="1"/>
      </tp>
      <tp t="s">
        <v>#N/A N/A</v>
        <stp/>
        <stp>BDP|9188412383861195418</stp>
        <tr r="Z1128" s="1"/>
      </tp>
      <tp t="s">
        <v>#N/A N/A</v>
        <stp/>
        <stp>BDP|8228941575253569555</stp>
        <tr r="AA579" s="1"/>
      </tp>
      <tp t="s">
        <v>#N/A N/A</v>
        <stp/>
        <stp>BDP|8581410926778922688</stp>
        <tr r="Y975" s="1"/>
      </tp>
      <tp t="s">
        <v>#N/A N/A</v>
        <stp/>
        <stp>BDP|3416178918673024089</stp>
        <tr r="Z1178" s="1"/>
      </tp>
      <tp t="s">
        <v>#N/A N/A</v>
        <stp/>
        <stp>BDP|5095068118465460195</stp>
        <tr r="Z774" s="1"/>
      </tp>
      <tp t="s">
        <v>#N/A N/A</v>
        <stp/>
        <stp>BDP|4230605329378117892</stp>
        <tr r="AA768" s="1"/>
      </tp>
      <tp t="s">
        <v>#N/A N/A</v>
        <stp/>
        <stp>BDP|9511853062126479169</stp>
        <tr r="Y424" s="1"/>
      </tp>
      <tp t="s">
        <v>#N/A N/A</v>
        <stp/>
        <stp>BDP|3097007137092040275</stp>
        <tr r="Z1281" s="1"/>
      </tp>
      <tp t="s">
        <v>#N/A N/A</v>
        <stp/>
        <stp>BDP|2457431157326660561</stp>
        <tr r="Z763" s="1"/>
      </tp>
      <tp t="s">
        <v>#N/A N/A</v>
        <stp/>
        <stp>BDP|4517002683928287441</stp>
        <tr r="Z1088" s="1"/>
      </tp>
      <tp t="s">
        <v>#N/A N/A</v>
        <stp/>
        <stp>BDP|5360221842267674451</stp>
        <tr r="Z688" s="1"/>
      </tp>
      <tp t="s">
        <v>#N/A N/A</v>
        <stp/>
        <stp>BDP|4163074413590512504</stp>
        <tr r="AA375" s="1"/>
      </tp>
      <tp t="s">
        <v>#N/A N/A</v>
        <stp/>
        <stp>BDP|9396559617975581845</stp>
        <tr r="Z455" s="1"/>
      </tp>
      <tp t="s">
        <v>#N/A N/A</v>
        <stp/>
        <stp>BDP|8062133632592053811</stp>
        <tr r="Y458" s="1"/>
      </tp>
      <tp t="s">
        <v>#N/A N/A</v>
        <stp/>
        <stp>BDP|4391568160165630234</stp>
        <tr r="AA54" s="1"/>
      </tp>
      <tp t="s">
        <v>#N/A N/A</v>
        <stp/>
        <stp>BDP|5606741459342367583</stp>
        <tr r="Z563" s="1"/>
      </tp>
      <tp t="s">
        <v>#N/A N/A</v>
        <stp/>
        <stp>BDP|2136087069491379531</stp>
        <tr r="Y857" s="1"/>
      </tp>
      <tp t="s">
        <v>#N/A N/A</v>
        <stp/>
        <stp>BDP|8422753794061716739</stp>
        <tr r="Y398" s="1"/>
      </tp>
      <tp t="s">
        <v>#N/A N/A</v>
        <stp/>
        <stp>BDP|9189932369283842523</stp>
        <tr r="Z575" s="1"/>
      </tp>
      <tp t="s">
        <v>#N/A N/A</v>
        <stp/>
        <stp>BDP|1834219202536294587</stp>
        <tr r="Z3" s="1"/>
      </tp>
      <tp t="s">
        <v>#N/A N/A</v>
        <stp/>
        <stp>BDP|9337480586937583293</stp>
        <tr r="AA1246" s="1"/>
      </tp>
      <tp t="s">
        <v>#N/A N/A</v>
        <stp/>
        <stp>BDP|7524618570895510302</stp>
        <tr r="Y144" s="1"/>
      </tp>
      <tp t="s">
        <v>#N/A N/A</v>
        <stp/>
        <stp>BDP|5600718057247185002</stp>
        <tr r="Y149" s="1"/>
      </tp>
      <tp t="s">
        <v>#N/A N/A</v>
        <stp/>
        <stp>BDP|8541156170607153902</stp>
        <tr r="AA374" s="1"/>
      </tp>
      <tp t="s">
        <v>#N/A N/A</v>
        <stp/>
        <stp>BDP|5513260326941284466</stp>
        <tr r="Z1322" s="1"/>
      </tp>
      <tp t="s">
        <v>#N/A N/A</v>
        <stp/>
        <stp>BDP|2443319055324479023</stp>
        <tr r="Y823" s="1"/>
      </tp>
      <tp t="s">
        <v>#N/A N/A</v>
        <stp/>
        <stp>BDP|2490509704922238546</stp>
        <tr r="Y1229" s="1"/>
      </tp>
      <tp t="s">
        <v>#N/A N/A</v>
        <stp/>
        <stp>BDP|2643160106835359635</stp>
        <tr r="Z185" s="1"/>
      </tp>
      <tp t="s">
        <v>#N/A N/A</v>
        <stp/>
        <stp>BDP|3414660972812520034</stp>
        <tr r="Y303" s="1"/>
      </tp>
      <tp t="s">
        <v>#N/A N/A</v>
        <stp/>
        <stp>BDP|5087460240906179319</stp>
        <tr r="Y558" s="1"/>
      </tp>
      <tp t="s">
        <v>#N/A N/A</v>
        <stp/>
        <stp>BDP|2383018033015469437</stp>
        <tr r="Z5" s="1"/>
      </tp>
      <tp t="s">
        <v>#N/A N/A</v>
        <stp/>
        <stp>BDP|8503094311680302981</stp>
        <tr r="Y406" s="1"/>
      </tp>
      <tp t="s">
        <v>#N/A N/A</v>
        <stp/>
        <stp>BDP|4418918424569297650</stp>
        <tr r="Y1081" s="1"/>
      </tp>
      <tp t="s">
        <v>#N/A N/A</v>
        <stp/>
        <stp>BDP|9605903750485612061</stp>
        <tr r="AA864" s="1"/>
      </tp>
      <tp t="s">
        <v>#N/A N/A</v>
        <stp/>
        <stp>BDP|9858129191630547194</stp>
        <tr r="Z277" s="1"/>
      </tp>
      <tp t="s">
        <v>#N/A N/A</v>
        <stp/>
        <stp>BDP|6612978299747655194</stp>
        <tr r="AA518" s="1"/>
      </tp>
      <tp t="s">
        <v>#N/A N/A</v>
        <stp/>
        <stp>BDP|8743890362950943628</stp>
        <tr r="AA944" s="1"/>
      </tp>
      <tp t="s">
        <v>#N/A N/A</v>
        <stp/>
        <stp>BDP|9559591841738954036</stp>
        <tr r="Z910" s="1"/>
      </tp>
      <tp t="s">
        <v>#N/A N/A</v>
        <stp/>
        <stp>BDP|7482927769288956018</stp>
        <tr r="AA723" s="1"/>
      </tp>
      <tp t="s">
        <v>#N/A N/A</v>
        <stp/>
        <stp>BDP|4129074069000104294</stp>
        <tr r="Y1068" s="1"/>
      </tp>
      <tp t="s">
        <v>#N/A N/A</v>
        <stp/>
        <stp>BDP|7626049284248598742</stp>
        <tr r="AA1272" s="1"/>
      </tp>
      <tp t="s">
        <v>#N/A N/A</v>
        <stp/>
        <stp>BDP|1496945201540748818</stp>
        <tr r="Z87" s="1"/>
      </tp>
      <tp t="s">
        <v>#N/A N/A</v>
        <stp/>
        <stp>BDP|9314188188446524619</stp>
        <tr r="AA688" s="1"/>
      </tp>
      <tp t="s">
        <v>#N/A N/A</v>
        <stp/>
        <stp>BDP|9675948427043783151</stp>
        <tr r="Z508" s="1"/>
      </tp>
      <tp t="s">
        <v>#N/A N/A</v>
        <stp/>
        <stp>BDP|8588670857908108337</stp>
        <tr r="Y127" s="1"/>
      </tp>
      <tp t="s">
        <v>#N/A N/A</v>
        <stp/>
        <stp>BDP|9046317035669953098</stp>
        <tr r="AA710" s="1"/>
      </tp>
      <tp t="s">
        <v>#N/A N/A</v>
        <stp/>
        <stp>BDP|4946628655814365398</stp>
        <tr r="Z691" s="1"/>
      </tp>
      <tp t="s">
        <v>#N/A N/A</v>
        <stp/>
        <stp>BDP|9893416779812123858</stp>
        <tr r="AA1309" s="1"/>
      </tp>
      <tp t="s">
        <v>#N/A N/A</v>
        <stp/>
        <stp>BDP|1569370735837707640</stp>
        <tr r="Y525" s="1"/>
      </tp>
      <tp t="s">
        <v>#N/A N/A</v>
        <stp/>
        <stp>BDP|2199702456501660158</stp>
        <tr r="AA118" s="1"/>
      </tp>
      <tp t="s">
        <v>#N/A N/A</v>
        <stp/>
        <stp>BDP|8935730142599540291</stp>
        <tr r="Y1230" s="1"/>
      </tp>
      <tp t="s">
        <v>#N/A N/A</v>
        <stp/>
        <stp>BDP|6884605427867302580</stp>
        <tr r="Y1050" s="1"/>
      </tp>
      <tp t="s">
        <v>#N/A N/A</v>
        <stp/>
        <stp>BDP|9222694846142192989</stp>
        <tr r="AA588" s="1"/>
      </tp>
      <tp t="s">
        <v>#N/A N/A</v>
        <stp/>
        <stp>BDP|3877161088688533275</stp>
        <tr r="Z97" s="1"/>
      </tp>
      <tp t="s">
        <v>#N/A N/A</v>
        <stp/>
        <stp>BDP|7222462927660290146</stp>
        <tr r="Z723" s="1"/>
      </tp>
      <tp t="s">
        <v>#N/A N/A</v>
        <stp/>
        <stp>BDP|6341083688939211747</stp>
        <tr r="Y884" s="1"/>
      </tp>
      <tp t="s">
        <v>#N/A N/A</v>
        <stp/>
        <stp>BDP|8801638204506368896</stp>
        <tr r="Z311" s="1"/>
      </tp>
      <tp t="s">
        <v>#N/A N/A</v>
        <stp/>
        <stp>BDP|5807339101104905267</stp>
        <tr r="Z674" s="1"/>
      </tp>
      <tp t="s">
        <v>#N/A N/A</v>
        <stp/>
        <stp>BDP|9286072106911083865</stp>
        <tr r="Y797" s="1"/>
      </tp>
      <tp t="s">
        <v>#N/A N/A</v>
        <stp/>
        <stp>BDP|5504167645131364103</stp>
        <tr r="Z1125" s="1"/>
      </tp>
      <tp t="s">
        <v>#N/A N/A</v>
        <stp/>
        <stp>BDP|7448054047205619650</stp>
        <tr r="Y1113" s="1"/>
      </tp>
      <tp t="s">
        <v>#N/A N/A</v>
        <stp/>
        <stp>BDP|4233222141722218061</stp>
        <tr r="Z1212" s="1"/>
      </tp>
      <tp t="s">
        <v>#N/A N/A</v>
        <stp/>
        <stp>BDP|6582320650917496690</stp>
        <tr r="Y333" s="1"/>
      </tp>
      <tp t="s">
        <v>#N/A N/A</v>
        <stp/>
        <stp>BDP|1276254554307023089</stp>
        <tr r="AA1215" s="1"/>
      </tp>
      <tp t="s">
        <v>#N/A N/A</v>
        <stp/>
        <stp>BDP|1230288337410763113</stp>
        <tr r="Y365" s="1"/>
      </tp>
      <tp t="s">
        <v>#N/A N/A</v>
        <stp/>
        <stp>BDP|3739190922213082273</stp>
        <tr r="AA680" s="1"/>
      </tp>
      <tp t="s">
        <v>#N/A N/A</v>
        <stp/>
        <stp>BDP|4440300867824140495</stp>
        <tr r="AA1130" s="1"/>
      </tp>
      <tp t="s">
        <v>#N/A N/A</v>
        <stp/>
        <stp>BDP|8239168814430264997</stp>
        <tr r="Z67" s="1"/>
      </tp>
      <tp t="s">
        <v>#N/A N/A</v>
        <stp/>
        <stp>BDP|9507988957583218732</stp>
        <tr r="Z257" s="1"/>
      </tp>
      <tp t="s">
        <v>#N/A N/A</v>
        <stp/>
        <stp>BDP|7995376061192583117</stp>
        <tr r="AA1154" s="1"/>
      </tp>
      <tp t="s">
        <v>#N/A N/A</v>
        <stp/>
        <stp>BDP|3093749408644170162</stp>
        <tr r="AA1010" s="1"/>
      </tp>
      <tp t="s">
        <v>#N/A N/A</v>
        <stp/>
        <stp>BDP|9419413695297820237</stp>
        <tr r="Z1051" s="1"/>
      </tp>
      <tp t="s">
        <v>#N/A N/A</v>
        <stp/>
        <stp>BDP|5308085260856583450</stp>
        <tr r="AA39" s="1"/>
      </tp>
      <tp t="s">
        <v>#N/A N/A</v>
        <stp/>
        <stp>BDP|6112405223725113485</stp>
        <tr r="Y708" s="1"/>
      </tp>
      <tp t="s">
        <v>#N/A N/A</v>
        <stp/>
        <stp>BDP|8883440662712609906</stp>
        <tr r="Y688" s="1"/>
      </tp>
      <tp t="s">
        <v>#N/A N/A</v>
        <stp/>
        <stp>BDP|1123629926807832358</stp>
        <tr r="AA854" s="1"/>
      </tp>
      <tp t="s">
        <v>#N/A N/A</v>
        <stp/>
        <stp>BDP|3070498680998947689</stp>
        <tr r="Y1248" s="1"/>
      </tp>
      <tp t="s">
        <v>#N/A N/A</v>
        <stp/>
        <stp>BDP|1711792650232091065</stp>
        <tr r="Y235" s="1"/>
      </tp>
      <tp t="s">
        <v>#N/A N/A</v>
        <stp/>
        <stp>BDP|1427573808896128326</stp>
        <tr r="Y785" s="1"/>
      </tp>
      <tp t="s">
        <v>#N/A N/A</v>
        <stp/>
        <stp>BDP|8153982806328005878</stp>
        <tr r="Y360" s="1"/>
      </tp>
      <tp t="s">
        <v>#N/A N/A</v>
        <stp/>
        <stp>BDP|7087295923685307315</stp>
        <tr r="Y870" s="1"/>
      </tp>
      <tp t="s">
        <v>#N/A N/A</v>
        <stp/>
        <stp>BDP|1778118568094796317</stp>
        <tr r="Z921" s="1"/>
      </tp>
      <tp t="s">
        <v>#N/A N/A</v>
        <stp/>
        <stp>BDP|4072911944619960146</stp>
        <tr r="Z312" s="1"/>
      </tp>
      <tp t="s">
        <v>#N/A N/A</v>
        <stp/>
        <stp>BDP|4416556666554701281</stp>
        <tr r="Z757" s="1"/>
      </tp>
      <tp t="s">
        <v>#N/A N/A</v>
        <stp/>
        <stp>BDP|3966041436119370803</stp>
        <tr r="AA653" s="1"/>
      </tp>
      <tp t="s">
        <v>#N/A N/A</v>
        <stp/>
        <stp>BDP|3408260617522488385</stp>
        <tr r="AA108" s="1"/>
      </tp>
      <tp t="s">
        <v>#N/A N/A</v>
        <stp/>
        <stp>BDP|8398136297356651782</stp>
        <tr r="AA607" s="1"/>
      </tp>
      <tp t="s">
        <v>#N/A N/A</v>
        <stp/>
        <stp>BDP|6282035222981367499</stp>
        <tr r="Z225" s="1"/>
      </tp>
      <tp t="s">
        <v>#N/A N/A</v>
        <stp/>
        <stp>BDP|9064958888598204164</stp>
        <tr r="AA755" s="1"/>
      </tp>
      <tp t="s">
        <v>#N/A N/A</v>
        <stp/>
        <stp>BDP|8838036982410727177</stp>
        <tr r="Z125" s="1"/>
      </tp>
      <tp t="s">
        <v>#N/A N/A</v>
        <stp/>
        <stp>BDP|7839409163905371110</stp>
        <tr r="Y1136" s="1"/>
      </tp>
      <tp t="s">
        <v>#N/A N/A</v>
        <stp/>
        <stp>BDP|7801377605356012332</stp>
        <tr r="AA227" s="1"/>
      </tp>
      <tp t="s">
        <v>#N/A N/A</v>
        <stp/>
        <stp>BDP|6941751376694519365</stp>
        <tr r="AA1286" s="1"/>
      </tp>
      <tp t="s">
        <v>#N/A N/A</v>
        <stp/>
        <stp>BDP|4481973935846941960</stp>
        <tr r="Y1221" s="1"/>
      </tp>
      <tp t="s">
        <v>#N/A N/A</v>
        <stp/>
        <stp>BDP|2306809179029420502</stp>
        <tr r="Z568" s="1"/>
      </tp>
      <tp t="s">
        <v>#N/A N/A</v>
        <stp/>
        <stp>BDP|8330794196683122438</stp>
        <tr r="Z495" s="1"/>
      </tp>
      <tp t="s">
        <v>#N/A N/A</v>
        <stp/>
        <stp>BDP|1086559648714583563</stp>
        <tr r="Z319" s="1"/>
      </tp>
      <tp t="s">
        <v>#N/A N/A</v>
        <stp/>
        <stp>BDP|4425170714136193387</stp>
        <tr r="AA41" s="1"/>
      </tp>
      <tp t="s">
        <v>#N/A N/A</v>
        <stp/>
        <stp>BDP|4052389620733244743</stp>
        <tr r="Z1080" s="1"/>
      </tp>
      <tp t="s">
        <v>#N/A N/A</v>
        <stp/>
        <stp>BDP|9416552838357362949</stp>
        <tr r="AA648" s="1"/>
      </tp>
      <tp t="s">
        <v>#N/A N/A</v>
        <stp/>
        <stp>BDP|4704777584688975236</stp>
        <tr r="Z118" s="1"/>
      </tp>
      <tp t="s">
        <v>#N/A N/A</v>
        <stp/>
        <stp>BDP|2522841452148501680</stp>
        <tr r="AA987" s="1"/>
      </tp>
      <tp t="s">
        <v>#N/A N/A</v>
        <stp/>
        <stp>BDP|7430962741389478292</stp>
        <tr r="Z804" s="1"/>
      </tp>
      <tp t="s">
        <v>#N/A N/A</v>
        <stp/>
        <stp>BDP|8228897430926233479</stp>
        <tr r="Y71" s="1"/>
      </tp>
      <tp t="s">
        <v>#N/A N/A</v>
        <stp/>
        <stp>BDP|9853148437762745837</stp>
        <tr r="AA500" s="1"/>
      </tp>
      <tp t="s">
        <v>#N/A N/A</v>
        <stp/>
        <stp>BDP|4879278783878679758</stp>
        <tr r="Y1022" s="1"/>
      </tp>
      <tp t="s">
        <v>#N/A N/A</v>
        <stp/>
        <stp>BDP|3050188637466944697</stp>
        <tr r="Z53" s="1"/>
      </tp>
      <tp t="s">
        <v>#N/A N/A</v>
        <stp/>
        <stp>BDP|3944347902541613068</stp>
        <tr r="AA1201" s="1"/>
      </tp>
      <tp t="s">
        <v>#N/A N/A</v>
        <stp/>
        <stp>BDP|6369921629779669518</stp>
        <tr r="Y1040" s="1"/>
      </tp>
      <tp t="s">
        <v>#N/A N/A</v>
        <stp/>
        <stp>BDP|9747590207445629802</stp>
        <tr r="Y574" s="1"/>
      </tp>
      <tp t="s">
        <v>#N/A N/A</v>
        <stp/>
        <stp>BDP|5067673054326564192</stp>
        <tr r="AA682" s="1"/>
      </tp>
      <tp t="s">
        <v>#N/A N/A</v>
        <stp/>
        <stp>BDP|6721876885750811727</stp>
        <tr r="Z790" s="1"/>
      </tp>
      <tp t="s">
        <v>#N/A N/A</v>
        <stp/>
        <stp>BDP|5310363756925463789</stp>
        <tr r="Y94" s="1"/>
      </tp>
      <tp t="s">
        <v>#N/A N/A</v>
        <stp/>
        <stp>BDP|4694305287098547684</stp>
        <tr r="AA730" s="1"/>
      </tp>
      <tp t="s">
        <v>#N/A N/A</v>
        <stp/>
        <stp>BDP|3638719927696483188</stp>
        <tr r="Y899" s="1"/>
      </tp>
      <tp t="s">
        <v>#N/A N/A</v>
        <stp/>
        <stp>BDP|9957765482956507148</stp>
        <tr r="AA632" s="1"/>
      </tp>
      <tp t="s">
        <v>#N/A N/A</v>
        <stp/>
        <stp>BDP|3376151407741914241</stp>
        <tr r="Y523" s="1"/>
      </tp>
      <tp t="s">
        <v>#N/A N/A</v>
        <stp/>
        <stp>BDP|4158185152085123460</stp>
        <tr r="Z1224" s="1"/>
      </tp>
      <tp t="s">
        <v>#N/A N/A</v>
        <stp/>
        <stp>BDP|8375895387771712866</stp>
        <tr r="Z1268" s="1"/>
      </tp>
      <tp t="s">
        <v>#N/A N/A</v>
        <stp/>
        <stp>BDP|6439228279781698350</stp>
        <tr r="Y1080" s="1"/>
      </tp>
      <tp t="s">
        <v>#N/A N/A</v>
        <stp/>
        <stp>BDP|9495252303363976978</stp>
        <tr r="Z1154" s="1"/>
      </tp>
      <tp t="s">
        <v>#N/A N/A</v>
        <stp/>
        <stp>BDP|2300698948526641790</stp>
        <tr r="AA800" s="1"/>
      </tp>
      <tp t="s">
        <v>#N/A N/A</v>
        <stp/>
        <stp>BDP|3986762698044809820</stp>
        <tr r="Y828" s="1"/>
      </tp>
      <tp t="s">
        <v>#N/A N/A</v>
        <stp/>
        <stp>BDP|8131907539322009155</stp>
        <tr r="Y66" s="1"/>
      </tp>
      <tp t="s">
        <v>#N/A N/A</v>
        <stp/>
        <stp>BDP|9611978629530516308</stp>
        <tr r="Z855" s="1"/>
      </tp>
      <tp t="s">
        <v>#N/A N/A</v>
        <stp/>
        <stp>BDP|4533005128452573551</stp>
        <tr r="Z1238" s="1"/>
      </tp>
      <tp t="s">
        <v>#N/A N/A</v>
        <stp/>
        <stp>BDP|4351155933326158192</stp>
        <tr r="Z1221" s="1"/>
      </tp>
      <tp t="s">
        <v>#N/A N/A</v>
        <stp/>
        <stp>BDP|6811556346317665104</stp>
        <tr r="AA663" s="1"/>
      </tp>
      <tp t="s">
        <v>#N/A N/A</v>
        <stp/>
        <stp>BDP|4683067743115761465</stp>
        <tr r="AA23" s="1"/>
      </tp>
      <tp t="s">
        <v>#N/A N/A</v>
        <stp/>
        <stp>BDP|6270612965345683223</stp>
        <tr r="Y33" s="1"/>
      </tp>
      <tp t="s">
        <v>#N/A N/A</v>
        <stp/>
        <stp>BDP|3473586732906944253</stp>
        <tr r="AA426" s="1"/>
      </tp>
      <tp t="s">
        <v>#N/A N/A</v>
        <stp/>
        <stp>BDP|1406820198315597494</stp>
        <tr r="Y957" s="1"/>
      </tp>
      <tp t="s">
        <v>#N/A N/A</v>
        <stp/>
        <stp>BDP|9313620580845509367</stp>
        <tr r="Y199" s="1"/>
      </tp>
      <tp t="s">
        <v>#N/A N/A</v>
        <stp/>
        <stp>BDP|9283136532908235235</stp>
        <tr r="Y607" s="1"/>
      </tp>
      <tp t="s">
        <v>#N/A N/A</v>
        <stp/>
        <stp>BDP|9234076755978682546</stp>
        <tr r="Z132" s="1"/>
      </tp>
      <tp t="s">
        <v>#N/A N/A</v>
        <stp/>
        <stp>BDP|4408702740862694401</stp>
        <tr r="Y918" s="1"/>
      </tp>
      <tp t="s">
        <v>#N/A N/A</v>
        <stp/>
        <stp>BDP|9914889364287199165</stp>
        <tr r="Y469" s="1"/>
      </tp>
      <tp t="s">
        <v>#N/A N/A</v>
        <stp/>
        <stp>BDP|9187873113604172573</stp>
        <tr r="AA509" s="1"/>
      </tp>
      <tp t="s">
        <v>#N/A N/A</v>
        <stp/>
        <stp>BDP|6784091658751174340</stp>
        <tr r="Y82" s="1"/>
      </tp>
      <tp t="s">
        <v>#N/A N/A</v>
        <stp/>
        <stp>BDP|4136109552655021406</stp>
        <tr r="AA993" s="1"/>
      </tp>
      <tp t="s">
        <v>#N/A N/A</v>
        <stp/>
        <stp>BDP|3281004928684822416</stp>
        <tr r="Y28" s="1"/>
      </tp>
      <tp t="s">
        <v>#N/A N/A</v>
        <stp/>
        <stp>BDP|2700446561687109600</stp>
        <tr r="AA637" s="1"/>
      </tp>
      <tp t="s">
        <v>#N/A N/A</v>
        <stp/>
        <stp>BDP|4969698518306950428</stp>
        <tr r="Z511" s="1"/>
      </tp>
      <tp t="s">
        <v>#N/A N/A</v>
        <stp/>
        <stp>BDP|7630135020565394059</stp>
        <tr r="AA1269" s="1"/>
      </tp>
      <tp t="s">
        <v>#N/A N/A</v>
        <stp/>
        <stp>BDP|2677706804651224536</stp>
        <tr r="AA1313" s="1"/>
      </tp>
      <tp t="s">
        <v>#N/A N/A</v>
        <stp/>
        <stp>BDP|5100243355306604555</stp>
        <tr r="Z942" s="1"/>
      </tp>
      <tp t="s">
        <v>#N/A N/A</v>
        <stp/>
        <stp>BDP|1988963659009184545</stp>
        <tr r="Z858" s="1"/>
      </tp>
      <tp t="s">
        <v>#N/A N/A</v>
        <stp/>
        <stp>BDP|2101449261237044646</stp>
        <tr r="AA1001" s="1"/>
      </tp>
      <tp t="s">
        <v>#N/A N/A</v>
        <stp/>
        <stp>BDP|7032124160084580576</stp>
        <tr r="Z333" s="1"/>
      </tp>
      <tp t="s">
        <v>#N/A N/A</v>
        <stp/>
        <stp>BDP|6059365657037182600</stp>
        <tr r="Z489" s="1"/>
      </tp>
      <tp t="s">
        <v>#N/A N/A</v>
        <stp/>
        <stp>BDP|3829185767865520027</stp>
        <tr r="AA201" s="1"/>
      </tp>
      <tp t="s">
        <v>#N/A N/A</v>
        <stp/>
        <stp>BDP|1020269627515013512</stp>
        <tr r="Y119" s="1"/>
      </tp>
      <tp t="s">
        <v>#N/A N/A</v>
        <stp/>
        <stp>BDP|3043640937800755749</stp>
        <tr r="AA1066" s="1"/>
      </tp>
      <tp t="s">
        <v>#N/A N/A</v>
        <stp/>
        <stp>BDP|8913845799578358077</stp>
        <tr r="Z347" s="1"/>
      </tp>
      <tp t="s">
        <v>#N/A N/A</v>
        <stp/>
        <stp>BDP|2638558024453599720</stp>
        <tr r="AA1261" s="1"/>
      </tp>
      <tp t="s">
        <v>#N/A N/A</v>
        <stp/>
        <stp>BDP|8288531702068113431</stp>
        <tr r="Z43" s="1"/>
      </tp>
      <tp t="s">
        <v>#N/A N/A</v>
        <stp/>
        <stp>BDP|1318973183937201642</stp>
        <tr r="Y1015" s="1"/>
      </tp>
      <tp t="s">
        <v>#N/A N/A</v>
        <stp/>
        <stp>BDP|1220700227170581511</stp>
        <tr r="AA339" s="1"/>
      </tp>
      <tp t="s">
        <v>#N/A N/A</v>
        <stp/>
        <stp>BDP|4853431928867644444</stp>
        <tr r="Z799" s="1"/>
      </tp>
      <tp t="s">
        <v>#N/A N/A</v>
        <stp/>
        <stp>BDP|3057675104763084720</stp>
        <tr r="AA775" s="1"/>
      </tp>
      <tp t="s">
        <v>#N/A N/A</v>
        <stp/>
        <stp>BDP|1778212167647603360</stp>
        <tr r="AA692" s="1"/>
      </tp>
      <tp t="s">
        <v>#N/A N/A</v>
        <stp/>
        <stp>BDP|8031860038987789580</stp>
        <tr r="Z544" s="1"/>
      </tp>
      <tp t="s">
        <v>#N/A N/A</v>
        <stp/>
        <stp>BDP|5277779073897035377</stp>
        <tr r="Z887" s="1"/>
      </tp>
      <tp t="s">
        <v>#N/A N/A</v>
        <stp/>
        <stp>BDP|6896389687628349450</stp>
        <tr r="Y483" s="1"/>
      </tp>
      <tp t="s">
        <v>#N/A N/A</v>
        <stp/>
        <stp>BDP|7119510568396011396</stp>
        <tr r="AA1292" s="1"/>
      </tp>
      <tp t="s">
        <v>#N/A N/A</v>
        <stp/>
        <stp>BDP|4507756164971720528</stp>
        <tr r="AA356" s="1"/>
      </tp>
      <tp t="s">
        <v>#N/A N/A</v>
        <stp/>
        <stp>BDP|4362560955454876190</stp>
        <tr r="Y1227" s="1"/>
      </tp>
      <tp t="s">
        <v>#N/A N/A</v>
        <stp/>
        <stp>BDP|7186256741888570817</stp>
        <tr r="Y515" s="1"/>
      </tp>
      <tp t="s">
        <v>#N/A N/A</v>
        <stp/>
        <stp>BDP|7927909850289828376</stp>
        <tr r="Y1016" s="1"/>
      </tp>
      <tp t="s">
        <v>#N/A N/A</v>
        <stp/>
        <stp>BDP|5527930011784715868</stp>
        <tr r="AA124" s="1"/>
      </tp>
      <tp t="s">
        <v>#N/A N/A</v>
        <stp/>
        <stp>BDP|2323008071797041347</stp>
        <tr r="Y1213" s="1"/>
      </tp>
      <tp t="s">
        <v>#N/A N/A</v>
        <stp/>
        <stp>BDP|4534047056728742866</stp>
        <tr r="AA917" s="1"/>
      </tp>
      <tp t="s">
        <v>#N/A N/A</v>
        <stp/>
        <stp>BDP|3992188576576708265</stp>
        <tr r="Z476" s="1"/>
      </tp>
      <tp t="s">
        <v>#N/A N/A</v>
        <stp/>
        <stp>BDP|1193550361447157428</stp>
        <tr r="AA547" s="1"/>
      </tp>
      <tp t="s">
        <v>#N/A N/A</v>
        <stp/>
        <stp>BDP|4574025822806396103</stp>
        <tr r="Z1155" s="1"/>
      </tp>
      <tp t="s">
        <v>#N/A N/A</v>
        <stp/>
        <stp>BDP|9295553384845735027</stp>
        <tr r="Z503" s="1"/>
      </tp>
      <tp t="s">
        <v>#N/A N/A</v>
        <stp/>
        <stp>BDP|6494074222724562135</stp>
        <tr r="AA1308" s="1"/>
      </tp>
      <tp t="s">
        <v>#N/A N/A</v>
        <stp/>
        <stp>BDP|4197463627751282258</stp>
        <tr r="Z889" s="1"/>
      </tp>
      <tp t="s">
        <v>#N/A N/A</v>
        <stp/>
        <stp>BDP|2790693481239016484</stp>
        <tr r="Y618" s="1"/>
      </tp>
      <tp t="s">
        <v>#N/A N/A</v>
        <stp/>
        <stp>BDP|7260296706826819224</stp>
        <tr r="AA545" s="1"/>
      </tp>
      <tp t="s">
        <v>#N/A N/A</v>
        <stp/>
        <stp>BDP|8299671773071501944</stp>
        <tr r="AA1053" s="1"/>
      </tp>
      <tp t="s">
        <v>#N/A N/A</v>
        <stp/>
        <stp>BDP|7991855949098151237</stp>
        <tr r="AA1310" s="1"/>
      </tp>
      <tp t="s">
        <v>#N/A N/A</v>
        <stp/>
        <stp>BDP|5670443671196093142</stp>
        <tr r="Z773" s="1"/>
      </tp>
      <tp t="s">
        <v>#N/A N/A</v>
        <stp/>
        <stp>BDP|2906991727150763877</stp>
        <tr r="Z712" s="1"/>
      </tp>
      <tp t="s">
        <v>#N/A N/A</v>
        <stp/>
        <stp>BDP|3071669151959868881</stp>
        <tr r="Y915" s="1"/>
      </tp>
      <tp t="s">
        <v>#N/A N/A</v>
        <stp/>
        <stp>BDP|1756020315145019470</stp>
        <tr r="Z899" s="1"/>
      </tp>
      <tp t="s">
        <v>#N/A N/A</v>
        <stp/>
        <stp>BDP|5868472881798135086</stp>
        <tr r="AA142" s="1"/>
      </tp>
      <tp t="s">
        <v>#N/A N/A</v>
        <stp/>
        <stp>BDP|1988129338604675618</stp>
        <tr r="AA937" s="1"/>
      </tp>
      <tp t="s">
        <v>#N/A N/A</v>
        <stp/>
        <stp>BDP|5352408915354277501</stp>
        <tr r="Z1132" s="1"/>
      </tp>
      <tp t="s">
        <v>#N/A N/A</v>
        <stp/>
        <stp>BDP|3304569035732673622</stp>
        <tr r="Z140" s="1"/>
      </tp>
      <tp t="s">
        <v>#N/A N/A</v>
        <stp/>
        <stp>BDP|8007108663619271753</stp>
        <tr r="AA1108" s="1"/>
      </tp>
      <tp t="s">
        <v>#N/A N/A</v>
        <stp/>
        <stp>BDP|6481272804870006532</stp>
        <tr r="Y789" s="1"/>
      </tp>
      <tp t="s">
        <v>#N/A N/A</v>
        <stp/>
        <stp>BDP|2473933693023466041</stp>
        <tr r="Z682" s="1"/>
      </tp>
      <tp t="s">
        <v>#N/A N/A</v>
        <stp/>
        <stp>BDP|6664781368391127734</stp>
        <tr r="AA1161" s="1"/>
      </tp>
      <tp t="s">
        <v>#N/A N/A</v>
        <stp/>
        <stp>BDP|2869187826011088130</stp>
        <tr r="Y566" s="1"/>
      </tp>
      <tp t="s">
        <v>#N/A N/A</v>
        <stp/>
        <stp>BDP|8290541265013690909</stp>
        <tr r="Y1093" s="1"/>
      </tp>
      <tp t="s">
        <v>#N/A N/A</v>
        <stp/>
        <stp>BDP|9100468662659236327</stp>
        <tr r="AA279" s="1"/>
      </tp>
      <tp t="s">
        <v>#N/A N/A</v>
        <stp/>
        <stp>BDP|9731437887482661609</stp>
        <tr r="Y641" s="1"/>
      </tp>
      <tp t="s">
        <v>#N/A N/A</v>
        <stp/>
        <stp>BDP|4218472579711884712</stp>
        <tr r="AA1317" s="1"/>
      </tp>
      <tp t="s">
        <v>#N/A N/A</v>
        <stp/>
        <stp>BDP|6836906410646570985</stp>
        <tr r="Y308" s="1"/>
      </tp>
      <tp t="s">
        <v>#N/A N/A</v>
        <stp/>
        <stp>BDP|2364540365527670714</stp>
        <tr r="Y459" s="1"/>
      </tp>
      <tp t="s">
        <v>#N/A N/A</v>
        <stp/>
        <stp>BDP|4882164243113044389</stp>
        <tr r="Z101" s="1"/>
      </tp>
      <tp t="s">
        <v>#N/A N/A</v>
        <stp/>
        <stp>BDP|2644936252268666746</stp>
        <tr r="Z119" s="1"/>
      </tp>
      <tp t="s">
        <v>#N/A N/A</v>
        <stp/>
        <stp>BDP|5043110931415650335</stp>
        <tr r="AA1257" s="1"/>
      </tp>
      <tp t="s">
        <v>#N/A N/A</v>
        <stp/>
        <stp>BDP|4259633206282067120</stp>
        <tr r="Z582" s="1"/>
      </tp>
      <tp t="s">
        <v>#N/A N/A</v>
        <stp/>
        <stp>BDP|4859642828900906189</stp>
        <tr r="AA883" s="1"/>
      </tp>
      <tp t="s">
        <v>#N/A N/A</v>
        <stp/>
        <stp>BDP|6926827189565572220</stp>
        <tr r="Y633" s="1"/>
      </tp>
      <tp t="s">
        <v>#N/A N/A</v>
        <stp/>
        <stp>BDP|4520230241206121534</stp>
        <tr r="Z94" s="1"/>
      </tp>
      <tp t="s">
        <v>#N/A N/A</v>
        <stp/>
        <stp>BDP|5244330722756930008</stp>
        <tr r="AA315" s="1"/>
      </tp>
      <tp t="s">
        <v>#N/A N/A</v>
        <stp/>
        <stp>BDP|3109583114225285051</stp>
        <tr r="Z120" s="1"/>
      </tp>
      <tp t="s">
        <v>#N/A N/A</v>
        <stp/>
        <stp>BDP|3323697141575476659</stp>
        <tr r="Z1050" s="1"/>
      </tp>
      <tp t="s">
        <v>#N/A N/A</v>
        <stp/>
        <stp>BDP|2740923089125432426</stp>
        <tr r="AA1142" s="1"/>
      </tp>
      <tp t="s">
        <v>#N/A N/A</v>
        <stp/>
        <stp>BDP|5561337319334183149</stp>
        <tr r="Z245" s="1"/>
      </tp>
      <tp t="s">
        <v>#N/A N/A</v>
        <stp/>
        <stp>BDP|1614361676446581199</stp>
        <tr r="Y705" s="1"/>
      </tp>
      <tp t="s">
        <v>#N/A N/A</v>
        <stp/>
        <stp>BDP|3424300195218335385</stp>
        <tr r="Y179" s="1"/>
      </tp>
      <tp t="s">
        <v>#N/A N/A</v>
        <stp/>
        <stp>BDP|2293823762778932606</stp>
        <tr r="AA1065" s="1"/>
      </tp>
      <tp t="s">
        <v>#N/A N/A</v>
        <stp/>
        <stp>BDP|3745179754711779485</stp>
        <tr r="Y698" s="1"/>
      </tp>
      <tp t="s">
        <v>#N/A N/A</v>
        <stp/>
        <stp>BDP|1220778112117510291</stp>
        <tr r="Y948" s="1"/>
      </tp>
      <tp t="s">
        <v>#N/A N/A</v>
        <stp/>
        <stp>BDP|8639551369201739862</stp>
        <tr r="Z1172" s="1"/>
      </tp>
      <tp t="s">
        <v>#N/A N/A</v>
        <stp/>
        <stp>BDP|5649482164762562744</stp>
        <tr r="Y749" s="1"/>
      </tp>
      <tp t="s">
        <v>#N/A N/A</v>
        <stp/>
        <stp>BDP|9547633798852249678</stp>
        <tr r="AA1049" s="1"/>
      </tp>
      <tp t="s">
        <v>#N/A N/A</v>
        <stp/>
        <stp>BDP|9024089519809934332</stp>
        <tr r="Z557" s="1"/>
      </tp>
      <tp t="s">
        <v>#N/A N/A</v>
        <stp/>
        <stp>BDP|3503438518706569230</stp>
        <tr r="AA1079" s="1"/>
      </tp>
      <tp t="s">
        <v>#N/A N/A</v>
        <stp/>
        <stp>BDP|3628231662082892772</stp>
        <tr r="AA62" s="1"/>
      </tp>
      <tp t="s">
        <v>#N/A N/A</v>
        <stp/>
        <stp>BDP|1482592248293937145</stp>
        <tr r="Y184" s="1"/>
      </tp>
      <tp t="s">
        <v>#N/A N/A</v>
        <stp/>
        <stp>BDP|5246596613941953298</stp>
        <tr r="Y788" s="1"/>
      </tp>
      <tp t="s">
        <v>#N/A N/A</v>
        <stp/>
        <stp>BDP|5625288844923531268</stp>
        <tr r="Y858" s="1"/>
      </tp>
      <tp t="s">
        <v>#N/A N/A</v>
        <stp/>
        <stp>BDP|5794911876031986808</stp>
        <tr r="Z762" s="1"/>
      </tp>
      <tp t="s">
        <v>#N/A N/A</v>
        <stp/>
        <stp>BDP|7933085922380997733</stp>
        <tr r="Z117" s="1"/>
      </tp>
      <tp t="s">
        <v>#N/A N/A</v>
        <stp/>
        <stp>BDP|6959020218981801423</stp>
        <tr r="Z452" s="1"/>
      </tp>
      <tp t="s">
        <v>#N/A N/A</v>
        <stp/>
        <stp>BDP|4371592830384265411</stp>
        <tr r="Z69" s="1"/>
      </tp>
      <tp t="s">
        <v>#N/A N/A</v>
        <stp/>
        <stp>BDP|6699826766783947929</stp>
        <tr r="Y716" s="1"/>
      </tp>
      <tp t="s">
        <v>#N/A N/A</v>
        <stp/>
        <stp>BDP|7967650525573319234</stp>
        <tr r="Y1157" s="1"/>
      </tp>
      <tp t="s">
        <v>#N/A N/A</v>
        <stp/>
        <stp>BDP|7183499339596044486</stp>
        <tr r="AA1117" s="1"/>
      </tp>
      <tp t="s">
        <v>#N/A N/A</v>
        <stp/>
        <stp>BDP|5455711004284790484</stp>
        <tr r="Z539" s="1"/>
      </tp>
      <tp t="s">
        <v>#N/A N/A</v>
        <stp/>
        <stp>BDP|6773075549993261350</stp>
        <tr r="Y387" s="1"/>
      </tp>
      <tp t="s">
        <v>#N/A N/A</v>
        <stp/>
        <stp>BDP|8572642773618457389</stp>
        <tr r="AA1042" s="1"/>
      </tp>
      <tp t="s">
        <v>#N/A N/A</v>
        <stp/>
        <stp>BDP|1412902044139880764</stp>
        <tr r="Z947" s="1"/>
      </tp>
      <tp t="s">
        <v>#N/A N/A</v>
        <stp/>
        <stp>BDP|5435568834022900319</stp>
        <tr r="Z28" s="1"/>
      </tp>
      <tp t="s">
        <v>#N/A N/A</v>
        <stp/>
        <stp>BDP|6099265129304025019</stp>
        <tr r="AA1198" s="1"/>
      </tp>
      <tp t="s">
        <v>#N/A N/A</v>
        <stp/>
        <stp>BDP|9185982726937720766</stp>
        <tr r="Y14" s="1"/>
      </tp>
      <tp t="s">
        <v>#N/A N/A</v>
        <stp/>
        <stp>BDP|2834169424300042355</stp>
        <tr r="Z396" s="1"/>
      </tp>
      <tp t="s">
        <v>#N/A N/A</v>
        <stp/>
        <stp>BDP|7291435268766519132</stp>
        <tr r="Y349" s="1"/>
      </tp>
      <tp t="s">
        <v>#N/A N/A</v>
        <stp/>
        <stp>BDP|9227851388552450949</stp>
        <tr r="Y887" s="1"/>
      </tp>
      <tp t="s">
        <v>#N/A N/A</v>
        <stp/>
        <stp>BDP|9068808068041708403</stp>
        <tr r="Y299" s="1"/>
      </tp>
      <tp t="s">
        <v>#N/A N/A</v>
        <stp/>
        <stp>BDP|4081160137763964777</stp>
        <tr r="Z194" s="1"/>
      </tp>
      <tp t="s">
        <v>#N/A N/A</v>
        <stp/>
        <stp>BDP|1951186481062953866</stp>
        <tr r="AA926" s="1"/>
      </tp>
      <tp t="s">
        <v>#N/A N/A</v>
        <stp/>
        <stp>BDP|3582297526146646703</stp>
        <tr r="AA985" s="1"/>
      </tp>
      <tp t="s">
        <v>#N/A N/A</v>
        <stp/>
        <stp>BDP|4580391394089013543</stp>
        <tr r="Z491" s="1"/>
      </tp>
      <tp t="s">
        <v>#N/A N/A</v>
        <stp/>
        <stp>BDP|3482066083531945841</stp>
        <tr r="Z789" s="1"/>
      </tp>
      <tp t="s">
        <v>#N/A N/A</v>
        <stp/>
        <stp>BDP|3082257305383475085</stp>
        <tr r="AA30" s="1"/>
      </tp>
      <tp t="s">
        <v>#N/A N/A</v>
        <stp/>
        <stp>BDP|7662243503860841758</stp>
        <tr r="AA56" s="1"/>
      </tp>
      <tp t="s">
        <v>#N/A N/A</v>
        <stp/>
        <stp>BDP|2020247189289289339</stp>
        <tr r="Z902" s="1"/>
      </tp>
      <tp t="s">
        <v>#N/A N/A</v>
        <stp/>
        <stp>BDP|1908259412418008834</stp>
        <tr r="AA168" s="1"/>
      </tp>
      <tp t="s">
        <v>#N/A N/A</v>
        <stp/>
        <stp>BDP|9034811178066285263</stp>
        <tr r="Z210" s="1"/>
      </tp>
      <tp t="s">
        <v>#N/A N/A</v>
        <stp/>
        <stp>BDP|3721876469386341978</stp>
        <tr r="AA659" s="1"/>
      </tp>
      <tp t="s">
        <v>#N/A N/A</v>
        <stp/>
        <stp>BDP|7800029106283014615</stp>
        <tr r="Y1285" s="1"/>
      </tp>
      <tp t="s">
        <v>#N/A N/A</v>
        <stp/>
        <stp>BDP|1768126978131115410</stp>
        <tr r="Y1108" s="1"/>
      </tp>
      <tp t="s">
        <v>#N/A N/A</v>
        <stp/>
        <stp>BDP|2848386859313025541</stp>
        <tr r="AA1127" s="1"/>
      </tp>
      <tp t="s">
        <v>#N/A N/A</v>
        <stp/>
        <stp>BDP|2928197689588306188</stp>
        <tr r="Z805" s="1"/>
      </tp>
      <tp t="s">
        <v>#N/A N/A</v>
        <stp/>
        <stp>BDP|8682100394405373731</stp>
        <tr r="AA382" s="1"/>
      </tp>
      <tp t="s">
        <v>#N/A N/A</v>
        <stp/>
        <stp>BDP|1536499034636238285</stp>
        <tr r="Y309" s="1"/>
      </tp>
      <tp t="s">
        <v>#N/A N/A</v>
        <stp/>
        <stp>BDP|2514540349438369999</stp>
        <tr r="Z642" s="1"/>
      </tp>
      <tp t="s">
        <v>#N/A N/A</v>
        <stp/>
        <stp>BDP|4538937404396999992</stp>
        <tr r="Y253" s="1"/>
      </tp>
      <tp t="s">
        <v>#N/A N/A</v>
        <stp/>
        <stp>BDP|8691963623300803197</stp>
        <tr r="AA1059" s="1"/>
      </tp>
      <tp t="s">
        <v>#N/A N/A</v>
        <stp/>
        <stp>BDP|6517279074998771935</stp>
        <tr r="Z583" s="1"/>
      </tp>
      <tp t="s">
        <v>#N/A N/A</v>
        <stp/>
        <stp>BDP|6233510632493058136</stp>
        <tr r="Y584" s="1"/>
      </tp>
      <tp t="s">
        <v>#N/A N/A</v>
        <stp/>
        <stp>BDP|8336123199754264687</stp>
        <tr r="Y500" s="1"/>
      </tp>
      <tp t="s">
        <v>#N/A N/A</v>
        <stp/>
        <stp>BDP|8424307615801023924</stp>
        <tr r="Z167" s="1"/>
      </tp>
      <tp t="s">
        <v>#N/A N/A</v>
        <stp/>
        <stp>BDP|6254965850739392144</stp>
        <tr r="AA1158" s="1"/>
      </tp>
      <tp t="s">
        <v>#N/A N/A</v>
        <stp/>
        <stp>BDP|4499347225314284348</stp>
        <tr r="Y1100" s="1"/>
      </tp>
      <tp t="s">
        <v>#N/A N/A</v>
        <stp/>
        <stp>BDP|4200223272667723469</stp>
        <tr r="Z979" s="1"/>
      </tp>
      <tp t="s">
        <v>#N/A N/A</v>
        <stp/>
        <stp>BDP|4255609727893049161</stp>
        <tr r="AA893" s="1"/>
      </tp>
      <tp t="s">
        <v>#N/A N/A</v>
        <stp/>
        <stp>BDP|3731790374699137887</stp>
        <tr r="AA947" s="1"/>
      </tp>
      <tp t="s">
        <v>#N/A N/A</v>
        <stp/>
        <stp>BDP|7439576454170252564</stp>
        <tr r="Y520" s="1"/>
      </tp>
      <tp t="s">
        <v>#N/A N/A</v>
        <stp/>
        <stp>BDP|3050131420453723176</stp>
        <tr r="AA323" s="1"/>
      </tp>
      <tp t="s">
        <v>#N/A N/A</v>
        <stp/>
        <stp>BDP|6385136053704265428</stp>
        <tr r="Y907" s="1"/>
      </tp>
      <tp t="s">
        <v>#N/A N/A</v>
        <stp/>
        <stp>BDP|4661977931759761546</stp>
        <tr r="AA880" s="1"/>
      </tp>
      <tp t="s">
        <v>#N/A N/A</v>
        <stp/>
        <stp>BDP|8677414202478093656</stp>
        <tr r="Y411" s="1"/>
      </tp>
      <tp t="s">
        <v>#N/A N/A</v>
        <stp/>
        <stp>BDP|5051245484379420449</stp>
        <tr r="Y600" s="1"/>
      </tp>
      <tp t="s">
        <v>#N/A N/A</v>
        <stp/>
        <stp>BDP|7631168566532703015</stp>
        <tr r="Y666" s="1"/>
      </tp>
      <tp t="s">
        <v>#N/A N/A</v>
        <stp/>
        <stp>BDP|7999507748590256434</stp>
        <tr r="AA123" s="1"/>
      </tp>
      <tp t="s">
        <v>#N/A N/A</v>
        <stp/>
        <stp>BDP|2030512902813271614</stp>
        <tr r="AA1126" s="1"/>
      </tp>
      <tp t="s">
        <v>#N/A N/A</v>
        <stp/>
        <stp>BDP|2333633331926476353</stp>
        <tr r="AA1251" s="1"/>
      </tp>
      <tp t="s">
        <v>#N/A N/A</v>
        <stp/>
        <stp>BDP|8914597157598472238</stp>
        <tr r="Z598" s="1"/>
      </tp>
      <tp t="s">
        <v>#N/A N/A</v>
        <stp/>
        <stp>BDP|6064209800017925193</stp>
        <tr r="Z883" s="1"/>
      </tp>
      <tp t="s">
        <v>#N/A N/A</v>
        <stp/>
        <stp>BDP|1614748761081162321</stp>
        <tr r="Y920" s="1"/>
      </tp>
      <tp t="s">
        <v>#N/A N/A</v>
        <stp/>
        <stp>BDP|7523480108090026153</stp>
        <tr r="AA876" s="1"/>
      </tp>
      <tp t="s">
        <v>#N/A N/A</v>
        <stp/>
        <stp>BDP|7494825290312740619</stp>
        <tr r="AA252" s="1"/>
      </tp>
      <tp t="s">
        <v>#N/A N/A</v>
        <stp/>
        <stp>BDP|6530715505194839792</stp>
        <tr r="Z1182" s="1"/>
      </tp>
      <tp t="s">
        <v>#N/A N/A</v>
        <stp/>
        <stp>BDP|4861493455130599707</stp>
        <tr r="Z1009" s="1"/>
      </tp>
      <tp t="s">
        <v>#N/A N/A</v>
        <stp/>
        <stp>BDP|6049441032237699412</stp>
        <tr r="Y65" s="1"/>
      </tp>
      <tp t="s">
        <v>#N/A N/A</v>
        <stp/>
        <stp>BDP|6285250918576849168</stp>
        <tr r="Z733" s="1"/>
      </tp>
      <tp t="s">
        <v>#N/A N/A</v>
        <stp/>
        <stp>BDP|4134222760516081429</stp>
        <tr r="Y1310" s="1"/>
      </tp>
      <tp t="s">
        <v>#N/A N/A</v>
        <stp/>
        <stp>BDP|5012041327697450267</stp>
        <tr r="Z1041" s="1"/>
      </tp>
      <tp t="s">
        <v>#N/A N/A</v>
        <stp/>
        <stp>BDP|2566131220281216250</stp>
        <tr r="Y668" s="1"/>
      </tp>
      <tp t="s">
        <v>#N/A N/A</v>
        <stp/>
        <stp>BDP|4654345016697794329</stp>
        <tr r="Z1308" s="1"/>
      </tp>
      <tp t="s">
        <v>#N/A N/A</v>
        <stp/>
        <stp>BDP|7169869679638060284</stp>
        <tr r="Z353" s="1"/>
      </tp>
      <tp t="s">
        <v>#N/A N/A</v>
        <stp/>
        <stp>BDP|9394955360782791679</stp>
        <tr r="Z237" s="1"/>
      </tp>
      <tp t="s">
        <v>#N/A N/A</v>
        <stp/>
        <stp>BDP|9299170782011827390</stp>
        <tr r="Y1271" s="1"/>
      </tp>
      <tp t="s">
        <v>#N/A N/A</v>
        <stp/>
        <stp>BDP|7389480759882436609</stp>
        <tr r="Z493" s="1"/>
      </tp>
      <tp t="s">
        <v>#N/A N/A</v>
        <stp/>
        <stp>BDP|8198726086697533260</stp>
        <tr r="Z828" s="1"/>
      </tp>
      <tp t="s">
        <v>#N/A N/A</v>
        <stp/>
        <stp>BDP|9095804015103014130</stp>
        <tr r="Z175" s="1"/>
      </tp>
      <tp t="s">
        <v>#N/A N/A</v>
        <stp/>
        <stp>BDP|7104565504220526002</stp>
        <tr r="Z1077" s="1"/>
      </tp>
      <tp t="s">
        <v>#N/A N/A</v>
        <stp/>
        <stp>BDP|2521405118027921222</stp>
        <tr r="AA743" s="1"/>
      </tp>
      <tp t="s">
        <v>#N/A N/A</v>
        <stp/>
        <stp>BDP|2563647111672405521</stp>
        <tr r="Y217" s="1"/>
      </tp>
      <tp t="s">
        <v>#N/A N/A</v>
        <stp/>
        <stp>BDP|5442128154943436019</stp>
        <tr r="Z1112" s="1"/>
      </tp>
      <tp t="s">
        <v>#N/A N/A</v>
        <stp/>
        <stp>BDP|8102799363818806340</stp>
        <tr r="AA1017" s="1"/>
      </tp>
      <tp t="s">
        <v>#N/A N/A</v>
        <stp/>
        <stp>BDP|5279102889627556994</stp>
        <tr r="Z89" s="1"/>
      </tp>
      <tp t="s">
        <v>#N/A N/A</v>
        <stp/>
        <stp>BDP|6366464851493150621</stp>
        <tr r="AA1169" s="1"/>
      </tp>
      <tp t="s">
        <v>#N/A N/A</v>
        <stp/>
        <stp>BDP|8212518182957708012</stp>
        <tr r="AA1220" s="1"/>
      </tp>
      <tp t="s">
        <v>#N/A N/A</v>
        <stp/>
        <stp>BDP|2561052768477746180</stp>
        <tr r="Y155" s="1"/>
      </tp>
      <tp t="s">
        <v>#N/A N/A</v>
        <stp/>
        <stp>BDP|9240177398995129681</stp>
        <tr r="Z882" s="1"/>
      </tp>
      <tp t="s">
        <v>#N/A N/A</v>
        <stp/>
        <stp>BDP|6311328889297901853</stp>
        <tr r="Y1103" s="1"/>
      </tp>
      <tp t="s">
        <v>#N/A N/A</v>
        <stp/>
        <stp>BDP|3215377242353392506</stp>
        <tr r="Z546" s="1"/>
      </tp>
      <tp t="s">
        <v>#N/A N/A</v>
        <stp/>
        <stp>BDP|3385550101136456271</stp>
        <tr r="AA167" s="1"/>
      </tp>
      <tp t="s">
        <v>#N/A N/A</v>
        <stp/>
        <stp>BDP|4158666022281088314</stp>
        <tr r="AA529" s="1"/>
      </tp>
      <tp t="s">
        <v>#N/A N/A</v>
        <stp/>
        <stp>BDP|6323632313952616117</stp>
        <tr r="AA597" s="1"/>
      </tp>
      <tp t="s">
        <v>#N/A N/A</v>
        <stp/>
        <stp>BDP|7525139709513971727</stp>
        <tr r="Y425" s="1"/>
      </tp>
      <tp t="s">
        <v>#N/A N/A</v>
        <stp/>
        <stp>BDP|1473243960066709134</stp>
        <tr r="AA764" s="1"/>
      </tp>
      <tp t="s">
        <v>#N/A N/A</v>
        <stp/>
        <stp>BDP|4781754511417790701</stp>
        <tr r="Y427" s="1"/>
      </tp>
      <tp t="s">
        <v>#N/A N/A</v>
        <stp/>
        <stp>BDP|7112233657145627773</stp>
        <tr r="Y331" s="1"/>
      </tp>
      <tp t="s">
        <v>#N/A N/A</v>
        <stp/>
        <stp>BDP|1210166301761316323</stp>
        <tr r="Z324" s="1"/>
      </tp>
      <tp t="s">
        <v>#N/A N/A</v>
        <stp/>
        <stp>BDP|1342414445663564065</stp>
        <tr r="Y271" s="1"/>
      </tp>
      <tp t="s">
        <v>#N/A N/A</v>
        <stp/>
        <stp>BDP|9703410122664653964</stp>
        <tr r="Z1023" s="1"/>
      </tp>
      <tp t="s">
        <v>#N/A N/A</v>
        <stp/>
        <stp>BDP|9830880330972572205</stp>
        <tr r="Z40" s="1"/>
      </tp>
      <tp t="s">
        <v>#N/A N/A</v>
        <stp/>
        <stp>BDP|7095053624180249767</stp>
        <tr r="AA967" s="1"/>
      </tp>
      <tp t="s">
        <v>#N/A N/A</v>
        <stp/>
        <stp>BDP|2620462044124283434</stp>
        <tr r="AA1305" s="1"/>
      </tp>
      <tp t="s">
        <v>#N/A N/A</v>
        <stp/>
        <stp>BDP|4313451035625232448</stp>
        <tr r="Y929" s="1"/>
      </tp>
      <tp t="s">
        <v>#N/A N/A</v>
        <stp/>
        <stp>BDP|4630022201815158311</stp>
        <tr r="Z668" s="1"/>
      </tp>
      <tp t="s">
        <v>#N/A N/A</v>
        <stp/>
        <stp>BDP|9120526787340036618</stp>
        <tr r="Z217" s="1"/>
      </tp>
      <tp t="s">
        <v>#N/A N/A</v>
        <stp/>
        <stp>BDP|6410262334623566662</stp>
        <tr r="AA1304" s="1"/>
      </tp>
      <tp t="s">
        <v>#N/A N/A</v>
        <stp/>
        <stp>BDP|2202411167154467655</stp>
        <tr r="Y347" s="1"/>
      </tp>
      <tp t="s">
        <v>#N/A N/A</v>
        <stp/>
        <stp>BDP|5309353787044136852</stp>
        <tr r="Z990" s="1"/>
      </tp>
      <tp t="s">
        <v>#N/A N/A</v>
        <stp/>
        <stp>BDP|8551641225057342925</stp>
        <tr r="Z275" s="1"/>
      </tp>
      <tp t="s">
        <v>#N/A N/A</v>
        <stp/>
        <stp>BDP|2793584995824826872</stp>
        <tr r="Z366" s="1"/>
      </tp>
      <tp t="s">
        <v>#N/A N/A</v>
        <stp/>
        <stp>BDP|1736207554351346555</stp>
        <tr r="Y232" s="1"/>
      </tp>
      <tp t="s">
        <v>#N/A N/A</v>
        <stp/>
        <stp>BDP|8316587251918403346</stp>
        <tr r="Y1193" s="1"/>
      </tp>
      <tp t="s">
        <v>#N/A N/A</v>
        <stp/>
        <stp>BDP|4313423099709482365</stp>
        <tr r="AA1107" s="1"/>
      </tp>
      <tp t="s">
        <v>#N/A N/A</v>
        <stp/>
        <stp>BDP|3264116006529737888</stp>
        <tr r="Z1209" s="1"/>
      </tp>
      <tp t="s">
        <v>#N/A N/A</v>
        <stp/>
        <stp>BDP|6649380720376410208</stp>
        <tr r="AA552" s="1"/>
      </tp>
      <tp t="s">
        <v>#N/A N/A</v>
        <stp/>
        <stp>BDP|4426772701694850401</stp>
        <tr r="AA1243" s="1"/>
      </tp>
      <tp t="s">
        <v>#N/A N/A</v>
        <stp/>
        <stp>BDP|5370857993782716583</stp>
        <tr r="Y843" s="1"/>
      </tp>
      <tp t="s">
        <v>#N/A N/A</v>
        <stp/>
        <stp>BDP|7579574015812892257</stp>
        <tr r="AA112" s="1"/>
      </tp>
      <tp t="s">
        <v>#N/A N/A</v>
        <stp/>
        <stp>BDP|7334552960920947744</stp>
        <tr r="AA491" s="1"/>
      </tp>
      <tp t="s">
        <v>#N/A N/A</v>
        <stp/>
        <stp>BDP|4578627169902657537</stp>
        <tr r="AA678" s="1"/>
      </tp>
      <tp t="s">
        <v>#N/A N/A</v>
        <stp/>
        <stp>BDP|4349315718673228639</stp>
        <tr r="AA330" s="1"/>
      </tp>
      <tp t="s">
        <v>#N/A N/A</v>
        <stp/>
        <stp>BDP|1642062834618743988</stp>
        <tr r="Y494" s="1"/>
      </tp>
      <tp t="s">
        <v>#N/A N/A</v>
        <stp/>
        <stp>BDP|7710352293288398699</stp>
        <tr r="AA642" s="1"/>
      </tp>
      <tp t="s">
        <v>#N/A N/A</v>
        <stp/>
        <stp>BDP|6101615980518209390</stp>
        <tr r="Y1151" s="1"/>
      </tp>
      <tp t="s">
        <v>#N/A N/A</v>
        <stp/>
        <stp>BDP|3396538119420041422</stp>
        <tr r="Z203" s="1"/>
      </tp>
      <tp t="s">
        <v>#N/A N/A</v>
        <stp/>
        <stp>BDP|7293215415481482692</stp>
        <tr r="Y412" s="1"/>
      </tp>
      <tp t="s">
        <v>#N/A N/A</v>
        <stp/>
        <stp>BDP|2138411262292033197</stp>
        <tr r="AA565" s="1"/>
      </tp>
      <tp t="s">
        <v>#N/A N/A</v>
        <stp/>
        <stp>BDP|3199532717663885762</stp>
        <tr r="Y369" s="1"/>
      </tp>
      <tp t="s">
        <v>#N/A N/A</v>
        <stp/>
        <stp>BDP|5798783200759152863</stp>
        <tr r="Y965" s="1"/>
      </tp>
      <tp t="s">
        <v>#N/A N/A</v>
        <stp/>
        <stp>BDP|3271927273947350981</stp>
        <tr r="AA997" s="1"/>
      </tp>
      <tp t="s">
        <v>#N/A N/A</v>
        <stp/>
        <stp>BDP|3085206944677901154</stp>
        <tr r="Z156" s="1"/>
      </tp>
      <tp t="s">
        <v>#N/A N/A</v>
        <stp/>
        <stp>BDP|7054874171609699280</stp>
        <tr r="Z1117" s="1"/>
      </tp>
      <tp t="s">
        <v>#N/A N/A</v>
        <stp/>
        <stp>BDP|2460392454165937286</stp>
        <tr r="Z1163" s="1"/>
      </tp>
      <tp t="s">
        <v>#N/A N/A</v>
        <stp/>
        <stp>BDP|4445740717378872977</stp>
        <tr r="AA1014" s="1"/>
      </tp>
      <tp t="s">
        <v>#N/A N/A</v>
        <stp/>
        <stp>BDP|1900626701043605750</stp>
        <tr r="Y699" s="1"/>
      </tp>
      <tp t="s">
        <v>#N/A N/A</v>
        <stp/>
        <stp>BDP|7318384964766376753</stp>
        <tr r="AA922" s="1"/>
      </tp>
      <tp t="s">
        <v>#N/A N/A</v>
        <stp/>
        <stp>BDP|7616829379903088831</stp>
        <tr r="Z304" s="1"/>
      </tp>
      <tp t="s">
        <v>#N/A N/A</v>
        <stp/>
        <stp>BDP|1069297697599880081</stp>
        <tr r="Y1141" s="1"/>
      </tp>
      <tp t="s">
        <v>#N/A N/A</v>
        <stp/>
        <stp>BDP|1541001143837072187</stp>
        <tr r="AA645" s="1"/>
      </tp>
      <tp t="s">
        <v>#N/A N/A</v>
        <stp/>
        <stp>BDP|1122153677190550488</stp>
        <tr r="Z866" s="1"/>
      </tp>
      <tp t="s">
        <v>#N/A N/A</v>
        <stp/>
        <stp>BDP|8168427972129996169</stp>
        <tr r="Y842" s="1"/>
      </tp>
      <tp t="s">
        <v>#N/A N/A</v>
        <stp/>
        <stp>BDP|6012219748051589224</stp>
        <tr r="Z932" s="1"/>
      </tp>
      <tp t="s">
        <v>#N/A N/A</v>
        <stp/>
        <stp>BDP|4813322377253611057</stp>
        <tr r="Y1212" s="1"/>
      </tp>
      <tp t="s">
        <v>#N/A N/A</v>
        <stp/>
        <stp>BDP|4426084886279614622</stp>
        <tr r="Z737" s="1"/>
      </tp>
      <tp t="s">
        <v>#N/A N/A</v>
        <stp/>
        <stp>BDP|1124339067965880220</stp>
        <tr r="AA427" s="1"/>
      </tp>
      <tp t="s">
        <v>#N/A N/A</v>
        <stp/>
        <stp>BDP|8841697027778888713</stp>
        <tr r="AA1182" s="1"/>
      </tp>
      <tp t="s">
        <v>#N/A N/A</v>
        <stp/>
        <stp>BDP|7040518079885558324</stp>
        <tr r="Z842" s="1"/>
      </tp>
      <tp t="s">
        <v>#N/A N/A</v>
        <stp/>
        <stp>BDP|7652786531551767177</stp>
        <tr r="AA17" s="1"/>
      </tp>
      <tp t="s">
        <v>#N/A N/A</v>
        <stp/>
        <stp>BDP|3221299187062770871</stp>
        <tr r="Z1085" s="1"/>
      </tp>
      <tp t="s">
        <v>#N/A N/A</v>
        <stp/>
        <stp>BDP|1380490704140508676</stp>
        <tr r="AA157" s="1"/>
      </tp>
      <tp t="s">
        <v>#N/A N/A</v>
        <stp/>
        <stp>BDP|5825421755440472771</stp>
        <tr r="Z532" s="1"/>
      </tp>
      <tp t="s">
        <v>#N/A N/A</v>
        <stp/>
        <stp>BDP|6461664639227494720</stp>
        <tr r="Y1149" s="1"/>
      </tp>
      <tp t="s">
        <v>#N/A N/A</v>
        <stp/>
        <stp>BDP|1402048006972887030</stp>
        <tr r="AA337" s="1"/>
      </tp>
      <tp t="s">
        <v>#N/A N/A</v>
        <stp/>
        <stp>BDP|6023526349477435328</stp>
        <tr r="AA1299" s="1"/>
      </tp>
      <tp t="s">
        <v>#N/A N/A</v>
        <stp/>
        <stp>BDP|7583618168085143105</stp>
        <tr r="Y750" s="1"/>
      </tp>
      <tp t="s">
        <v>#N/A N/A</v>
        <stp/>
        <stp>BDP|7936982390626513295</stp>
        <tr r="Y883" s="1"/>
      </tp>
      <tp t="s">
        <v>#N/A N/A</v>
        <stp/>
        <stp>BDP|5423813513469331684</stp>
        <tr r="Z253" s="1"/>
      </tp>
      <tp t="s">
        <v>#N/A N/A</v>
        <stp/>
        <stp>BDP|7292132654125178598</stp>
        <tr r="AA84" s="1"/>
      </tp>
      <tp t="s">
        <v>#N/A N/A</v>
        <stp/>
        <stp>BDP|5918060947904485616</stp>
        <tr r="AA622" s="1"/>
      </tp>
      <tp t="s">
        <v>#N/A N/A</v>
        <stp/>
        <stp>BDP|7228214562442430287</stp>
        <tr r="AA1082" s="1"/>
      </tp>
      <tp t="s">
        <v>#N/A N/A</v>
        <stp/>
        <stp>BDP|5799826296553403450</stp>
        <tr r="AA897" s="1"/>
      </tp>
      <tp t="s">
        <v>#N/A N/A</v>
        <stp/>
        <stp>BDP|6133807814479093575</stp>
        <tr r="Z301" s="1"/>
      </tp>
      <tp t="s">
        <v>#N/A N/A</v>
        <stp/>
        <stp>BDP|1258748060817475403</stp>
        <tr r="AA43" s="1"/>
      </tp>
      <tp t="s">
        <v>#N/A N/A</v>
        <stp/>
        <stp>BDP|3522766734017304361</stp>
        <tr r="AA681" s="1"/>
      </tp>
      <tp t="s">
        <v>#N/A N/A</v>
        <stp/>
        <stp>BDP|8449555001457150934</stp>
        <tr r="Y689" s="1"/>
      </tp>
      <tp t="s">
        <v>#N/A N/A</v>
        <stp/>
        <stp>BDP|7122842046539655177</stp>
        <tr r="AA781" s="1"/>
      </tp>
      <tp t="s">
        <v>#N/A N/A</v>
        <stp/>
        <stp>BDP|4239047934092512653</stp>
        <tr r="AA838" s="1"/>
      </tp>
      <tp t="s">
        <v>#N/A N/A</v>
        <stp/>
        <stp>BDP|8437819005770219316</stp>
        <tr r="Y46" s="1"/>
      </tp>
      <tp t="s">
        <v>#N/A N/A</v>
        <stp/>
        <stp>BDP|7356814735819016644</stp>
        <tr r="Y371" s="1"/>
      </tp>
      <tp t="s">
        <v>#N/A N/A</v>
        <stp/>
        <stp>BDP|4177314802033367726</stp>
        <tr r="AA634" s="1"/>
      </tp>
      <tp t="s">
        <v>#N/A N/A</v>
        <stp/>
        <stp>BDP|7061002359253322296</stp>
        <tr r="AA1131" s="1"/>
      </tp>
      <tp t="s">
        <v>#N/A N/A</v>
        <stp/>
        <stp>BDP|4717218656360786040</stp>
        <tr r="Y723" s="1"/>
      </tp>
      <tp t="s">
        <v>#N/A N/A</v>
        <stp/>
        <stp>BDP|5940474359416782101</stp>
        <tr r="Z261" s="1"/>
      </tp>
      <tp t="s">
        <v>#N/A N/A</v>
        <stp/>
        <stp>BDP|7555848690097153204</stp>
        <tr r="Z1048" s="1"/>
      </tp>
      <tp t="s">
        <v>#N/A N/A</v>
        <stp/>
        <stp>BDP|7239779635024656463</stp>
        <tr r="Z168" s="1"/>
      </tp>
      <tp t="s">
        <v>#N/A N/A</v>
        <stp/>
        <stp>BDP|2185785219121143616</stp>
        <tr r="Y778" s="1"/>
      </tp>
      <tp t="s">
        <v>#N/A N/A</v>
        <stp/>
        <stp>BDP|7828265878978751915</stp>
        <tr r="AA436" s="1"/>
      </tp>
      <tp t="s">
        <v>#N/A N/A</v>
        <stp/>
        <stp>BDP|5471354972727005534</stp>
        <tr r="Y357" s="1"/>
      </tp>
      <tp t="s">
        <v>#N/A N/A</v>
        <stp/>
        <stp>BDP|7300713266307060245</stp>
        <tr r="Y943" s="1"/>
      </tp>
      <tp t="s">
        <v>#N/A N/A</v>
        <stp/>
        <stp>BDP|5181958487236626152</stp>
        <tr r="Y655" s="1"/>
      </tp>
      <tp t="s">
        <v>#N/A N/A</v>
        <stp/>
        <stp>BDP|3159740415300556651</stp>
        <tr r="Z649" s="1"/>
      </tp>
      <tp t="s">
        <v>#N/A N/A</v>
        <stp/>
        <stp>BDP|6742986195203301695</stp>
        <tr r="Z291" s="1"/>
      </tp>
      <tp t="s">
        <v>#N/A N/A</v>
        <stp/>
        <stp>BDP|1348041340623131565</stp>
        <tr r="AA82" s="1"/>
      </tp>
      <tp t="s">
        <v>#N/A N/A</v>
        <stp/>
        <stp>BDP|6728008245243797255</stp>
        <tr r="Y1102" s="1"/>
      </tp>
      <tp t="s">
        <v>#N/A N/A</v>
        <stp/>
        <stp>BDP|6105434615591158163</stp>
        <tr r="Z945" s="1"/>
      </tp>
      <tp t="s">
        <v>#N/A N/A</v>
        <stp/>
        <stp>BDP|9516209782708016878</stp>
        <tr r="Y24" s="1"/>
      </tp>
      <tp t="s">
        <v>#N/A N/A</v>
        <stp/>
        <stp>BDP|5455116347107049438</stp>
        <tr r="AA409" s="1"/>
      </tp>
      <tp t="s">
        <v>#N/A N/A</v>
        <stp/>
        <stp>BDP|4408110935042507745</stp>
        <tr r="AA196" s="1"/>
      </tp>
      <tp t="s">
        <v>#N/A N/A</v>
        <stp/>
        <stp>BDP|5824195570701412145</stp>
        <tr r="Z1018" s="1"/>
      </tp>
      <tp t="s">
        <v>#N/A N/A</v>
        <stp/>
        <stp>BDP|4407634491268303040</stp>
        <tr r="AA717" s="1"/>
      </tp>
      <tp t="s">
        <v>#N/A N/A</v>
        <stp/>
        <stp>BDP|2926671952170822229</stp>
        <tr r="Z302" s="1"/>
      </tp>
      <tp t="s">
        <v>#N/A N/A</v>
        <stp/>
        <stp>BDP|5850894680813485539</stp>
        <tr r="Y1003" s="1"/>
      </tp>
      <tp t="s">
        <v>#N/A N/A</v>
        <stp/>
        <stp>BDP|3036590382905433894</stp>
        <tr r="Z722" s="1"/>
      </tp>
      <tp t="s">
        <v>#N/A N/A</v>
        <stp/>
        <stp>BDP|4563201592505659978</stp>
        <tr r="AA15" s="1"/>
      </tp>
      <tp t="s">
        <v>#N/A N/A</v>
        <stp/>
        <stp>BDP|3703833104799424128</stp>
        <tr r="Y135" s="1"/>
      </tp>
      <tp t="s">
        <v>#N/A N/A</v>
        <stp/>
        <stp>BDP|4121439634107416748</stp>
        <tr r="AA851" s="1"/>
      </tp>
      <tp t="s">
        <v>#N/A N/A</v>
        <stp/>
        <stp>BDP|4102115263539014953</stp>
        <tr r="AA977" s="1"/>
      </tp>
      <tp t="s">
        <v>#N/A N/A</v>
        <stp/>
        <stp>BDP|5415307145723018272</stp>
        <tr r="Z57" s="1"/>
      </tp>
      <tp t="s">
        <v>#N/A N/A</v>
        <stp/>
        <stp>BDP|1316902594010770261</stp>
        <tr r="AA116" s="1"/>
      </tp>
      <tp t="s">
        <v>#N/A N/A</v>
        <stp/>
        <stp>BDP|5219511072406646217</stp>
        <tr r="Y1019" s="1"/>
      </tp>
      <tp t="s">
        <v>#N/A N/A</v>
        <stp/>
        <stp>BDP|6006154414691375458</stp>
        <tr r="Y942" s="1"/>
      </tp>
      <tp t="s">
        <v>#N/A N/A</v>
        <stp/>
        <stp>BDP|7076355357292584007</stp>
        <tr r="Y947" s="1"/>
      </tp>
      <tp t="s">
        <v>#N/A N/A</v>
        <stp/>
        <stp>BDP|3525496248371764142</stp>
        <tr r="Z676" s="1"/>
      </tp>
      <tp t="s">
        <v>#N/A N/A</v>
        <stp/>
        <stp>BDP|3423255737017660672</stp>
        <tr r="Z541" s="1"/>
      </tp>
      <tp t="s">
        <v>#N/A N/A</v>
        <stp/>
        <stp>BDP|1659125941777447066</stp>
        <tr r="Z368" s="1"/>
      </tp>
      <tp t="s">
        <v>#N/A N/A</v>
        <stp/>
        <stp>BDP|2990224939242299272</stp>
        <tr r="Y236" s="1"/>
      </tp>
      <tp t="s">
        <v>#N/A N/A</v>
        <stp/>
        <stp>BDP|2537426006720163570</stp>
        <tr r="Y861" s="1"/>
      </tp>
      <tp t="s">
        <v>#N/A N/A</v>
        <stp/>
        <stp>BDP|7052461630335540644</stp>
        <tr r="AA506" s="1"/>
      </tp>
      <tp t="s">
        <v>#N/A N/A</v>
        <stp/>
        <stp>BDP|5244239563933003152</stp>
        <tr r="Z498" s="1"/>
      </tp>
      <tp t="s">
        <v>#N/A N/A</v>
        <stp/>
        <stp>BDP|3320753372391799176</stp>
        <tr r="Z675" s="1"/>
      </tp>
      <tp t="s">
        <v>#N/A N/A</v>
        <stp/>
        <stp>BDP|8560398130123197899</stp>
        <tr r="Y112" s="1"/>
      </tp>
      <tp t="s">
        <v>#N/A N/A</v>
        <stp/>
        <stp>BDP|5952339750841983173</stp>
        <tr r="Y777" s="1"/>
      </tp>
      <tp t="s">
        <v>#N/A N/A</v>
        <stp/>
        <stp>BDP|9739740536786321827</stp>
        <tr r="Y739" s="1"/>
      </tp>
      <tp t="s">
        <v>#N/A N/A</v>
        <stp/>
        <stp>BDP|7566160206206668370</stp>
        <tr r="AA940" s="1"/>
      </tp>
      <tp t="s">
        <v>#N/A N/A</v>
        <stp/>
        <stp>BDP|6484785738071285022</stp>
        <tr r="AA563" s="1"/>
      </tp>
      <tp t="s">
        <v>#N/A N/A</v>
        <stp/>
        <stp>BDP|5297145225787522230</stp>
        <tr r="Y304" s="1"/>
      </tp>
      <tp t="s">
        <v>#N/A N/A</v>
        <stp/>
        <stp>BDP|2672416877687292574</stp>
        <tr r="Y976" s="1"/>
      </tp>
      <tp t="s">
        <v>#N/A N/A</v>
        <stp/>
        <stp>BDP|3821783615760733678</stp>
        <tr r="Y982" s="1"/>
      </tp>
      <tp t="s">
        <v>#N/A N/A</v>
        <stp/>
        <stp>BDP|2854501938933481419</stp>
        <tr r="AA1323" s="1"/>
      </tp>
      <tp t="s">
        <v>#N/A N/A</v>
        <stp/>
        <stp>BDP|4526426192583460944</stp>
        <tr r="Z976" s="1"/>
      </tp>
      <tp t="s">
        <v>#N/A N/A</v>
        <stp/>
        <stp>BDP|7633837375079788228</stp>
        <tr r="AA1307" s="1"/>
      </tp>
      <tp t="s">
        <v>#N/A N/A</v>
        <stp/>
        <stp>BDP|3934773450465845737</stp>
        <tr r="Y386" s="1"/>
      </tp>
      <tp t="s">
        <v>#N/A N/A</v>
        <stp/>
        <stp>BDP|3073667837956360379</stp>
        <tr r="Y206" s="1"/>
      </tp>
      <tp t="s">
        <v>#N/A N/A</v>
        <stp/>
        <stp>BDP|17942262903639425</stp>
        <tr r="Y555" s="1"/>
      </tp>
      <tp t="s">
        <v>#N/A N/A</v>
        <stp/>
        <stp>BDP|71120989460415124</stp>
        <tr r="Z591" s="1"/>
      </tp>
      <tp t="s">
        <v>#N/A N/A</v>
        <stp/>
        <stp>BDP|73950559126906012</stp>
        <tr r="Z1134" s="1"/>
      </tp>
      <tp t="s">
        <v>#N/A N/A</v>
        <stp/>
        <stp>BDP|32953047992130250</stp>
        <tr r="Z99" s="1"/>
      </tp>
      <tp t="s">
        <v>#N/A N/A</v>
        <stp/>
        <stp>BDP|97938014446525355</stp>
        <tr r="Z317" s="1"/>
      </tp>
      <tp t="s">
        <v>#N/A N/A</v>
        <stp/>
        <stp>BDP|92576848449676493</stp>
        <tr r="Y280" s="1"/>
      </tp>
      <tp t="s">
        <v>#N/A N/A</v>
        <stp/>
        <stp>BDP|10571381573017036</stp>
        <tr r="Z536" s="1"/>
      </tp>
      <tp t="s">
        <v>#N/A N/A</v>
        <stp/>
        <stp>BDP|41866599204350401</stp>
        <tr r="Y22" s="1"/>
      </tp>
      <tp t="s">
        <v>#N/A N/A</v>
        <stp/>
        <stp>BDP|87844640989830456</stp>
        <tr r="AA1155" s="1"/>
      </tp>
      <tp t="s">
        <v>#N/A N/A</v>
        <stp/>
        <stp>BDP|17457027513657055</stp>
        <tr r="Z496" s="1"/>
      </tp>
      <tp t="s">
        <v>#N/A N/A</v>
        <stp/>
        <stp>BDP|11688431778136863</stp>
        <tr r="Y83" s="1"/>
      </tp>
      <tp t="s">
        <v>#N/A N/A</v>
        <stp/>
        <stp>BDP|77844763980671997</stp>
        <tr r="Z1185" s="1"/>
      </tp>
      <tp t="s">
        <v>#N/A N/A</v>
        <stp/>
        <stp>BDP|43717255326273201</stp>
        <tr r="Y498" s="1"/>
      </tp>
      <tp t="s">
        <v>#N/A N/A</v>
        <stp/>
        <stp>BDP|597169799595130877</stp>
        <tr r="AA1057" s="1"/>
      </tp>
      <tp t="s">
        <v>#N/A N/A</v>
        <stp/>
        <stp>BDP|967433112070694008</stp>
        <tr r="Z1205" s="1"/>
      </tp>
      <tp t="s">
        <v>#N/A N/A</v>
        <stp/>
        <stp>BDP|213751588533350939</stp>
        <tr r="Z554" s="1"/>
      </tp>
      <tp t="s">
        <v>#N/A N/A</v>
        <stp/>
        <stp>BDP|686361316907767094</stp>
        <tr r="AA1225" s="1"/>
      </tp>
      <tp t="s">
        <v>#N/A N/A</v>
        <stp/>
        <stp>BDP|816415009073142289</stp>
        <tr r="Y185" s="1"/>
      </tp>
      <tp t="s">
        <v>#N/A N/A</v>
        <stp/>
        <stp>BDP|430210416070143654</stp>
        <tr r="Y799" s="1"/>
      </tp>
      <tp t="s">
        <v>#N/A N/A</v>
        <stp/>
        <stp>BDP|369377674244000506</stp>
        <tr r="Z1307" s="1"/>
      </tp>
      <tp t="s">
        <v>#N/A N/A</v>
        <stp/>
        <stp>BDP|576211754231653349</stp>
        <tr r="Z478" s="1"/>
      </tp>
      <tp t="s">
        <v>#N/A N/A</v>
        <stp/>
        <stp>BDP|437482578985520333</stp>
        <tr r="AA251" s="1"/>
      </tp>
      <tp t="s">
        <v>#N/A N/A</v>
        <stp/>
        <stp>BDP|239542823283439130</stp>
        <tr r="Z644" s="1"/>
      </tp>
      <tp t="s">
        <v>#N/A N/A</v>
        <stp/>
        <stp>BDP|275535326016196458</stp>
        <tr r="AA558" s="1"/>
      </tp>
      <tp t="s">
        <v>#N/A N/A</v>
        <stp/>
        <stp>BDP|376754179250905550</stp>
        <tr r="Z637" s="1"/>
      </tp>
      <tp t="s">
        <v>#N/A N/A</v>
        <stp/>
        <stp>BDP|189768154887976161</stp>
        <tr r="Y1282" s="1"/>
      </tp>
      <tp t="s">
        <v>#N/A N/A</v>
        <stp/>
        <stp>BDP|891004100625698132</stp>
        <tr r="Z1253" s="1"/>
      </tp>
      <tp t="s">
        <v>#N/A N/A</v>
        <stp/>
        <stp>BDP|967715152880549618</stp>
        <tr r="AA902" s="1"/>
      </tp>
      <tp t="s">
        <v>#N/A N/A</v>
        <stp/>
        <stp>BDP|956650589479912338</stp>
        <tr r="AA1162" s="1"/>
      </tp>
      <tp t="s">
        <v>#N/A N/A</v>
        <stp/>
        <stp>BDP|769860607024936877</stp>
        <tr r="AA1109" s="1"/>
      </tp>
      <tp t="s">
        <v>#N/A N/A</v>
        <stp/>
        <stp>BDP|973567475033019524</stp>
        <tr r="Y813" s="1"/>
      </tp>
      <tp t="s">
        <v>#N/A N/A</v>
        <stp/>
        <stp>BDP|959817984651463521</stp>
        <tr r="Z189" s="1"/>
      </tp>
      <tp t="s">
        <v>#N/A N/A</v>
        <stp/>
        <stp>BDP|941096913567168298</stp>
        <tr r="Y786" s="1"/>
      </tp>
      <tp t="s">
        <v>#N/A N/A</v>
        <stp/>
        <stp>BDP|240773686483331871</stp>
        <tr r="Y551" s="1"/>
      </tp>
      <tp t="s">
        <v>#N/A N/A</v>
        <stp/>
        <stp>BDP|823226164406007694</stp>
        <tr r="Y3" s="1"/>
      </tp>
      <tp t="s">
        <v>#N/A N/A</v>
        <stp/>
        <stp>BDP|587751521790467173</stp>
        <tr r="Z1131" s="1"/>
      </tp>
      <tp t="s">
        <v>#N/A N/A</v>
        <stp/>
        <stp>BDP|267221257835144651</stp>
        <tr r="AA1173" s="1"/>
      </tp>
      <tp t="s">
        <v>#N/A N/A</v>
        <stp/>
        <stp>BDP|619812945068579047</stp>
        <tr r="Y648" s="1"/>
      </tp>
      <tp t="s">
        <v>#N/A N/A</v>
        <stp/>
        <stp>BDP|412214408212329733</stp>
        <tr r="Z372" s="1"/>
      </tp>
      <tp t="s">
        <v>#N/A N/A</v>
        <stp/>
        <stp>BDP|978853754549362340</stp>
        <tr r="Y670" s="1"/>
      </tp>
      <tp t="s">
        <v>#N/A N/A</v>
        <stp/>
        <stp>BDP|427946924598527498</stp>
        <tr r="Y283" s="1"/>
      </tp>
      <tp t="s">
        <v>#N/A N/A</v>
        <stp/>
        <stp>BDP|653641796198539098</stp>
        <tr r="Z296" s="1"/>
      </tp>
      <tp t="s">
        <v>#N/A N/A</v>
        <stp/>
        <stp>BDP|186238828051144630</stp>
        <tr r="AA261" s="1"/>
      </tp>
      <tp t="s">
        <v>#N/A N/A</v>
        <stp/>
        <stp>BDP|945511103840652261</stp>
        <tr r="Z684" s="1"/>
      </tp>
      <tp t="s">
        <v>#N/A N/A</v>
        <stp/>
        <stp>BDP|394829888641643641</stp>
        <tr r="Z1109" s="1"/>
      </tp>
      <tp t="s">
        <v>#N/A N/A</v>
        <stp/>
        <stp>BDP|604031482477527891</stp>
        <tr r="AA1233" s="1"/>
      </tp>
      <tp t="s">
        <v>#N/A N/A</v>
        <stp/>
        <stp>BDP|930166201232292482</stp>
        <tr r="AA1095" s="1"/>
      </tp>
      <tp t="s">
        <v>#N/A N/A</v>
        <stp/>
        <stp>BDP|764650509870962174</stp>
        <tr r="Z750" s="1"/>
      </tp>
      <tp t="s">
        <v>#N/A N/A</v>
        <stp/>
        <stp>BDP|919030076368209886</stp>
        <tr r="Z1083" s="1"/>
      </tp>
      <tp t="s">
        <v>#N/A N/A</v>
        <stp/>
        <stp>BDP|537887458133316911</stp>
        <tr r="AA1214" s="1"/>
      </tp>
      <tp t="s">
        <v>#N/A N/A</v>
        <stp/>
        <stp>BDP|103048300825676221</stp>
        <tr r="Z159" s="1"/>
      </tp>
      <tp t="s">
        <v>#N/A N/A</v>
        <stp/>
        <stp>BDP|417415187893999890</stp>
        <tr r="AA357" s="1"/>
      </tp>
      <tp t="s">
        <v>#N/A N/A</v>
        <stp/>
        <stp>BDP|646107163412407224</stp>
        <tr r="Z110" s="1"/>
      </tp>
      <tp t="s">
        <v>#N/A N/A</v>
        <stp/>
        <stp>BDP|139180273306026627</stp>
        <tr r="Z48" s="1"/>
      </tp>
      <tp t="s">
        <v>#N/A N/A</v>
        <stp/>
        <stp>BDP|269325108554804191</stp>
        <tr r="Y391" s="1"/>
      </tp>
      <tp t="s">
        <v>#N/A N/A</v>
        <stp/>
        <stp>BDP|866360224383311436</stp>
        <tr r="AA1212" s="1"/>
      </tp>
      <tp t="s">
        <v>#N/A N/A</v>
        <stp/>
        <stp>BDP|301402400230287200</stp>
        <tr r="Y1127" s="1"/>
      </tp>
      <tp t="s">
        <v>#N/A N/A</v>
        <stp/>
        <stp>BDP|838259045658843823</stp>
        <tr r="Z1284" s="1"/>
      </tp>
      <tp t="s">
        <v>#N/A N/A</v>
        <stp/>
        <stp>BDP|947660246122869631</stp>
        <tr r="Y435" s="1"/>
      </tp>
      <tp t="s">
        <v>#N/A N/A</v>
        <stp/>
        <stp>BDP|714124411424045262</stp>
        <tr r="Y328" s="1"/>
      </tp>
      <tp t="s">
        <v>#N/A N/A</v>
        <stp/>
        <stp>BDP|972885911939531665</stp>
        <tr r="AA414" s="1"/>
      </tp>
      <tp t="s">
        <v>#N/A N/A</v>
        <stp/>
        <stp>BDP|188072909527359633</stp>
        <tr r="AA685" s="1"/>
      </tp>
      <tp t="s">
        <v>#N/A N/A</v>
        <stp/>
        <stp>BDP|199134979305790239</stp>
        <tr r="AA650" s="1"/>
      </tp>
      <tp t="s">
        <v>#N/A N/A</v>
        <stp/>
        <stp>BDP|384104156450656578</stp>
        <tr r="AA965" s="1"/>
      </tp>
      <tp t="s">
        <v>#N/A N/A</v>
        <stp/>
        <stp>BDP|708403552878308815</stp>
        <tr r="Z334" s="1"/>
      </tp>
      <tp t="s">
        <v>#N/A N/A</v>
        <stp/>
        <stp>BDP|164738076282330303</stp>
        <tr r="Y1152" s="1"/>
      </tp>
      <tp t="s">
        <v>#N/A N/A</v>
        <stp/>
        <stp>BDP|961001892689345186</stp>
        <tr r="Z376" s="1"/>
      </tp>
      <tp t="s">
        <v>#N/A N/A</v>
        <stp/>
        <stp>BDP|592848280821478077</stp>
        <tr r="AA809" s="1"/>
      </tp>
      <tp t="s">
        <v>#N/A N/A</v>
        <stp/>
        <stp>BDP|431963148189443439</stp>
        <tr r="Z357" s="1"/>
      </tp>
      <tp t="s">
        <v>#N/A N/A</v>
        <stp/>
        <stp>BDP|488270803573861172</stp>
        <tr r="AA420" s="1"/>
      </tp>
      <tp t="s">
        <v>#N/A N/A</v>
        <stp/>
        <stp>BDP|948514011026745213</stp>
        <tr r="Z1320" s="1"/>
      </tp>
      <tp t="s">
        <v>#N/A N/A</v>
        <stp/>
        <stp>BDP|869894984416904631</stp>
        <tr r="Z92" s="1"/>
      </tp>
      <tp t="s">
        <v>#N/A N/A</v>
        <stp/>
        <stp>BDP|226658311923979473</stp>
        <tr r="Y1233" s="1"/>
      </tp>
      <tp t="s">
        <v>#N/A N/A</v>
        <stp/>
        <stp>BDP|648161718307552741</stp>
        <tr r="Y780" s="1"/>
      </tp>
      <tp t="s">
        <v>#N/A N/A</v>
        <stp/>
        <stp>BDP|197437779306042500</stp>
        <tr r="AA1326" s="1"/>
      </tp>
      <tp t="s">
        <v>#N/A N/A</v>
        <stp/>
        <stp>BDP|932004043583892777</stp>
        <tr r="Y53" s="1"/>
      </tp>
      <tp t="s">
        <v>#N/A N/A</v>
        <stp/>
        <stp>BDP|921261931051974027</stp>
        <tr r="Y1244" s="1"/>
      </tp>
      <tp t="s">
        <v>#N/A N/A</v>
        <stp/>
        <stp>BDP|560471150825120447</stp>
        <tr r="Z573" s="1"/>
      </tp>
      <tp t="s">
        <v>#N/A N/A</v>
        <stp/>
        <stp>BDP|481943895669129964</stp>
        <tr r="Y473" s="1"/>
      </tp>
      <tp t="s">
        <v>#N/A N/A</v>
        <stp/>
        <stp>BDP|185881992476002799</stp>
        <tr r="AA1284" s="1"/>
      </tp>
      <tp t="s">
        <v>#N/A N/A</v>
        <stp/>
        <stp>BDP|205645407267897254</stp>
        <tr r="AA830" s="1"/>
      </tp>
      <tp t="s">
        <v>#N/A N/A</v>
        <stp/>
        <stp>BDP|124383530066367561</stp>
        <tr r="Z611" s="1"/>
      </tp>
      <tp t="s">
        <v>#N/A N/A</v>
        <stp/>
        <stp>BDP|225900199882783119</stp>
        <tr r="Z639" s="1"/>
      </tp>
      <tp t="s">
        <v>#N/A N/A</v>
        <stp/>
        <stp>BDP|860577734803555637</stp>
        <tr r="AA568" s="1"/>
      </tp>
      <tp t="s">
        <v>#N/A N/A</v>
        <stp/>
        <stp>BDP|612913581785103790</stp>
        <tr r="Z116" s="1"/>
      </tp>
      <tp t="s">
        <v>#N/A N/A</v>
        <stp/>
        <stp>BDP|511675470551881350</stp>
        <tr r="AA320" s="1"/>
      </tp>
      <tp t="s">
        <v>#N/A N/A</v>
        <stp/>
        <stp>BDP|924698719397532349</stp>
        <tr r="Z856" s="1"/>
      </tp>
      <tp t="s">
        <v>#N/A N/A</v>
        <stp/>
        <stp>BDP|447399237035097623</stp>
        <tr r="Z421" s="1"/>
      </tp>
      <tp t="s">
        <v>#N/A N/A</v>
        <stp/>
        <stp>BDP|447342992311369881</stp>
        <tr r="Y783" s="1"/>
      </tp>
      <tp t="s">
        <v>#N/A N/A</v>
        <stp/>
        <stp>BDP|422963295672832152</stp>
        <tr r="Z981" s="1"/>
      </tp>
      <tp t="s">
        <v>#N/A N/A</v>
        <stp/>
        <stp>BDP|418811888902398145</stp>
        <tr r="AA875" s="1"/>
      </tp>
      <tp t="s">
        <v>#N/A N/A</v>
        <stp/>
        <stp>BDP|165668927671767635</stp>
        <tr r="Z365" s="1"/>
      </tp>
      <tp t="s">
        <v>#N/A N/A</v>
        <stp/>
        <stp>BDP|556361009295753597</stp>
        <tr r="Y882" s="1"/>
      </tp>
      <tp t="s">
        <v>#N/A N/A</v>
        <stp/>
        <stp>BDP|334393139757783414</stp>
        <tr r="Z1024" s="1"/>
      </tp>
      <tp t="s">
        <v>#N/A N/A</v>
        <stp/>
        <stp>BDP|430663957641430141</stp>
        <tr r="AA1199" s="1"/>
      </tp>
      <tp t="s">
        <v>#N/A N/A</v>
        <stp/>
        <stp>BDP|141237752567552335</stp>
        <tr r="Z796" s="1"/>
      </tp>
      <tp t="s">
        <v>#N/A N/A</v>
        <stp/>
        <stp>BDP|339445683248611753</stp>
        <tr r="Z494" s="1"/>
      </tp>
      <tp t="s">
        <v>#N/A N/A</v>
        <stp/>
        <stp>BDP|352813965708174560</stp>
        <tr r="Z1145" s="1"/>
      </tp>
      <tp t="s">
        <v>#N/A N/A</v>
        <stp/>
        <stp>BDP|967046089763464812</stp>
        <tr r="Y239" s="1"/>
      </tp>
      <tp t="s">
        <v>#N/A N/A</v>
        <stp/>
        <stp>BDP|663355291898455149</stp>
        <tr r="Y1011" s="1"/>
      </tp>
      <tp t="s">
        <v>#N/A N/A</v>
        <stp/>
        <stp>BDP|876407275036705697</stp>
        <tr r="Y997" s="1"/>
      </tp>
      <tp t="s">
        <v>#N/A N/A</v>
        <stp/>
        <stp>BDP|408918412968921239</stp>
        <tr r="Z746" s="1"/>
      </tp>
      <tp t="s">
        <v>#N/A N/A</v>
        <stp/>
        <stp>BDP|835538521021545429</stp>
        <tr r="Y820" s="1"/>
      </tp>
      <tp t="s">
        <v>#N/A N/A</v>
        <stp/>
        <stp>BDP|932030147665412379</stp>
        <tr r="Y1273" s="1"/>
      </tp>
      <tp t="s">
        <v>#N/A N/A</v>
        <stp/>
        <stp>BDP|264482166470686049</stp>
        <tr r="Y1292" s="1"/>
      </tp>
      <tp t="s">
        <v>#N/A N/A</v>
        <stp/>
        <stp>BDP|407581771101046131</stp>
        <tr r="AA962" s="1"/>
      </tp>
      <tp t="s">
        <v>#N/A N/A</v>
        <stp/>
        <stp>BDP|982776872932229062</stp>
        <tr r="Y313" s="1"/>
      </tp>
      <tp t="s">
        <v>#N/A N/A</v>
        <stp/>
        <stp>BDP|175943985316248588</stp>
        <tr r="Z678" s="1"/>
      </tp>
      <tp t="s">
        <v>#N/A N/A</v>
        <stp/>
        <stp>BDP|790154498193977983</stp>
        <tr r="Y989" s="1"/>
      </tp>
      <tp t="s">
        <v>#N/A N/A</v>
        <stp/>
        <stp>BDP|872965783825140682</stp>
        <tr r="AA286" s="1"/>
      </tp>
      <tp t="s">
        <v>#N/A N/A</v>
        <stp/>
        <stp>BDP|488505631574414073</stp>
        <tr r="Z506" s="1"/>
      </tp>
      <tp t="s">
        <v>#N/A N/A</v>
        <stp/>
        <stp>BDP|304233530343146038</stp>
        <tr r="Y1032" s="1"/>
      </tp>
      <tp t="s">
        <v>#N/A N/A</v>
        <stp/>
        <stp>BDP|348159572542276650</stp>
        <tr r="Y152" s="1"/>
      </tp>
      <tp t="s">
        <v>#N/A N/A</v>
        <stp/>
        <stp>BDP|127339343953636643</stp>
        <tr r="Z470" s="1"/>
      </tp>
      <tp t="s">
        <v>#N/A N/A</v>
        <stp/>
        <stp>BDP|145636775548389497</stp>
        <tr r="AA1194" s="1"/>
      </tp>
      <tp t="s">
        <v>#N/A N/A</v>
        <stp/>
        <stp>BDP|538653218242520807</stp>
        <tr r="AA95" s="1"/>
      </tp>
      <tp t="s">
        <v>#N/A N/A</v>
        <stp/>
        <stp>BDP|245654845378280788</stp>
        <tr r="AA90" s="1"/>
      </tp>
      <tp t="s">
        <v>#N/A N/A</v>
        <stp/>
        <stp>BDP|385087737288040698</stp>
        <tr r="Y1197" s="1"/>
      </tp>
      <tp t="s">
        <v>#N/A N/A</v>
        <stp/>
        <stp>BDP|594564954649407445</stp>
        <tr r="Z441" s="1"/>
      </tp>
      <tp t="s">
        <v>#N/A N/A</v>
        <stp/>
        <stp>BDP|778427151285199926</stp>
        <tr r="Y897" s="1"/>
      </tp>
      <tp t="s">
        <v>#N/A N/A</v>
        <stp/>
        <stp>BDP|404999156180152186</stp>
        <tr r="Y175" s="1"/>
      </tp>
      <tp t="s">
        <v>#N/A N/A</v>
        <stp/>
        <stp>BDP|851730802312269974</stp>
        <tr r="AA1110" s="1"/>
      </tp>
      <tp t="s">
        <v>#N/A N/A</v>
        <stp/>
        <stp>BDP|813521922142495919</stp>
        <tr r="Z1104" s="1"/>
      </tp>
      <tp t="s">
        <v>#N/A N/A</v>
        <stp/>
        <stp>BDP|481724292325912750</stp>
        <tr r="Z552" s="1"/>
      </tp>
      <tp t="s">
        <v>#N/A N/A</v>
        <stp/>
        <stp>BDP|458599380954001542</stp>
        <tr r="Y477" s="1"/>
      </tp>
      <tp t="s">
        <v>#N/A N/A</v>
        <stp/>
        <stp>BDP|873947077694327622</stp>
        <tr r="Z232" s="1"/>
      </tp>
      <tp t="s">
        <v>#N/A N/A</v>
        <stp/>
        <stp>BDP|180136104328310507</stp>
        <tr r="Z105" s="1"/>
      </tp>
      <tp t="s">
        <v>#N/A N/A</v>
        <stp/>
        <stp>BDP|344066061072645854</stp>
        <tr r="Z1091" s="1"/>
      </tp>
      <tp t="s">
        <v>#N/A N/A</v>
        <stp/>
        <stp>BDP|666106545618515176</stp>
        <tr r="AA13" s="1"/>
      </tp>
      <tp t="s">
        <v>#N/A N/A</v>
        <stp/>
        <stp>BDP|881171164179968202</stp>
        <tr r="AA662" s="1"/>
      </tp>
      <tp t="s">
        <v>#N/A N/A</v>
        <stp/>
        <stp>BDP|281146031769498706</stp>
        <tr r="Z236" s="1"/>
      </tp>
      <tp t="s">
        <v>#N/A N/A</v>
        <stp/>
        <stp>BDP|748080079171900938</stp>
        <tr r="AA461" s="1"/>
      </tp>
      <tp t="s">
        <v>#N/A N/A</v>
        <stp/>
        <stp>BDP|209222953848873044</stp>
        <tr r="Y1047" s="1"/>
      </tp>
      <tp t="s">
        <v>#N/A N/A</v>
        <stp/>
        <stp>BDP|666808901662072588</stp>
        <tr r="AA694" s="1"/>
      </tp>
      <tp t="s">
        <v>#N/A N/A</v>
        <stp/>
        <stp>BDP|992371030406157976</stp>
        <tr r="Z352" s="1"/>
      </tp>
      <tp t="s">
        <v>#N/A N/A</v>
        <stp/>
        <stp>BDP|255632136752874872</stp>
        <tr r="AA1203" s="1"/>
      </tp>
      <tp t="s">
        <v>#N/A N/A</v>
        <stp/>
        <stp>BDP|930152590852305563</stp>
        <tr r="AA1163" s="1"/>
      </tp>
      <tp t="s">
        <v>#N/A N/A</v>
        <stp/>
        <stp>BDP|131667786653373297</stp>
        <tr r="Y679" s="1"/>
      </tp>
      <tp t="s">
        <v>#N/A N/A</v>
        <stp/>
        <stp>BDP|244213339698664684</stp>
        <tr r="AA960" s="1"/>
      </tp>
      <tp t="s">
        <v>#N/A N/A</v>
        <stp/>
        <stp>BDP|447675313791762901</stp>
        <tr r="AA1099" s="1"/>
      </tp>
      <tp t="s">
        <v>#N/A N/A</v>
        <stp/>
        <stp>BDP|430274954758385065</stp>
        <tr r="AA253" s="1"/>
      </tp>
      <tp t="s">
        <v>#N/A N/A</v>
        <stp/>
        <stp>BDP|335552022590360854</stp>
        <tr r="AA992" s="1"/>
      </tp>
      <tp t="s">
        <v>#N/A N/A</v>
        <stp/>
        <stp>BDP|342184311086491806</stp>
        <tr r="AA241" s="1"/>
      </tp>
      <tp t="s">
        <v>#N/A N/A</v>
        <stp/>
        <stp>BDP|824877445156465468</stp>
        <tr r="AA1277" s="1"/>
      </tp>
      <tp t="s">
        <v>#N/A N/A</v>
        <stp/>
        <stp>BDP|824738228832357982</stp>
        <tr r="Z530" s="1"/>
      </tp>
      <tp t="s">
        <v>#N/A N/A</v>
        <stp/>
        <stp>BDP|939827860651476158</stp>
        <tr r="Z876" s="1"/>
      </tp>
      <tp t="s">
        <v>#N/A N/A</v>
        <stp/>
        <stp>BDP|780768268196503965</stp>
        <tr r="Y1130" s="1"/>
      </tp>
      <tp t="s">
        <v>#N/A N/A</v>
        <stp/>
        <stp>BDP|764244663033694924</stp>
        <tr r="AA1093" s="1"/>
      </tp>
      <tp t="s">
        <v>#N/A N/A</v>
        <stp/>
        <stp>BDP|735636158808303594</stp>
        <tr r="Z457" s="1"/>
      </tp>
      <tp t="s">
        <v>#N/A N/A</v>
        <stp/>
        <stp>BDP|370217513965522854</stp>
        <tr r="Y68" s="1"/>
      </tp>
      <tp t="s">
        <v>#N/A N/A</v>
        <stp/>
        <stp>BDP|569344950861246901</stp>
        <tr r="AA528" s="1"/>
      </tp>
      <tp t="s">
        <v>#N/A N/A</v>
        <stp/>
        <stp>BDP|463720960228421714</stp>
        <tr r="Z1291" s="1"/>
      </tp>
      <tp t="s">
        <v>#N/A N/A</v>
        <stp/>
        <stp>BDP|541266404389779534</stp>
        <tr r="Y1206" s="1"/>
      </tp>
      <tp t="s">
        <v>#N/A N/A</v>
        <stp/>
        <stp>BDP|719289593420600274</stp>
        <tr r="AA1122" s="1"/>
      </tp>
      <tp t="s">
        <v>#N/A N/A</v>
        <stp/>
        <stp>BDP|862521976552588965</stp>
        <tr r="Z404" s="1"/>
      </tp>
      <tp t="s">
        <v>#N/A N/A</v>
        <stp/>
        <stp>BDP|927071371898557627</stp>
        <tr r="AA431" s="1"/>
      </tp>
      <tp t="s">
        <v>#N/A N/A</v>
        <stp/>
        <stp>BDP|972717322448299409</stp>
        <tr r="Z1192" s="1"/>
      </tp>
      <tp t="s">
        <v>#N/A N/A</v>
        <stp/>
        <stp>BDP|683553999764566160</stp>
        <tr r="AA973" s="1"/>
      </tp>
      <tp t="s">
        <v>#N/A N/A</v>
        <stp/>
        <stp>BDP|550388909299413354</stp>
        <tr r="Z734" s="1"/>
      </tp>
      <tp t="s">
        <v>#N/A N/A</v>
        <stp/>
        <stp>BDP|238786597954060381</stp>
        <tr r="Y553" s="1"/>
      </tp>
      <tp t="s">
        <v>#N/A N/A</v>
        <stp/>
        <stp>BDP|553023271148275678</stp>
        <tr r="Y552" s="1"/>
      </tp>
      <tp t="s">
        <v>#N/A N/A</v>
        <stp/>
        <stp>BDP|800163035893496904</stp>
        <tr r="Z801" s="1"/>
      </tp>
      <tp t="s">
        <v>#N/A N/A</v>
        <stp/>
        <stp>BDP|463384267879167428</stp>
        <tr r="Y273" s="1"/>
      </tp>
      <tp t="s">
        <v>#N/A N/A</v>
        <stp/>
        <stp>BDP|518635334485907835</stp>
        <tr r="Y756" s="1"/>
      </tp>
      <tp t="s">
        <v>#N/A N/A</v>
        <stp/>
        <stp>BDP|413929507163830226</stp>
        <tr r="AA211" s="1"/>
      </tp>
      <tp t="s">
        <v>#N/A N/A</v>
        <stp/>
        <stp>BDP|192194584905540424</stp>
        <tr r="Y1144" s="1"/>
      </tp>
      <tp t="s">
        <v>#N/A N/A</v>
        <stp/>
        <stp>BDP|221080984833174385</stp>
        <tr r="AA564" s="1"/>
      </tp>
      <tp t="s">
        <v>#N/A N/A</v>
        <stp/>
        <stp>BDP|286551313214746841</stp>
        <tr r="Y1263" s="1"/>
      </tp>
      <tp t="s">
        <v>#N/A N/A</v>
        <stp/>
        <stp>BDP|751894968980041595</stp>
        <tr r="Z683" s="1"/>
      </tp>
      <tp t="s">
        <v>#N/A N/A</v>
        <stp/>
        <stp>BDP|953733390790725543</stp>
        <tr r="AA63" s="1"/>
      </tp>
      <tp t="s">
        <v>#N/A N/A</v>
        <stp/>
        <stp>BDP|116884029165055490</stp>
        <tr r="AA1176" s="1"/>
      </tp>
      <tp t="s">
        <v>#N/A N/A</v>
        <stp/>
        <stp>BDP|745496281791005663</stp>
        <tr r="Z776" s="1"/>
      </tp>
      <tp t="s">
        <v>#N/A N/A</v>
        <stp/>
        <stp>BDP|530907084128385287</stp>
        <tr r="Z559" s="1"/>
      </tp>
      <tp t="s">
        <v>#N/A N/A</v>
        <stp/>
        <stp>BDP|850403196256561004</stp>
        <tr r="Y11" s="1"/>
      </tp>
      <tp t="s">
        <v>#N/A N/A</v>
        <stp/>
        <stp>BDP|241917757822606567</stp>
        <tr r="AA762" s="1"/>
      </tp>
      <tp t="s">
        <v>#N/A N/A</v>
        <stp/>
        <stp>BDP|827081692177465535</stp>
        <tr r="Y1170" s="1"/>
      </tp>
      <tp t="s">
        <v>#N/A N/A</v>
        <stp/>
        <stp>BDP|937843159301190726</stp>
        <tr r="Z1292" s="1"/>
      </tp>
      <tp t="s">
        <v>#N/A N/A</v>
        <stp/>
        <stp>BDP|869488021284243931</stp>
        <tr r="AA1089" s="1"/>
      </tp>
      <tp t="s">
        <v>#N/A N/A</v>
        <stp/>
        <stp>BDP|155338322448466248</stp>
        <tr r="Y120" s="1"/>
      </tp>
      <tp t="s">
        <v>#N/A N/A</v>
        <stp/>
        <stp>BDP|829312959164860980</stp>
        <tr r="AA979" s="1"/>
      </tp>
      <tp t="s">
        <v>#N/A N/A</v>
        <stp/>
        <stp>BDP|973423728254602978</stp>
        <tr r="Z781" s="1"/>
      </tp>
      <tp t="s">
        <v>#N/A N/A</v>
        <stp/>
        <stp>BDP|725768993303696677</stp>
        <tr r="Z905" s="1"/>
      </tp>
      <tp t="s">
        <v>#N/A N/A</v>
        <stp/>
        <stp>BDP|657091238688570011</stp>
        <tr r="AA435" s="1"/>
      </tp>
      <tp t="s">
        <v>#N/A N/A</v>
        <stp/>
        <stp>BDP|921109775579687560</stp>
        <tr r="Y993" s="1"/>
      </tp>
      <tp t="s">
        <v>#N/A N/A</v>
        <stp/>
        <stp>BDP|436864065090821417</stp>
        <tr r="Z290" s="1"/>
      </tp>
      <tp t="s">
        <v>#N/A N/A</v>
        <stp/>
        <stp>BDP|310389304371721874</stp>
        <tr r="AA774" s="1"/>
      </tp>
      <tp t="s">
        <v>#N/A N/A</v>
        <stp/>
        <stp>BDP|716893560555781114</stp>
        <tr r="AA1315" s="1"/>
      </tp>
      <tp t="s">
        <v>#N/A N/A</v>
        <stp/>
        <stp>BDP|740980338513755399</stp>
        <tr r="Z874" s="1"/>
      </tp>
      <tp t="s">
        <v>#N/A N/A</v>
        <stp/>
        <stp>BDP|951165690924457611</stp>
        <tr r="AA388" s="1"/>
      </tp>
      <tp t="s">
        <v>#N/A N/A</v>
        <stp/>
        <stp>BDP|356557695183979504</stp>
        <tr r="AA87" s="1"/>
      </tp>
      <tp t="s">
        <v>#N/A N/A</v>
        <stp/>
        <stp>BDP|831021361629819593</stp>
        <tr r="AA74" s="1"/>
      </tp>
      <tp t="s">
        <v>#N/A N/A</v>
        <stp/>
        <stp>BDP|785776392673723717</stp>
        <tr r="Y524" s="1"/>
      </tp>
      <tp t="s">
        <v>#N/A N/A</v>
        <stp/>
        <stp>BDP|604871431758595906</stp>
        <tr r="AA1012" s="1"/>
      </tp>
      <tp t="s">
        <v>#N/A N/A</v>
        <stp/>
        <stp>BDP|594618131117209805</stp>
        <tr r="AA250" s="1"/>
      </tp>
      <tp t="s">
        <v>#N/A N/A</v>
        <stp/>
        <stp>BDP|207974272653547738</stp>
        <tr r="Y1275" s="1"/>
      </tp>
      <tp t="s">
        <v>#N/A N/A</v>
        <stp/>
        <stp>BDP|585710613044778810</stp>
        <tr r="Z93" s="1"/>
      </tp>
      <tp t="s">
        <v>#N/A N/A</v>
        <stp/>
        <stp>BDP|975838639904195508</stp>
        <tr r="AA133" s="1"/>
      </tp>
      <tp t="s">
        <v>#N/A N/A</v>
        <stp/>
        <stp>BDP|906804637247741</stp>
        <tr r="Z1149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aktree Excel New Branding">
  <a:themeElements>
    <a:clrScheme name="Oaktree New Branding Theme">
      <a:dk1>
        <a:srgbClr val="000000"/>
      </a:dk1>
      <a:lt1>
        <a:srgbClr val="FFFFFF"/>
      </a:lt1>
      <a:dk2>
        <a:srgbClr val="E6E6E6"/>
      </a:dk2>
      <a:lt2>
        <a:srgbClr val="008265"/>
      </a:lt2>
      <a:accent1>
        <a:srgbClr val="0F3557"/>
      </a:accent1>
      <a:accent2>
        <a:srgbClr val="D3BE41"/>
      </a:accent2>
      <a:accent3>
        <a:srgbClr val="66A2AA"/>
      </a:accent3>
      <a:accent4>
        <a:srgbClr val="DF840B"/>
      </a:accent4>
      <a:accent5>
        <a:srgbClr val="79655F"/>
      </a:accent5>
      <a:accent6>
        <a:srgbClr val="B12D1B"/>
      </a:accent6>
      <a:hlink>
        <a:srgbClr val="008265"/>
      </a:hlink>
      <a:folHlink>
        <a:srgbClr val="0F355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008265"/>
        </a:solidFill>
        <a:ln w="9525" cap="flat" cmpd="sng" algn="ctr">
          <a:solidFill>
            <a:srgbClr val="008265"/>
          </a:solidFill>
          <a:prstDash val="solid"/>
          <a:round/>
          <a:headEnd type="none" w="med" len="med"/>
          <a:tailEnd type="none" w="med" len="med"/>
        </a:ln>
        <a:effectLst/>
      </a:spPr>
      <a:bodyPr rot="0" spcFirstLastPara="0" vertOverflow="overflow" horzOverflow="overflow" vert="horz" wrap="square" lIns="91440" tIns="91440" rIns="91440" bIns="91440" numCol="1" spcCol="0" rtlCol="0" fromWordArt="0" anchor="ctr" anchorCtr="0" forceAA="0" compatLnSpc="1">
        <a:prstTxWarp prst="textNoShape">
          <a:avLst/>
        </a:prstTxWarp>
        <a:noAutofit/>
      </a:bodyPr>
      <a:lstStyle>
        <a:defPPr marL="137160" marR="0" indent="-137160" algn="ctr" defTabSz="1019175" rtl="0" eaLnBrk="1" fontAlgn="base" latinLnBrk="0" hangingPunct="1">
          <a:lnSpc>
            <a:spcPts val="1600"/>
          </a:lnSpc>
          <a:spcBef>
            <a:spcPct val="0"/>
          </a:spcBef>
          <a:spcAft>
            <a:spcPts val="800"/>
          </a:spcAft>
          <a:buClrTx/>
          <a:buSzTx/>
          <a:buFontTx/>
          <a:buNone/>
          <a:tabLst/>
          <a:defRPr kumimoji="0" sz="1400" b="1" i="0" u="none" strike="noStrike" cap="none" normalizeH="0" baseline="0">
            <a:ln>
              <a:noFill/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defRPr>
        </a:defPPr>
      </a:lstStyle>
    </a:spDef>
    <a:lnDef>
      <a:spPr bwMode="auto">
        <a:solidFill>
          <a:schemeClr val="accent1"/>
        </a:solidFill>
        <a:ln w="3175" cap="flat" cmpd="sng" algn="ctr">
          <a:solidFill>
            <a:srgbClr val="BFBFBF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  <a:txDef>
      <a:spPr>
        <a:solidFill>
          <a:srgbClr val="EEEEEE"/>
        </a:solidFill>
      </a:spPr>
      <a:bodyPr vert="horz" wrap="square" lIns="91440" tIns="91440" rIns="91440" bIns="91440" rtlCol="0">
        <a:noAutofit/>
      </a:bodyPr>
      <a:lstStyle>
        <a:defPPr marL="137160" indent="-137160" algn="l">
          <a:lnSpc>
            <a:spcPts val="1600"/>
          </a:lnSpc>
          <a:spcAft>
            <a:spcPts val="800"/>
          </a:spcAft>
          <a:buFont typeface="Arial" panose="020B0604020202020204" pitchFamily="34" charset="0"/>
          <a:buChar char="•"/>
          <a:defRPr sz="1400" dirty="0" err="1" smtClean="0"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</a:txDef>
  </a:objectDefaults>
  <a:extraClrSchemeLst/>
  <a:custClrLst>
    <a:custClr name="Oaktree Green">
      <a:srgbClr val="008265"/>
    </a:custClr>
    <a:custClr name="Medium Grey">
      <a:srgbClr val="BFBFBF"/>
    </a:custClr>
    <a:custClr name="Light Grey">
      <a:srgbClr val="E6E6E6"/>
    </a:custClr>
    <a:custClr name="Dark Grey">
      <a:srgbClr val="898989"/>
    </a:custClr>
  </a:custClrLst>
  <a:extLst>
    <a:ext uri="{05A4C25C-085E-4340-85A3-A5531E510DB2}">
      <thm15:themeFamily xmlns:thm15="http://schemas.microsoft.com/office/thememl/2012/main" name="New Theme" id="{57202186-9967-4348-8FFA-A560B734BA84}" vid="{6068748F-3997-4990-B1FA-EBE5A7EA648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04E2-EE22-4D9B-AE2D-BB4396B2D17C}">
  <dimension ref="A1:AA1375"/>
  <sheetViews>
    <sheetView tabSelected="1" workbookViewId="0"/>
  </sheetViews>
  <sheetFormatPr defaultRowHeight="15" x14ac:dyDescent="0.25"/>
  <cols>
    <col min="2" max="2" width="21.5703125" bestFit="1" customWidth="1"/>
    <col min="3" max="4" width="21.5703125" style="4" bestFit="1" customWidth="1"/>
    <col min="5" max="5" width="21.7109375" customWidth="1"/>
    <col min="6" max="6" width="12.28515625" bestFit="1" customWidth="1"/>
    <col min="7" max="7" width="22.5703125" bestFit="1" customWidth="1"/>
    <col min="8" max="8" width="34.42578125" bestFit="1" customWidth="1"/>
    <col min="9" max="10" width="31.42578125" bestFit="1" customWidth="1"/>
    <col min="11" max="11" width="31.28515625" bestFit="1" customWidth="1"/>
    <col min="12" max="12" width="32.42578125" bestFit="1" customWidth="1"/>
    <col min="13" max="13" width="27" bestFit="1" customWidth="1"/>
    <col min="14" max="14" width="31.28515625" bestFit="1" customWidth="1"/>
    <col min="15" max="15" width="41.5703125" bestFit="1" customWidth="1"/>
    <col min="16" max="16" width="32.42578125" bestFit="1" customWidth="1"/>
    <col min="17" max="17" width="27" bestFit="1" customWidth="1"/>
    <col min="18" max="18" width="29.28515625" bestFit="1" customWidth="1"/>
    <col min="21" max="21" width="30.42578125" bestFit="1" customWidth="1"/>
    <col min="22" max="23" width="30.42578125" customWidth="1"/>
    <col min="24" max="24" width="20.85546875" bestFit="1" customWidth="1"/>
    <col min="25" max="25" width="13.28515625" bestFit="1" customWidth="1"/>
    <col min="26" max="27" width="30.42578125" customWidth="1"/>
  </cols>
  <sheetData>
    <row r="1" spans="1:27" x14ac:dyDescent="0.25">
      <c r="B1" t="s">
        <v>0</v>
      </c>
      <c r="C1" s="4" t="s">
        <v>1</v>
      </c>
      <c r="D1" s="4" t="s">
        <v>2</v>
      </c>
      <c r="E1" t="s">
        <v>3</v>
      </c>
      <c r="F1" t="s">
        <v>4</v>
      </c>
      <c r="G1" t="s">
        <v>1163</v>
      </c>
      <c r="H1" t="s">
        <v>1164</v>
      </c>
      <c r="I1" t="s">
        <v>2625</v>
      </c>
      <c r="J1" t="s">
        <v>2626</v>
      </c>
      <c r="K1" t="s">
        <v>1165</v>
      </c>
      <c r="L1" t="s">
        <v>1166</v>
      </c>
      <c r="M1" t="s">
        <v>5</v>
      </c>
      <c r="N1" t="s">
        <v>6</v>
      </c>
      <c r="O1" t="s">
        <v>3104</v>
      </c>
      <c r="P1" t="s">
        <v>2627</v>
      </c>
      <c r="Q1" t="s">
        <v>3105</v>
      </c>
      <c r="R1" t="s">
        <v>7</v>
      </c>
      <c r="S1" t="s">
        <v>224</v>
      </c>
      <c r="T1" t="s">
        <v>2628</v>
      </c>
      <c r="U1" t="s">
        <v>1167</v>
      </c>
      <c r="V1" t="s">
        <v>225</v>
      </c>
      <c r="W1" t="s">
        <v>76</v>
      </c>
      <c r="X1" t="s">
        <v>3102</v>
      </c>
      <c r="Y1" t="s">
        <v>3103</v>
      </c>
      <c r="Z1" t="s">
        <v>3321</v>
      </c>
      <c r="AA1" t="s">
        <v>3322</v>
      </c>
    </row>
    <row r="2" spans="1:27" x14ac:dyDescent="0.25">
      <c r="A2">
        <v>0</v>
      </c>
      <c r="B2" t="s">
        <v>3323</v>
      </c>
      <c r="C2" s="4" t="s">
        <v>3324</v>
      </c>
      <c r="D2" s="4">
        <v>500000000</v>
      </c>
      <c r="E2" t="s">
        <v>17</v>
      </c>
      <c r="F2" s="1">
        <v>48122</v>
      </c>
      <c r="G2">
        <v>10.375</v>
      </c>
      <c r="H2" t="s">
        <v>9</v>
      </c>
      <c r="L2" t="s">
        <v>1168</v>
      </c>
      <c r="M2" t="s">
        <v>10</v>
      </c>
      <c r="N2" t="s">
        <v>36</v>
      </c>
      <c r="O2" t="s">
        <v>3191</v>
      </c>
      <c r="P2" t="s">
        <v>2687</v>
      </c>
      <c r="Q2" t="s">
        <v>2687</v>
      </c>
      <c r="R2" t="s">
        <v>3325</v>
      </c>
      <c r="S2">
        <v>1920534.2900324599</v>
      </c>
      <c r="T2">
        <v>34</v>
      </c>
      <c r="U2" t="s">
        <v>1169</v>
      </c>
      <c r="W2" t="s">
        <v>3324</v>
      </c>
      <c r="X2" t="str">
        <f>SUBSTITUTE(B2," Corp","@TRAC Corp")</f>
        <v>DM212310@TRAC Corp</v>
      </c>
      <c r="Y2">
        <f>_xlfn.IFNA(_xll.BDP(X2,"INTERVAL_SUM", "MARKET_DATA_OVERRIDE=px_volume", "CALC_INTERVAL=5D"), "")</f>
        <v>6875</v>
      </c>
      <c r="Z2" t="str" cm="1">
        <f t="array" ref="Z2">_xll.BDP(B2, "CF_ACT_CASH_PAID_FOR_INT_DEBT")</f>
        <v>#N/A N/A</v>
      </c>
      <c r="AA2" t="str" cm="1">
        <f t="array" ref="AA2">_xll.BDP(B2, "TYPE_OF_BOND")</f>
        <v>#N/A Field Not Applicable</v>
      </c>
    </row>
    <row r="3" spans="1:27" x14ac:dyDescent="0.25">
      <c r="A3">
        <v>1</v>
      </c>
      <c r="B3" t="s">
        <v>3326</v>
      </c>
      <c r="C3" s="4" t="s">
        <v>3327</v>
      </c>
      <c r="D3" s="4">
        <v>1000000000</v>
      </c>
      <c r="E3" t="s">
        <v>12</v>
      </c>
      <c r="F3" s="1">
        <v>47253</v>
      </c>
      <c r="G3">
        <v>9.75</v>
      </c>
      <c r="H3" t="s">
        <v>9</v>
      </c>
      <c r="L3" t="s">
        <v>1168</v>
      </c>
      <c r="M3" t="s">
        <v>10</v>
      </c>
      <c r="N3" t="s">
        <v>14</v>
      </c>
      <c r="O3" t="s">
        <v>3120</v>
      </c>
      <c r="P3" t="s">
        <v>2641</v>
      </c>
      <c r="Q3" t="s">
        <v>3122</v>
      </c>
      <c r="R3" t="s">
        <v>3328</v>
      </c>
      <c r="S3">
        <v>12082947.4161832</v>
      </c>
      <c r="T3">
        <v>43</v>
      </c>
      <c r="U3" t="s">
        <v>1169</v>
      </c>
      <c r="W3" t="s">
        <v>3327</v>
      </c>
      <c r="X3" t="str">
        <f t="shared" ref="X3:X66" si="0">SUBSTITUTE(B3," Corp","@TRAC Corp")</f>
        <v>ZB795330@TRAC Corp</v>
      </c>
      <c r="Y3">
        <f>_xlfn.IFNA(_xll.BDP(X3,"INTERVAL_SUM", "MARKET_DATA_OVERRIDE=px_volume", "CALC_INTERVAL=5D"), "")</f>
        <v>31024</v>
      </c>
      <c r="Z3" t="str" cm="1">
        <f t="array" ref="Z3">_xll.BDP(B3, "CF_ACT_CASH_PAID_FOR_INT_DEBT")</f>
        <v>#N/A N/A</v>
      </c>
      <c r="AA3" t="str" cm="1">
        <f t="array" ref="AA3">_xll.BDP(B3, "TYPE_OF_BOND")</f>
        <v>#N/A Field Not Applicable</v>
      </c>
    </row>
    <row r="4" spans="1:27" x14ac:dyDescent="0.25">
      <c r="A4">
        <v>2</v>
      </c>
      <c r="B4" t="s">
        <v>3329</v>
      </c>
      <c r="C4" s="4" t="s">
        <v>3330</v>
      </c>
      <c r="D4" s="4">
        <v>978784464.47000003</v>
      </c>
      <c r="E4" t="s">
        <v>11</v>
      </c>
      <c r="F4" s="1">
        <v>47711</v>
      </c>
      <c r="G4">
        <v>6.6439000000000004</v>
      </c>
      <c r="H4" t="s">
        <v>13</v>
      </c>
      <c r="I4" t="s">
        <v>2631</v>
      </c>
      <c r="J4">
        <v>300</v>
      </c>
      <c r="L4" t="s">
        <v>1168</v>
      </c>
      <c r="M4" t="s">
        <v>10</v>
      </c>
      <c r="N4" t="s">
        <v>36</v>
      </c>
      <c r="O4" t="s">
        <v>3113</v>
      </c>
      <c r="P4" t="s">
        <v>2639</v>
      </c>
      <c r="Q4" t="s">
        <v>3214</v>
      </c>
      <c r="R4" t="s">
        <v>3331</v>
      </c>
      <c r="S4">
        <v>2000000</v>
      </c>
      <c r="T4">
        <v>6</v>
      </c>
      <c r="V4" t="s">
        <v>227</v>
      </c>
      <c r="W4" t="s">
        <v>3330</v>
      </c>
      <c r="X4" t="str">
        <f t="shared" si="0"/>
        <v>BL498682@TRAC Corp</v>
      </c>
      <c r="Y4" t="str">
        <f>_xlfn.IFNA(_xll.BDP(X4,"INTERVAL_SUM", "MARKET_DATA_OVERRIDE=px_volume", "CALC_INTERVAL=5D"), "")</f>
        <v>#N/A N/A</v>
      </c>
      <c r="Z4" t="str" cm="1">
        <f t="array" ref="Z4">_xll.BDP(B4, "CF_ACT_CASH_PAID_FOR_INT_DEBT")</f>
        <v>#N/A N/A</v>
      </c>
      <c r="AA4" t="str" cm="1">
        <f t="array" ref="AA4">_xll.BDP(B4, "TYPE_OF_BOND")</f>
        <v>#N/A Field Not Applicable</v>
      </c>
    </row>
    <row r="5" spans="1:27" x14ac:dyDescent="0.25">
      <c r="A5">
        <v>3</v>
      </c>
      <c r="B5" t="s">
        <v>44</v>
      </c>
      <c r="C5" s="4" t="s">
        <v>38</v>
      </c>
      <c r="D5" s="4">
        <v>1000000000</v>
      </c>
      <c r="E5" t="s">
        <v>17</v>
      </c>
      <c r="F5" s="1">
        <v>46888</v>
      </c>
      <c r="G5">
        <v>11.25</v>
      </c>
      <c r="H5" t="s">
        <v>9</v>
      </c>
      <c r="L5" t="s">
        <v>1168</v>
      </c>
      <c r="M5" t="s">
        <v>10</v>
      </c>
      <c r="N5" t="s">
        <v>16</v>
      </c>
      <c r="O5" t="s">
        <v>3106</v>
      </c>
      <c r="P5" t="s">
        <v>2629</v>
      </c>
      <c r="Q5" t="s">
        <v>3107</v>
      </c>
      <c r="R5" t="s">
        <v>45</v>
      </c>
      <c r="S5">
        <v>24476309.368709601</v>
      </c>
      <c r="T5">
        <v>18</v>
      </c>
      <c r="U5" t="s">
        <v>1169</v>
      </c>
      <c r="W5" t="s">
        <v>78</v>
      </c>
      <c r="X5" t="str">
        <f t="shared" si="0"/>
        <v>ZK271952@TRAC Corp</v>
      </c>
      <c r="Y5">
        <f>_xlfn.IFNA(_xll.BDP(X5,"INTERVAL_SUM", "MARKET_DATA_OVERRIDE=px_volume", "CALC_INTERVAL=5D"), "")</f>
        <v>6760</v>
      </c>
      <c r="Z5" cm="1">
        <f t="array" ref="Z5">_xll.BDP(B5, "CF_ACT_CASH_PAID_FOR_INT_DEBT")</f>
        <v>1781.107</v>
      </c>
      <c r="AA5" t="str" cm="1">
        <f t="array" ref="AA5">_xll.BDP(B5, "TYPE_OF_BOND")</f>
        <v>#N/A Field Not Applicable</v>
      </c>
    </row>
    <row r="6" spans="1:27" x14ac:dyDescent="0.25">
      <c r="A6">
        <v>4</v>
      </c>
      <c r="B6" t="s">
        <v>37</v>
      </c>
      <c r="C6" s="4" t="s">
        <v>38</v>
      </c>
      <c r="D6" s="4">
        <v>2050000000</v>
      </c>
      <c r="E6" t="s">
        <v>17</v>
      </c>
      <c r="F6" s="1">
        <v>47149</v>
      </c>
      <c r="G6">
        <v>11.75</v>
      </c>
      <c r="H6" t="s">
        <v>9</v>
      </c>
      <c r="L6" t="s">
        <v>1168</v>
      </c>
      <c r="M6" t="s">
        <v>10</v>
      </c>
      <c r="N6" t="s">
        <v>16</v>
      </c>
      <c r="O6" t="s">
        <v>3106</v>
      </c>
      <c r="P6" t="s">
        <v>2629</v>
      </c>
      <c r="Q6" t="s">
        <v>3107</v>
      </c>
      <c r="R6" t="s">
        <v>39</v>
      </c>
      <c r="S6">
        <v>8528710.2503873706</v>
      </c>
      <c r="T6">
        <v>26</v>
      </c>
      <c r="U6" t="s">
        <v>1169</v>
      </c>
      <c r="W6" t="s">
        <v>78</v>
      </c>
      <c r="X6" t="str">
        <f t="shared" si="0"/>
        <v>ZF436545@TRAC Corp</v>
      </c>
      <c r="Y6">
        <f>_xlfn.IFNA(_xll.BDP(X6,"INTERVAL_SUM", "MARKET_DATA_OVERRIDE=px_volume", "CALC_INTERVAL=5D"), "")</f>
        <v>14075</v>
      </c>
      <c r="Z6" cm="1">
        <f t="array" ref="Z6">_xll.BDP(B6, "CF_ACT_CASH_PAID_FOR_INT_DEBT")</f>
        <v>1781.107</v>
      </c>
      <c r="AA6" t="str" cm="1">
        <f t="array" ref="AA6">_xll.BDP(B6, "TYPE_OF_BOND")</f>
        <v>#N/A Field Not Applicable</v>
      </c>
    </row>
    <row r="7" spans="1:27" x14ac:dyDescent="0.25">
      <c r="A7">
        <v>5</v>
      </c>
      <c r="B7" t="s">
        <v>42</v>
      </c>
      <c r="C7" s="4" t="s">
        <v>38</v>
      </c>
      <c r="D7" s="4">
        <v>1310000000</v>
      </c>
      <c r="E7" t="s">
        <v>17</v>
      </c>
      <c r="F7" s="1">
        <v>46492</v>
      </c>
      <c r="G7">
        <v>5.5</v>
      </c>
      <c r="H7" t="s">
        <v>9</v>
      </c>
      <c r="L7" t="s">
        <v>1168</v>
      </c>
      <c r="M7" t="s">
        <v>10</v>
      </c>
      <c r="N7" t="s">
        <v>16</v>
      </c>
      <c r="O7" t="s">
        <v>3106</v>
      </c>
      <c r="P7" t="s">
        <v>2629</v>
      </c>
      <c r="Q7" t="s">
        <v>3107</v>
      </c>
      <c r="R7" t="s">
        <v>43</v>
      </c>
      <c r="S7">
        <v>6280771.7236617403</v>
      </c>
      <c r="T7">
        <v>27</v>
      </c>
      <c r="U7" t="s">
        <v>1169</v>
      </c>
      <c r="W7" t="s">
        <v>78</v>
      </c>
      <c r="X7" t="str">
        <f t="shared" si="0"/>
        <v>QZ513404@TRAC Corp</v>
      </c>
      <c r="Y7">
        <f>_xlfn.IFNA(_xll.BDP(X7,"INTERVAL_SUM", "MARKET_DATA_OVERRIDE=px_volume", "CALC_INTERVAL=5D"), "")</f>
        <v>8415</v>
      </c>
      <c r="Z7" cm="1">
        <f t="array" ref="Z7">_xll.BDP(B7, "CF_ACT_CASH_PAID_FOR_INT_DEBT")</f>
        <v>1781.107</v>
      </c>
      <c r="AA7" t="str" cm="1">
        <f t="array" ref="AA7">_xll.BDP(B7, "TYPE_OF_BOND")</f>
        <v>#N/A Field Not Applicable</v>
      </c>
    </row>
    <row r="8" spans="1:27" x14ac:dyDescent="0.25">
      <c r="A8">
        <v>6</v>
      </c>
      <c r="B8" t="s">
        <v>60</v>
      </c>
      <c r="C8" s="4" t="s">
        <v>38</v>
      </c>
      <c r="D8" s="4">
        <v>500000000</v>
      </c>
      <c r="E8" t="s">
        <v>17</v>
      </c>
      <c r="F8" s="1">
        <v>48167</v>
      </c>
      <c r="G8">
        <v>5</v>
      </c>
      <c r="H8" t="s">
        <v>9</v>
      </c>
      <c r="L8" t="s">
        <v>1168</v>
      </c>
      <c r="M8" t="s">
        <v>10</v>
      </c>
      <c r="N8" t="s">
        <v>16</v>
      </c>
      <c r="O8" t="s">
        <v>3106</v>
      </c>
      <c r="P8" t="s">
        <v>2629</v>
      </c>
      <c r="Q8" t="s">
        <v>3107</v>
      </c>
      <c r="R8" t="s">
        <v>61</v>
      </c>
      <c r="S8">
        <v>17809492.850631598</v>
      </c>
      <c r="T8">
        <v>6</v>
      </c>
      <c r="U8" t="s">
        <v>1169</v>
      </c>
      <c r="W8" t="s">
        <v>78</v>
      </c>
      <c r="X8" t="str">
        <f t="shared" si="0"/>
        <v>BP331373@TRAC Corp</v>
      </c>
      <c r="Y8">
        <f>_xlfn.IFNA(_xll.BDP(X8,"INTERVAL_SUM", "MARKET_DATA_OVERRIDE=px_volume", "CALC_INTERVAL=5D"), "")</f>
        <v>200</v>
      </c>
      <c r="Z8" cm="1">
        <f t="array" ref="Z8">_xll.BDP(B8, "CF_ACT_CASH_PAID_FOR_INT_DEBT")</f>
        <v>1781.107</v>
      </c>
      <c r="AA8" t="str" cm="1">
        <f t="array" ref="AA8">_xll.BDP(B8, "TYPE_OF_BOND")</f>
        <v>#N/A Field Not Applicable</v>
      </c>
    </row>
    <row r="9" spans="1:27" x14ac:dyDescent="0.25">
      <c r="A9">
        <v>7</v>
      </c>
      <c r="B9" t="s">
        <v>40</v>
      </c>
      <c r="C9" s="4" t="s">
        <v>38</v>
      </c>
      <c r="D9" s="4">
        <v>1500000000</v>
      </c>
      <c r="E9" t="s">
        <v>17</v>
      </c>
      <c r="F9" s="1">
        <v>48167</v>
      </c>
      <c r="G9">
        <v>4.5</v>
      </c>
      <c r="H9" t="s">
        <v>9</v>
      </c>
      <c r="L9" t="s">
        <v>1168</v>
      </c>
      <c r="M9" t="s">
        <v>10</v>
      </c>
      <c r="N9" t="s">
        <v>16</v>
      </c>
      <c r="O9" t="s">
        <v>3106</v>
      </c>
      <c r="P9" t="s">
        <v>2629</v>
      </c>
      <c r="Q9" t="s">
        <v>3107</v>
      </c>
      <c r="R9" t="s">
        <v>41</v>
      </c>
      <c r="S9">
        <v>6000069.0560490796</v>
      </c>
      <c r="T9">
        <v>26</v>
      </c>
      <c r="U9" t="s">
        <v>1170</v>
      </c>
      <c r="W9" t="s">
        <v>78</v>
      </c>
      <c r="X9" t="str">
        <f t="shared" si="0"/>
        <v>BP327733@TRAC Corp</v>
      </c>
      <c r="Y9">
        <f>_xlfn.IFNA(_xll.BDP(X9,"INTERVAL_SUM", "MARKET_DATA_OVERRIDE=px_volume", "CALC_INTERVAL=5D"), "")</f>
        <v>10100</v>
      </c>
      <c r="Z9" cm="1">
        <f t="array" ref="Z9">_xll.BDP(B9, "CF_ACT_CASH_PAID_FOR_INT_DEBT")</f>
        <v>1781.107</v>
      </c>
      <c r="AA9" t="str" cm="1">
        <f t="array" ref="AA9">_xll.BDP(B9, "TYPE_OF_BOND")</f>
        <v>#N/A Field Not Applicable</v>
      </c>
    </row>
    <row r="10" spans="1:27" x14ac:dyDescent="0.25">
      <c r="A10">
        <v>8</v>
      </c>
      <c r="B10" t="s">
        <v>52</v>
      </c>
      <c r="C10" s="4" t="s">
        <v>38</v>
      </c>
      <c r="D10" s="4">
        <v>1000000000</v>
      </c>
      <c r="E10" t="s">
        <v>17</v>
      </c>
      <c r="F10" s="1">
        <v>47894</v>
      </c>
      <c r="G10">
        <v>3.375</v>
      </c>
      <c r="H10" t="s">
        <v>9</v>
      </c>
      <c r="L10" t="s">
        <v>1168</v>
      </c>
      <c r="M10" t="s">
        <v>10</v>
      </c>
      <c r="N10" t="s">
        <v>16</v>
      </c>
      <c r="O10" t="s">
        <v>3106</v>
      </c>
      <c r="P10" t="s">
        <v>2629</v>
      </c>
      <c r="Q10" t="s">
        <v>3107</v>
      </c>
      <c r="R10" t="s">
        <v>53</v>
      </c>
      <c r="S10">
        <v>4136874.8497491102</v>
      </c>
      <c r="T10">
        <v>24</v>
      </c>
      <c r="U10" t="s">
        <v>1169</v>
      </c>
      <c r="W10" t="s">
        <v>78</v>
      </c>
      <c r="X10" t="str">
        <f t="shared" si="0"/>
        <v>BK766503@TRAC Corp</v>
      </c>
      <c r="Y10">
        <f>_xlfn.IFNA(_xll.BDP(X10,"INTERVAL_SUM", "MARKET_DATA_OVERRIDE=px_volume", "CALC_INTERVAL=5D"), "")</f>
        <v>4121</v>
      </c>
      <c r="Z10" cm="1">
        <f t="array" ref="Z10">_xll.BDP(B10, "CF_ACT_CASH_PAID_FOR_INT_DEBT")</f>
        <v>1781.107</v>
      </c>
      <c r="AA10" t="str" cm="1">
        <f t="array" ref="AA10">_xll.BDP(B10, "TYPE_OF_BOND")</f>
        <v>#N/A Field Not Applicable</v>
      </c>
    </row>
    <row r="11" spans="1:27" x14ac:dyDescent="0.25">
      <c r="A11">
        <v>9</v>
      </c>
      <c r="B11" t="s">
        <v>58</v>
      </c>
      <c r="C11" s="4" t="s">
        <v>38</v>
      </c>
      <c r="D11" s="4">
        <v>2325000000</v>
      </c>
      <c r="E11" t="s">
        <v>17</v>
      </c>
      <c r="F11" s="1">
        <v>47818</v>
      </c>
      <c r="G11">
        <v>4.625</v>
      </c>
      <c r="H11" t="s">
        <v>9</v>
      </c>
      <c r="L11" t="s">
        <v>1168</v>
      </c>
      <c r="M11" t="s">
        <v>10</v>
      </c>
      <c r="N11" t="s">
        <v>16</v>
      </c>
      <c r="O11" t="s">
        <v>3106</v>
      </c>
      <c r="P11" t="s">
        <v>2629</v>
      </c>
      <c r="Q11" t="s">
        <v>3107</v>
      </c>
      <c r="R11" t="s">
        <v>59</v>
      </c>
      <c r="S11">
        <v>6117257.6267905198</v>
      </c>
      <c r="T11">
        <v>7</v>
      </c>
      <c r="U11" t="s">
        <v>1170</v>
      </c>
      <c r="W11" t="s">
        <v>78</v>
      </c>
      <c r="X11" t="str">
        <f t="shared" si="0"/>
        <v>BJ819175@TRAC Corp</v>
      </c>
      <c r="Y11">
        <f>_xlfn.IFNA(_xll.BDP(X11,"INTERVAL_SUM", "MARKET_DATA_OVERRIDE=px_volume", "CALC_INTERVAL=5D"), "")</f>
        <v>875</v>
      </c>
      <c r="Z11" cm="1">
        <f t="array" ref="Z11">_xll.BDP(B11, "CF_ACT_CASH_PAID_FOR_INT_DEBT")</f>
        <v>1781.107</v>
      </c>
      <c r="AA11" t="str" cm="1">
        <f t="array" ref="AA11">_xll.BDP(B11, "TYPE_OF_BOND")</f>
        <v>#N/A Field Not Applicable</v>
      </c>
    </row>
    <row r="12" spans="1:27" x14ac:dyDescent="0.25">
      <c r="A12">
        <v>10</v>
      </c>
      <c r="B12" t="s">
        <v>56</v>
      </c>
      <c r="C12" s="4" t="s">
        <v>38</v>
      </c>
      <c r="D12" s="4">
        <v>1100000000</v>
      </c>
      <c r="E12" t="s">
        <v>17</v>
      </c>
      <c r="F12" s="1">
        <v>47818</v>
      </c>
      <c r="G12">
        <v>4.125</v>
      </c>
      <c r="H12" t="s">
        <v>9</v>
      </c>
      <c r="L12" t="s">
        <v>1168</v>
      </c>
      <c r="M12" t="s">
        <v>10</v>
      </c>
      <c r="N12" t="s">
        <v>16</v>
      </c>
      <c r="O12" t="s">
        <v>3106</v>
      </c>
      <c r="P12" t="s">
        <v>2629</v>
      </c>
      <c r="Q12" t="s">
        <v>3107</v>
      </c>
      <c r="R12" t="s">
        <v>57</v>
      </c>
      <c r="S12">
        <v>4996127.9960528603</v>
      </c>
      <c r="T12">
        <v>25</v>
      </c>
      <c r="U12" t="s">
        <v>1169</v>
      </c>
      <c r="W12" t="s">
        <v>78</v>
      </c>
      <c r="X12" t="str">
        <f t="shared" si="0"/>
        <v>BJ816239@TRAC Corp</v>
      </c>
      <c r="Y12">
        <f>_xlfn.IFNA(_xll.BDP(X12,"INTERVAL_SUM", "MARKET_DATA_OVERRIDE=px_volume", "CALC_INTERVAL=5D"), "")</f>
        <v>9415</v>
      </c>
      <c r="Z12" cm="1">
        <f t="array" ref="Z12">_xll.BDP(B12, "CF_ACT_CASH_PAID_FOR_INT_DEBT")</f>
        <v>1781.107</v>
      </c>
      <c r="AA12" t="str" cm="1">
        <f t="array" ref="AA12">_xll.BDP(B12, "TYPE_OF_BOND")</f>
        <v>#N/A Field Not Applicable</v>
      </c>
    </row>
    <row r="13" spans="1:27" x14ac:dyDescent="0.25">
      <c r="A13">
        <v>11</v>
      </c>
      <c r="B13" t="s">
        <v>46</v>
      </c>
      <c r="C13" s="4" t="s">
        <v>38</v>
      </c>
      <c r="D13" s="4">
        <v>2250000000</v>
      </c>
      <c r="E13" t="s">
        <v>17</v>
      </c>
      <c r="F13" s="1">
        <v>47498</v>
      </c>
      <c r="G13">
        <v>5.75</v>
      </c>
      <c r="H13" t="s">
        <v>9</v>
      </c>
      <c r="L13" t="s">
        <v>1168</v>
      </c>
      <c r="M13" t="s">
        <v>10</v>
      </c>
      <c r="N13" t="s">
        <v>16</v>
      </c>
      <c r="O13" t="s">
        <v>3106</v>
      </c>
      <c r="P13" t="s">
        <v>2629</v>
      </c>
      <c r="Q13" t="s">
        <v>3107</v>
      </c>
      <c r="R13" t="s">
        <v>47</v>
      </c>
      <c r="S13">
        <v>39692612.351993203</v>
      </c>
      <c r="T13">
        <v>12</v>
      </c>
      <c r="U13" t="s">
        <v>1169</v>
      </c>
      <c r="W13" t="s">
        <v>78</v>
      </c>
      <c r="X13" t="str">
        <f t="shared" si="0"/>
        <v>AZ434652@TRAC Corp</v>
      </c>
      <c r="Y13">
        <f>_xlfn.IFNA(_xll.BDP(X13,"INTERVAL_SUM", "MARKET_DATA_OVERRIDE=px_volume", "CALC_INTERVAL=5D"), "")</f>
        <v>6400</v>
      </c>
      <c r="Z13" cm="1">
        <f t="array" ref="Z13">_xll.BDP(B13, "CF_ACT_CASH_PAID_FOR_INT_DEBT")</f>
        <v>1781.107</v>
      </c>
      <c r="AA13" t="str" cm="1">
        <f t="array" ref="AA13">_xll.BDP(B13, "TYPE_OF_BOND")</f>
        <v>#N/A Field Not Applicable</v>
      </c>
    </row>
    <row r="14" spans="1:27" x14ac:dyDescent="0.25">
      <c r="A14">
        <v>12</v>
      </c>
      <c r="B14" t="s">
        <v>50</v>
      </c>
      <c r="C14" s="4" t="s">
        <v>38</v>
      </c>
      <c r="D14" s="4">
        <v>1750000000</v>
      </c>
      <c r="E14" t="s">
        <v>17</v>
      </c>
      <c r="F14" s="1">
        <v>47150</v>
      </c>
      <c r="G14">
        <v>6.5</v>
      </c>
      <c r="H14" t="s">
        <v>9</v>
      </c>
      <c r="L14" t="s">
        <v>1168</v>
      </c>
      <c r="M14" t="s">
        <v>10</v>
      </c>
      <c r="N14" t="s">
        <v>16</v>
      </c>
      <c r="O14" t="s">
        <v>3106</v>
      </c>
      <c r="P14" t="s">
        <v>2629</v>
      </c>
      <c r="Q14" t="s">
        <v>3107</v>
      </c>
      <c r="R14" t="s">
        <v>51</v>
      </c>
      <c r="S14">
        <v>6317334.9630334396</v>
      </c>
      <c r="T14">
        <v>31</v>
      </c>
      <c r="U14" t="s">
        <v>1169</v>
      </c>
      <c r="W14" t="s">
        <v>78</v>
      </c>
      <c r="X14" t="str">
        <f t="shared" si="0"/>
        <v>AW913901@TRAC Corp</v>
      </c>
      <c r="Y14">
        <f>_xlfn.IFNA(_xll.BDP(X14,"INTERVAL_SUM", "MARKET_DATA_OVERRIDE=px_volume", "CALC_INTERVAL=5D"), "")</f>
        <v>3455</v>
      </c>
      <c r="Z14" cm="1">
        <f t="array" ref="Z14">_xll.BDP(B14, "CF_ACT_CASH_PAID_FOR_INT_DEBT")</f>
        <v>1781.107</v>
      </c>
      <c r="AA14" t="str" cm="1">
        <f t="array" ref="AA14">_xll.BDP(B14, "TYPE_OF_BOND")</f>
        <v>#N/A Field Not Applicable</v>
      </c>
    </row>
    <row r="15" spans="1:27" x14ac:dyDescent="0.25">
      <c r="A15">
        <v>13</v>
      </c>
      <c r="B15" t="s">
        <v>54</v>
      </c>
      <c r="C15" s="4" t="s">
        <v>38</v>
      </c>
      <c r="D15" s="4">
        <v>1045882000</v>
      </c>
      <c r="E15" t="s">
        <v>17</v>
      </c>
      <c r="F15" s="1">
        <v>46844</v>
      </c>
      <c r="G15">
        <v>7.5</v>
      </c>
      <c r="H15" t="s">
        <v>9</v>
      </c>
      <c r="L15" t="s">
        <v>1168</v>
      </c>
      <c r="M15" t="s">
        <v>10</v>
      </c>
      <c r="N15" t="s">
        <v>16</v>
      </c>
      <c r="O15" t="s">
        <v>3106</v>
      </c>
      <c r="P15" t="s">
        <v>2629</v>
      </c>
      <c r="Q15" t="s">
        <v>3107</v>
      </c>
      <c r="R15" t="s">
        <v>55</v>
      </c>
      <c r="S15">
        <v>6650583.4803603897</v>
      </c>
      <c r="T15">
        <v>7</v>
      </c>
      <c r="U15" t="s">
        <v>1170</v>
      </c>
      <c r="W15" t="s">
        <v>78</v>
      </c>
      <c r="X15" t="str">
        <f t="shared" si="0"/>
        <v>AV137092@TRAC Corp</v>
      </c>
      <c r="Y15">
        <f>_xlfn.IFNA(_xll.BDP(X15,"INTERVAL_SUM", "MARKET_DATA_OVERRIDE=px_volume", "CALC_INTERVAL=5D"), "")</f>
        <v>3000</v>
      </c>
      <c r="Z15" cm="1">
        <f t="array" ref="Z15">_xll.BDP(B15, "CF_ACT_CASH_PAID_FOR_INT_DEBT")</f>
        <v>1781.107</v>
      </c>
      <c r="AA15" t="str" cm="1">
        <f t="array" ref="AA15">_xll.BDP(B15, "TYPE_OF_BOND")</f>
        <v>#N/A Field Not Applicable</v>
      </c>
    </row>
    <row r="16" spans="1:27" x14ac:dyDescent="0.25">
      <c r="A16">
        <v>14</v>
      </c>
      <c r="B16" t="s">
        <v>120</v>
      </c>
      <c r="C16" s="4" t="s">
        <v>38</v>
      </c>
      <c r="D16" s="4">
        <v>4118000</v>
      </c>
      <c r="E16" s="1" t="s">
        <v>17</v>
      </c>
      <c r="F16" s="1">
        <v>46844</v>
      </c>
      <c r="G16">
        <v>7.5</v>
      </c>
      <c r="H16" t="s">
        <v>9</v>
      </c>
      <c r="L16" t="s">
        <v>1168</v>
      </c>
      <c r="M16" t="s">
        <v>10</v>
      </c>
      <c r="N16" t="s">
        <v>16</v>
      </c>
      <c r="O16" t="s">
        <v>3106</v>
      </c>
      <c r="P16" t="s">
        <v>2629</v>
      </c>
      <c r="Q16" t="s">
        <v>3107</v>
      </c>
      <c r="R16" t="s">
        <v>121</v>
      </c>
      <c r="S16">
        <v>-9997</v>
      </c>
      <c r="U16" t="s">
        <v>1169</v>
      </c>
      <c r="W16" t="s">
        <v>78</v>
      </c>
      <c r="X16" t="str">
        <f t="shared" si="0"/>
        <v>AR883948@TRAC Corp</v>
      </c>
      <c r="Y16" t="str">
        <f>_xlfn.IFNA(_xll.BDP(X16,"INTERVAL_SUM", "MARKET_DATA_OVERRIDE=px_volume", "CALC_INTERVAL=5D"), "")</f>
        <v>#N/A N/A</v>
      </c>
      <c r="Z16" cm="1">
        <f t="array" ref="Z16">_xll.BDP(B16, "CF_ACT_CASH_PAID_FOR_INT_DEBT")</f>
        <v>1781.107</v>
      </c>
      <c r="AA16" t="str" cm="1">
        <f t="array" ref="AA16">_xll.BDP(B16, "TYPE_OF_BOND")</f>
        <v>#N/A Field Not Applicable</v>
      </c>
    </row>
    <row r="17" spans="1:27" x14ac:dyDescent="0.25">
      <c r="A17">
        <v>15</v>
      </c>
      <c r="B17" t="s">
        <v>48</v>
      </c>
      <c r="C17" s="4" t="s">
        <v>38</v>
      </c>
      <c r="D17" s="4">
        <v>1000000000</v>
      </c>
      <c r="E17" s="1" t="s">
        <v>17</v>
      </c>
      <c r="F17" s="1">
        <v>46784</v>
      </c>
      <c r="G17">
        <v>5.375</v>
      </c>
      <c r="H17" t="s">
        <v>9</v>
      </c>
      <c r="L17" t="s">
        <v>1168</v>
      </c>
      <c r="M17" t="s">
        <v>10</v>
      </c>
      <c r="N17" t="s">
        <v>16</v>
      </c>
      <c r="O17" t="s">
        <v>3106</v>
      </c>
      <c r="P17" t="s">
        <v>2629</v>
      </c>
      <c r="Q17" t="s">
        <v>3107</v>
      </c>
      <c r="R17" t="s">
        <v>49</v>
      </c>
      <c r="S17">
        <v>3522627.7881868999</v>
      </c>
      <c r="T17">
        <v>15</v>
      </c>
      <c r="U17" t="s">
        <v>1169</v>
      </c>
      <c r="W17" t="s">
        <v>78</v>
      </c>
      <c r="X17" t="str">
        <f t="shared" si="0"/>
        <v>AQ709524@TRAC Corp</v>
      </c>
      <c r="Y17">
        <f>_xlfn.IFNA(_xll.BDP(X17,"INTERVAL_SUM", "MARKET_DATA_OVERRIDE=px_volume", "CALC_INTERVAL=5D"), "")</f>
        <v>1048</v>
      </c>
      <c r="Z17" cm="1">
        <f t="array" ref="Z17">_xll.BDP(B17, "CF_ACT_CASH_PAID_FOR_INT_DEBT")</f>
        <v>1781.107</v>
      </c>
      <c r="AA17" t="str" cm="1">
        <f t="array" ref="AA17">_xll.BDP(B17, "TYPE_OF_BOND")</f>
        <v>#N/A Field Not Applicable</v>
      </c>
    </row>
    <row r="18" spans="1:27" x14ac:dyDescent="0.25">
      <c r="A18">
        <v>16</v>
      </c>
      <c r="B18" t="s">
        <v>122</v>
      </c>
      <c r="C18" s="4" t="s">
        <v>38</v>
      </c>
      <c r="D18" s="4">
        <v>3350000000</v>
      </c>
      <c r="E18" s="1" t="s">
        <v>11</v>
      </c>
      <c r="F18" s="1">
        <v>47084</v>
      </c>
      <c r="G18">
        <v>9</v>
      </c>
      <c r="H18" t="s">
        <v>9</v>
      </c>
      <c r="I18" t="s">
        <v>2630</v>
      </c>
      <c r="J18">
        <v>9</v>
      </c>
      <c r="L18" t="s">
        <v>1168</v>
      </c>
      <c r="M18" t="s">
        <v>10</v>
      </c>
      <c r="N18" t="s">
        <v>16</v>
      </c>
      <c r="O18" t="s">
        <v>3106</v>
      </c>
      <c r="P18" t="s">
        <v>2629</v>
      </c>
      <c r="Q18" t="s">
        <v>3107</v>
      </c>
      <c r="R18" t="s">
        <v>123</v>
      </c>
      <c r="V18" t="s">
        <v>227</v>
      </c>
      <c r="W18" t="s">
        <v>78</v>
      </c>
      <c r="X18" t="str">
        <f t="shared" si="0"/>
        <v>BL541765@TRAC Corp</v>
      </c>
      <c r="Y18" t="str">
        <f>_xlfn.IFNA(_xll.BDP(X18,"INTERVAL_SUM", "MARKET_DATA_OVERRIDE=px_volume", "CALC_INTERVAL=5D"), "")</f>
        <v>#N/A N/A</v>
      </c>
      <c r="Z18" cm="1">
        <f t="array" ref="Z18">_xll.BDP(B18, "CF_ACT_CASH_PAID_FOR_INT_DEBT")</f>
        <v>1781.107</v>
      </c>
      <c r="AA18" t="str" cm="1">
        <f t="array" ref="AA18">_xll.BDP(B18, "TYPE_OF_BOND")</f>
        <v>#N/A Field Not Applicable</v>
      </c>
    </row>
    <row r="19" spans="1:27" x14ac:dyDescent="0.25">
      <c r="A19">
        <v>17</v>
      </c>
      <c r="B19" t="s">
        <v>124</v>
      </c>
      <c r="C19" s="4" t="s">
        <v>38</v>
      </c>
      <c r="D19" s="4">
        <v>664125989.57000005</v>
      </c>
      <c r="E19" s="1" t="s">
        <v>11</v>
      </c>
      <c r="F19" s="1">
        <v>46721</v>
      </c>
      <c r="G19">
        <v>6.6439000000000004</v>
      </c>
      <c r="H19" t="s">
        <v>13</v>
      </c>
      <c r="I19" t="s">
        <v>2631</v>
      </c>
      <c r="J19">
        <v>300</v>
      </c>
      <c r="L19" t="s">
        <v>1168</v>
      </c>
      <c r="M19" t="s">
        <v>10</v>
      </c>
      <c r="N19" t="s">
        <v>16</v>
      </c>
      <c r="O19" t="s">
        <v>3108</v>
      </c>
      <c r="P19" t="s">
        <v>2632</v>
      </c>
      <c r="Q19" t="s">
        <v>3109</v>
      </c>
      <c r="R19" t="s">
        <v>125</v>
      </c>
      <c r="S19">
        <v>3000000</v>
      </c>
      <c r="T19">
        <v>14</v>
      </c>
      <c r="V19" t="s">
        <v>227</v>
      </c>
      <c r="W19" t="s">
        <v>78</v>
      </c>
      <c r="X19" t="str">
        <f t="shared" si="0"/>
        <v>BL498563@TRAC Corp</v>
      </c>
      <c r="Y19" t="str">
        <f>_xlfn.IFNA(_xll.BDP(X19,"INTERVAL_SUM", "MARKET_DATA_OVERRIDE=px_volume", "CALC_INTERVAL=5D"), "")</f>
        <v>#N/A N/A</v>
      </c>
      <c r="Z19" t="str" cm="1">
        <f t="array" ref="Z19">_xll.BDP(B19, "CF_ACT_CASH_PAID_FOR_INT_DEBT")</f>
        <v>#N/A N/A</v>
      </c>
      <c r="AA19" t="str" cm="1">
        <f t="array" ref="AA19">_xll.BDP(B19, "TYPE_OF_BOND")</f>
        <v>#N/A Field Not Applicable</v>
      </c>
    </row>
    <row r="20" spans="1:27" x14ac:dyDescent="0.25">
      <c r="A20">
        <v>18</v>
      </c>
      <c r="B20" t="s">
        <v>62</v>
      </c>
      <c r="C20" s="4" t="s">
        <v>38</v>
      </c>
      <c r="D20" s="4">
        <v>2805000000</v>
      </c>
      <c r="E20" s="1" t="s">
        <v>11</v>
      </c>
      <c r="F20" s="1">
        <v>46492</v>
      </c>
      <c r="G20">
        <v>8.25</v>
      </c>
      <c r="H20" t="s">
        <v>13</v>
      </c>
      <c r="I20" t="s">
        <v>2633</v>
      </c>
      <c r="J20">
        <v>150</v>
      </c>
      <c r="L20" t="s">
        <v>1168</v>
      </c>
      <c r="M20" t="s">
        <v>10</v>
      </c>
      <c r="N20" t="s">
        <v>16</v>
      </c>
      <c r="O20" t="s">
        <v>3106</v>
      </c>
      <c r="P20" t="s">
        <v>2629</v>
      </c>
      <c r="Q20" t="s">
        <v>3107</v>
      </c>
      <c r="R20" t="s">
        <v>63</v>
      </c>
      <c r="S20">
        <v>5000000</v>
      </c>
      <c r="T20">
        <v>12</v>
      </c>
      <c r="V20" t="s">
        <v>227</v>
      </c>
      <c r="W20" t="s">
        <v>78</v>
      </c>
      <c r="X20" t="str">
        <f t="shared" si="0"/>
        <v>BL316906@TRAC Corp</v>
      </c>
      <c r="Y20" t="str">
        <f>_xlfn.IFNA(_xll.BDP(X20,"INTERVAL_SUM", "MARKET_DATA_OVERRIDE=px_volume", "CALC_INTERVAL=5D"), "")</f>
        <v>#N/A N/A</v>
      </c>
      <c r="Z20" cm="1">
        <f t="array" ref="Z20">_xll.BDP(B20, "CF_ACT_CASH_PAID_FOR_INT_DEBT")</f>
        <v>1781.107</v>
      </c>
      <c r="AA20" t="str" cm="1">
        <f t="array" ref="AA20">_xll.BDP(B20, "TYPE_OF_BOND")</f>
        <v>#N/A Field Not Applicable</v>
      </c>
    </row>
    <row r="21" spans="1:27" x14ac:dyDescent="0.25">
      <c r="A21">
        <v>19</v>
      </c>
      <c r="B21" t="s">
        <v>126</v>
      </c>
      <c r="C21" s="4" t="s">
        <v>38</v>
      </c>
      <c r="D21" s="4">
        <v>2125000000</v>
      </c>
      <c r="E21" s="1" t="s">
        <v>11</v>
      </c>
      <c r="F21" s="1">
        <v>46581</v>
      </c>
      <c r="G21">
        <v>5.9939</v>
      </c>
      <c r="H21" t="s">
        <v>13</v>
      </c>
      <c r="I21" t="s">
        <v>2631</v>
      </c>
      <c r="J21">
        <v>225</v>
      </c>
      <c r="L21" t="s">
        <v>1168</v>
      </c>
      <c r="M21" t="s">
        <v>10</v>
      </c>
      <c r="N21" t="s">
        <v>16</v>
      </c>
      <c r="O21" t="s">
        <v>3106</v>
      </c>
      <c r="P21" t="s">
        <v>2629</v>
      </c>
      <c r="Q21" t="s">
        <v>3107</v>
      </c>
      <c r="R21" t="s">
        <v>127</v>
      </c>
      <c r="V21" t="s">
        <v>226</v>
      </c>
      <c r="W21" t="s">
        <v>78</v>
      </c>
      <c r="X21" t="str">
        <f t="shared" si="0"/>
        <v>BL295611@TRAC Corp</v>
      </c>
      <c r="Y21" t="str">
        <f>_xlfn.IFNA(_xll.BDP(X21,"INTERVAL_SUM", "MARKET_DATA_OVERRIDE=px_volume", "CALC_INTERVAL=5D"), "")</f>
        <v>#N/A N/A</v>
      </c>
      <c r="Z21" cm="1">
        <f t="array" ref="Z21">_xll.BDP(B21, "CF_ACT_CASH_PAID_FOR_INT_DEBT")</f>
        <v>1781.107</v>
      </c>
      <c r="AA21" t="str" cm="1">
        <f t="array" ref="AA21">_xll.BDP(B21, "TYPE_OF_BOND")</f>
        <v>#N/A Field Not Applicable</v>
      </c>
    </row>
    <row r="22" spans="1:27" x14ac:dyDescent="0.25">
      <c r="A22">
        <v>20</v>
      </c>
      <c r="B22" t="s">
        <v>3334</v>
      </c>
      <c r="C22" s="4" t="s">
        <v>3335</v>
      </c>
      <c r="D22" s="4">
        <v>2000000000</v>
      </c>
      <c r="E22" s="1" t="s">
        <v>17</v>
      </c>
      <c r="F22" s="1">
        <v>47635</v>
      </c>
      <c r="G22">
        <v>9.25</v>
      </c>
      <c r="H22" t="s">
        <v>9</v>
      </c>
      <c r="L22" t="s">
        <v>1168</v>
      </c>
      <c r="M22" t="s">
        <v>10</v>
      </c>
      <c r="N22" t="s">
        <v>15</v>
      </c>
      <c r="O22" t="s">
        <v>3110</v>
      </c>
      <c r="P22" t="s">
        <v>2637</v>
      </c>
      <c r="Q22" t="s">
        <v>3112</v>
      </c>
      <c r="R22" t="s">
        <v>3336</v>
      </c>
      <c r="S22">
        <v>13367531.0150581</v>
      </c>
      <c r="T22">
        <v>59</v>
      </c>
      <c r="U22" t="s">
        <v>1169</v>
      </c>
      <c r="W22" t="s">
        <v>3337</v>
      </c>
      <c r="X22" t="str">
        <f t="shared" si="0"/>
        <v>YO678533@TRAC Corp</v>
      </c>
      <c r="Y22">
        <f>_xlfn.IFNA(_xll.BDP(X22,"INTERVAL_SUM", "MARKET_DATA_OVERRIDE=px_volume", "CALC_INTERVAL=5D"), "")</f>
        <v>66824</v>
      </c>
      <c r="Z22" cm="1">
        <f t="array" ref="Z22">_xll.BDP(B22, "CF_ACT_CASH_PAID_FOR_INT_DEBT")</f>
        <v>869</v>
      </c>
      <c r="AA22" t="str" cm="1">
        <f t="array" ref="AA22">_xll.BDP(B22, "TYPE_OF_BOND")</f>
        <v>#N/A Field Not Applicable</v>
      </c>
    </row>
    <row r="23" spans="1:27" x14ac:dyDescent="0.25">
      <c r="A23">
        <v>21</v>
      </c>
      <c r="B23" t="s">
        <v>3338</v>
      </c>
      <c r="C23" s="4" t="s">
        <v>3335</v>
      </c>
      <c r="D23" s="4">
        <v>1750000000</v>
      </c>
      <c r="E23" s="1" t="s">
        <v>17</v>
      </c>
      <c r="F23" s="1">
        <v>47880</v>
      </c>
      <c r="G23">
        <v>9</v>
      </c>
      <c r="H23" t="s">
        <v>9</v>
      </c>
      <c r="L23" t="s">
        <v>1168</v>
      </c>
      <c r="M23" t="s">
        <v>10</v>
      </c>
      <c r="N23" t="s">
        <v>15</v>
      </c>
      <c r="O23" t="s">
        <v>3110</v>
      </c>
      <c r="P23" t="s">
        <v>2637</v>
      </c>
      <c r="Q23" t="s">
        <v>3112</v>
      </c>
      <c r="R23" t="s">
        <v>3339</v>
      </c>
      <c r="S23">
        <v>15405158.0860199</v>
      </c>
      <c r="T23">
        <v>50</v>
      </c>
      <c r="U23" t="s">
        <v>1169</v>
      </c>
      <c r="W23" t="s">
        <v>3337</v>
      </c>
      <c r="X23" t="str">
        <f t="shared" si="0"/>
        <v>YM578924@TRAC Corp</v>
      </c>
      <c r="Y23">
        <f>_xlfn.IFNA(_xll.BDP(X23,"INTERVAL_SUM", "MARKET_DATA_OVERRIDE=px_volume", "CALC_INTERVAL=5D"), "")</f>
        <v>65518</v>
      </c>
      <c r="Z23" cm="1">
        <f t="array" ref="Z23">_xll.BDP(B23, "CF_ACT_CASH_PAID_FOR_INT_DEBT")</f>
        <v>869</v>
      </c>
      <c r="AA23" t="str" cm="1">
        <f t="array" ref="AA23">_xll.BDP(B23, "TYPE_OF_BOND")</f>
        <v>#N/A Field Not Applicable</v>
      </c>
    </row>
    <row r="24" spans="1:27" x14ac:dyDescent="0.25">
      <c r="A24">
        <v>22</v>
      </c>
      <c r="B24" t="s">
        <v>3340</v>
      </c>
      <c r="C24" s="4" t="s">
        <v>3335</v>
      </c>
      <c r="D24" s="4">
        <v>11088000</v>
      </c>
      <c r="E24" s="1" t="s">
        <v>17</v>
      </c>
      <c r="F24" s="1">
        <v>47755</v>
      </c>
      <c r="G24">
        <v>7.9942700000000002</v>
      </c>
      <c r="H24" t="s">
        <v>13</v>
      </c>
      <c r="I24" t="s">
        <v>2635</v>
      </c>
      <c r="L24" t="s">
        <v>1168</v>
      </c>
      <c r="M24" t="s">
        <v>10</v>
      </c>
      <c r="N24" t="s">
        <v>15</v>
      </c>
      <c r="O24" t="s">
        <v>3110</v>
      </c>
      <c r="P24" t="s">
        <v>2637</v>
      </c>
      <c r="Q24" t="s">
        <v>3112</v>
      </c>
      <c r="R24" t="s">
        <v>3341</v>
      </c>
      <c r="S24">
        <v>-9997</v>
      </c>
      <c r="U24">
        <v>2025</v>
      </c>
      <c r="W24" t="s">
        <v>3337</v>
      </c>
      <c r="X24" t="str">
        <f t="shared" si="0"/>
        <v>YK504698@TRAC Corp</v>
      </c>
      <c r="Y24" t="str">
        <f>_xlfn.IFNA(_xll.BDP(X24,"INTERVAL_SUM", "MARKET_DATA_OVERRIDE=px_volume", "CALC_INTERVAL=5D"), "")</f>
        <v>#N/A N/A</v>
      </c>
      <c r="Z24" cm="1">
        <f t="array" ref="Z24">_xll.BDP(B24, "CF_ACT_CASH_PAID_FOR_INT_DEBT")</f>
        <v>869</v>
      </c>
      <c r="AA24" t="str" cm="1">
        <f t="array" ref="AA24">_xll.BDP(B24, "TYPE_OF_BOND")</f>
        <v>#N/A Field Not Applicable</v>
      </c>
    </row>
    <row r="25" spans="1:27" x14ac:dyDescent="0.25">
      <c r="A25">
        <v>23</v>
      </c>
      <c r="B25" t="s">
        <v>3342</v>
      </c>
      <c r="C25" s="4" t="s">
        <v>3335</v>
      </c>
      <c r="D25" s="4">
        <v>2000000000</v>
      </c>
      <c r="E25" s="1" t="s">
        <v>17</v>
      </c>
      <c r="F25" s="1">
        <v>48410</v>
      </c>
      <c r="G25">
        <v>8.5</v>
      </c>
      <c r="H25" t="s">
        <v>9</v>
      </c>
      <c r="L25" t="s">
        <v>1171</v>
      </c>
      <c r="M25" t="s">
        <v>10</v>
      </c>
      <c r="N25" t="s">
        <v>15</v>
      </c>
      <c r="O25" t="s">
        <v>3110</v>
      </c>
      <c r="P25" t="s">
        <v>2637</v>
      </c>
      <c r="Q25" t="s">
        <v>3112</v>
      </c>
      <c r="R25" t="s">
        <v>3343</v>
      </c>
      <c r="S25">
        <v>9512483.7496314701</v>
      </c>
      <c r="T25">
        <v>46</v>
      </c>
      <c r="U25" t="s">
        <v>3344</v>
      </c>
      <c r="W25" t="s">
        <v>3337</v>
      </c>
      <c r="X25" t="str">
        <f t="shared" si="0"/>
        <v>DL799120@TRAC Corp</v>
      </c>
      <c r="Y25" t="str">
        <f>_xlfn.IFNA(_xll.BDP(X25,"INTERVAL_SUM", "MARKET_DATA_OVERRIDE=px_volume", "CALC_INTERVAL=5D"), "")</f>
        <v>#N/A N/A</v>
      </c>
      <c r="Z25" cm="1">
        <f t="array" ref="Z25">_xll.BDP(B25, "CF_ACT_CASH_PAID_FOR_INT_DEBT")</f>
        <v>869</v>
      </c>
      <c r="AA25" t="str" cm="1">
        <f t="array" ref="AA25">_xll.BDP(B25, "TYPE_OF_BOND")</f>
        <v>#N/A Field Not Applicable</v>
      </c>
    </row>
    <row r="26" spans="1:27" x14ac:dyDescent="0.25">
      <c r="A26">
        <v>24</v>
      </c>
      <c r="B26" t="s">
        <v>3345</v>
      </c>
      <c r="C26" s="4" t="s">
        <v>3335</v>
      </c>
      <c r="D26" s="4">
        <v>1250000000</v>
      </c>
      <c r="E26" s="1" t="s">
        <v>17</v>
      </c>
      <c r="F26" s="1">
        <v>48410</v>
      </c>
      <c r="G26">
        <v>9.625</v>
      </c>
      <c r="H26" t="s">
        <v>9</v>
      </c>
      <c r="L26" t="s">
        <v>1168</v>
      </c>
      <c r="M26" t="s">
        <v>10</v>
      </c>
      <c r="N26" t="s">
        <v>15</v>
      </c>
      <c r="O26" t="s">
        <v>3110</v>
      </c>
      <c r="P26" t="s">
        <v>2637</v>
      </c>
      <c r="Q26" t="s">
        <v>3112</v>
      </c>
      <c r="R26" t="s">
        <v>3346</v>
      </c>
      <c r="S26">
        <v>6477460.7003249098</v>
      </c>
      <c r="T26">
        <v>30</v>
      </c>
      <c r="U26" t="s">
        <v>1170</v>
      </c>
      <c r="W26" t="s">
        <v>3337</v>
      </c>
      <c r="X26" t="str">
        <f t="shared" si="0"/>
        <v>DL798763@TRAC Corp</v>
      </c>
      <c r="Y26">
        <f>_xlfn.IFNA(_xll.BDP(X26,"INTERVAL_SUM", "MARKET_DATA_OVERRIDE=px_volume", "CALC_INTERVAL=5D"), "")</f>
        <v>83174</v>
      </c>
      <c r="Z26" cm="1">
        <f t="array" ref="Z26">_xll.BDP(B26, "CF_ACT_CASH_PAID_FOR_INT_DEBT")</f>
        <v>869</v>
      </c>
      <c r="AA26" t="str" cm="1">
        <f t="array" ref="AA26">_xll.BDP(B26, "TYPE_OF_BOND")</f>
        <v>#N/A Field Not Applicable</v>
      </c>
    </row>
    <row r="27" spans="1:27" x14ac:dyDescent="0.25">
      <c r="A27">
        <v>25</v>
      </c>
      <c r="B27" t="s">
        <v>3347</v>
      </c>
      <c r="C27" s="4" t="s">
        <v>3335</v>
      </c>
      <c r="D27" s="4">
        <v>4000000000</v>
      </c>
      <c r="E27" s="1" t="s">
        <v>17</v>
      </c>
      <c r="F27" s="1">
        <v>48488</v>
      </c>
      <c r="G27">
        <v>1.75</v>
      </c>
      <c r="H27" t="s">
        <v>9</v>
      </c>
      <c r="L27" t="s">
        <v>1168</v>
      </c>
      <c r="M27" t="s">
        <v>10</v>
      </c>
      <c r="N27" t="s">
        <v>15</v>
      </c>
      <c r="O27" t="s">
        <v>3110</v>
      </c>
      <c r="P27" t="s">
        <v>2637</v>
      </c>
      <c r="Q27" t="s">
        <v>3112</v>
      </c>
      <c r="R27" t="s">
        <v>3348</v>
      </c>
      <c r="S27">
        <v>948518.98078924196</v>
      </c>
      <c r="T27">
        <v>21</v>
      </c>
      <c r="W27" t="s">
        <v>3337</v>
      </c>
      <c r="X27" t="str">
        <f t="shared" si="0"/>
        <v>DI194686@TRAC Corp</v>
      </c>
      <c r="Y27">
        <f>_xlfn.IFNA(_xll.BDP(X27,"INTERVAL_SUM", "MARKET_DATA_OVERRIDE=px_volume", "CALC_INTERVAL=5D"), "")</f>
        <v>51672</v>
      </c>
      <c r="Z27" cm="1">
        <f t="array" ref="Z27">_xll.BDP(B27, "CF_ACT_CASH_PAID_FOR_INT_DEBT")</f>
        <v>869</v>
      </c>
      <c r="AA27" t="str" cm="1">
        <f t="array" ref="AA27">_xll.BDP(B27, "TYPE_OF_BOND")</f>
        <v>Convertible</v>
      </c>
    </row>
    <row r="28" spans="1:27" x14ac:dyDescent="0.25">
      <c r="A28">
        <v>26</v>
      </c>
      <c r="B28" t="s">
        <v>3349</v>
      </c>
      <c r="C28" s="4" t="s">
        <v>3335</v>
      </c>
      <c r="D28" s="4">
        <v>2750000000</v>
      </c>
      <c r="E28" t="s">
        <v>17</v>
      </c>
      <c r="F28" s="1">
        <v>48122</v>
      </c>
      <c r="G28">
        <v>9.75</v>
      </c>
      <c r="H28" t="s">
        <v>9</v>
      </c>
      <c r="L28" t="s">
        <v>1168</v>
      </c>
      <c r="M28" t="s">
        <v>10</v>
      </c>
      <c r="N28" t="s">
        <v>15</v>
      </c>
      <c r="O28" t="s">
        <v>3110</v>
      </c>
      <c r="P28" t="s">
        <v>2637</v>
      </c>
      <c r="Q28" t="s">
        <v>3112</v>
      </c>
      <c r="R28" t="s">
        <v>3350</v>
      </c>
      <c r="S28">
        <v>9021148.0337646697</v>
      </c>
      <c r="T28">
        <v>35</v>
      </c>
      <c r="U28" t="s">
        <v>1169</v>
      </c>
      <c r="W28" t="s">
        <v>3337</v>
      </c>
      <c r="X28" t="str">
        <f t="shared" si="0"/>
        <v>DI194651@TRAC Corp</v>
      </c>
      <c r="Y28">
        <f>_xlfn.IFNA(_xll.BDP(X28,"INTERVAL_SUM", "MARKET_DATA_OVERRIDE=px_volume", "CALC_INTERVAL=5D"), "")</f>
        <v>138026</v>
      </c>
      <c r="Z28" cm="1">
        <f t="array" ref="Z28">_xll.BDP(B28, "CF_ACT_CASH_PAID_FOR_INT_DEBT")</f>
        <v>869</v>
      </c>
      <c r="AA28" t="str" cm="1">
        <f t="array" ref="AA28">_xll.BDP(B28, "TYPE_OF_BOND")</f>
        <v>#N/A Field Not Applicable</v>
      </c>
    </row>
    <row r="29" spans="1:27" x14ac:dyDescent="0.25">
      <c r="A29">
        <v>27</v>
      </c>
      <c r="B29" t="s">
        <v>3351</v>
      </c>
      <c r="C29" s="4" t="s">
        <v>3335</v>
      </c>
      <c r="D29" s="4">
        <v>2587500000</v>
      </c>
      <c r="E29" t="s">
        <v>17</v>
      </c>
      <c r="F29" s="1">
        <v>48183</v>
      </c>
      <c r="G29">
        <v>1.75</v>
      </c>
      <c r="H29" t="s">
        <v>9</v>
      </c>
      <c r="L29" t="s">
        <v>1168</v>
      </c>
      <c r="M29" t="s">
        <v>10</v>
      </c>
      <c r="N29" t="s">
        <v>15</v>
      </c>
      <c r="O29" t="s">
        <v>3110</v>
      </c>
      <c r="P29" t="s">
        <v>2637</v>
      </c>
      <c r="Q29" t="s">
        <v>3112</v>
      </c>
      <c r="R29" t="s">
        <v>3352</v>
      </c>
      <c r="S29">
        <v>813053.877026523</v>
      </c>
      <c r="T29">
        <v>17</v>
      </c>
      <c r="W29" t="s">
        <v>3337</v>
      </c>
      <c r="X29" t="str">
        <f t="shared" si="0"/>
        <v>DC202482@TRAC Corp</v>
      </c>
      <c r="Y29">
        <f>_xlfn.IFNA(_xll.BDP(X29,"INTERVAL_SUM", "MARKET_DATA_OVERRIDE=px_volume", "CALC_INTERVAL=5D"), "")</f>
        <v>43832</v>
      </c>
      <c r="Z29" cm="1">
        <f t="array" ref="Z29">_xll.BDP(B29, "CF_ACT_CASH_PAID_FOR_INT_DEBT")</f>
        <v>869</v>
      </c>
      <c r="AA29" t="str" cm="1">
        <f t="array" ref="AA29">_xll.BDP(B29, "TYPE_OF_BOND")</f>
        <v>Convertible</v>
      </c>
    </row>
    <row r="30" spans="1:27" x14ac:dyDescent="0.25">
      <c r="A30">
        <v>28</v>
      </c>
      <c r="B30" t="s">
        <v>3353</v>
      </c>
      <c r="C30" s="4" t="s">
        <v>3335</v>
      </c>
      <c r="D30" s="4">
        <v>3000000000</v>
      </c>
      <c r="E30" t="s">
        <v>11</v>
      </c>
      <c r="F30" s="1">
        <v>47756</v>
      </c>
      <c r="G30">
        <v>7.8939000000000004</v>
      </c>
      <c r="H30" t="s">
        <v>13</v>
      </c>
      <c r="I30" t="s">
        <v>2631</v>
      </c>
      <c r="J30">
        <v>425</v>
      </c>
      <c r="L30" t="s">
        <v>1168</v>
      </c>
      <c r="M30" t="s">
        <v>10</v>
      </c>
      <c r="N30" t="s">
        <v>15</v>
      </c>
      <c r="O30" t="s">
        <v>3110</v>
      </c>
      <c r="P30" t="s">
        <v>2637</v>
      </c>
      <c r="Q30" t="s">
        <v>3112</v>
      </c>
      <c r="R30" t="s">
        <v>3354</v>
      </c>
      <c r="V30" t="s">
        <v>327</v>
      </c>
      <c r="W30" t="s">
        <v>3337</v>
      </c>
      <c r="X30" t="str">
        <f t="shared" si="0"/>
        <v>BL526160@TRAC Corp</v>
      </c>
      <c r="Y30" t="str">
        <f>_xlfn.IFNA(_xll.BDP(X30,"INTERVAL_SUM", "MARKET_DATA_OVERRIDE=px_volume", "CALC_INTERVAL=5D"), "")</f>
        <v>#N/A N/A</v>
      </c>
      <c r="Z30" cm="1">
        <f t="array" ref="Z30">_xll.BDP(B30, "CF_ACT_CASH_PAID_FOR_INT_DEBT")</f>
        <v>869</v>
      </c>
      <c r="AA30" t="str" cm="1">
        <f t="array" ref="AA30">_xll.BDP(B30, "TYPE_OF_BOND")</f>
        <v>#N/A Field Not Applicable</v>
      </c>
    </row>
    <row r="31" spans="1:27" x14ac:dyDescent="0.25">
      <c r="A31">
        <v>29</v>
      </c>
      <c r="B31" t="s">
        <v>3355</v>
      </c>
      <c r="C31" s="4" t="s">
        <v>3335</v>
      </c>
      <c r="D31" s="4">
        <v>1700000000</v>
      </c>
      <c r="E31" t="s">
        <v>11</v>
      </c>
      <c r="F31" s="1">
        <v>47716</v>
      </c>
      <c r="G31">
        <v>7.6439000000000004</v>
      </c>
      <c r="H31" t="s">
        <v>13</v>
      </c>
      <c r="I31" t="s">
        <v>2631</v>
      </c>
      <c r="J31">
        <v>400</v>
      </c>
      <c r="L31" t="s">
        <v>1168</v>
      </c>
      <c r="M31" t="s">
        <v>10</v>
      </c>
      <c r="N31" t="s">
        <v>15</v>
      </c>
      <c r="O31" t="s">
        <v>3110</v>
      </c>
      <c r="P31" t="s">
        <v>2637</v>
      </c>
      <c r="Q31" t="s">
        <v>3112</v>
      </c>
      <c r="R31" t="s">
        <v>3356</v>
      </c>
      <c r="V31" t="s">
        <v>327</v>
      </c>
      <c r="W31" t="s">
        <v>3337</v>
      </c>
      <c r="X31" t="str">
        <f t="shared" si="0"/>
        <v>BL510511@TRAC Corp</v>
      </c>
      <c r="Y31" t="str">
        <f>_xlfn.IFNA(_xll.BDP(X31,"INTERVAL_SUM", "MARKET_DATA_OVERRIDE=px_volume", "CALC_INTERVAL=5D"), "")</f>
        <v>#N/A N/A</v>
      </c>
      <c r="Z31" cm="1">
        <f t="array" ref="Z31">_xll.BDP(B31, "CF_ACT_CASH_PAID_FOR_INT_DEBT")</f>
        <v>869</v>
      </c>
      <c r="AA31" t="str" cm="1">
        <f t="array" ref="AA31">_xll.BDP(B31, "TYPE_OF_BOND")</f>
        <v>#N/A Field Not Applicable</v>
      </c>
    </row>
    <row r="32" spans="1:27" x14ac:dyDescent="0.25">
      <c r="A32">
        <v>30</v>
      </c>
      <c r="B32" t="s">
        <v>3357</v>
      </c>
      <c r="C32" s="4" t="s">
        <v>3335</v>
      </c>
      <c r="D32" s="4">
        <v>4425000000</v>
      </c>
      <c r="E32" t="s">
        <v>11</v>
      </c>
      <c r="F32" s="1">
        <v>47725</v>
      </c>
      <c r="G32">
        <v>9.6439000000000004</v>
      </c>
      <c r="H32" t="s">
        <v>13</v>
      </c>
      <c r="I32" t="s">
        <v>2631</v>
      </c>
      <c r="J32">
        <v>600</v>
      </c>
      <c r="L32" t="s">
        <v>1168</v>
      </c>
      <c r="M32" t="s">
        <v>10</v>
      </c>
      <c r="N32" t="s">
        <v>15</v>
      </c>
      <c r="O32" t="s">
        <v>3110</v>
      </c>
      <c r="P32" t="s">
        <v>2637</v>
      </c>
      <c r="Q32" t="s">
        <v>3112</v>
      </c>
      <c r="R32" t="s">
        <v>3354</v>
      </c>
      <c r="V32" t="s">
        <v>327</v>
      </c>
      <c r="W32" t="s">
        <v>3337</v>
      </c>
      <c r="X32" t="str">
        <f t="shared" si="0"/>
        <v>BL502513@TRAC Corp</v>
      </c>
      <c r="Y32" t="str">
        <f>_xlfn.IFNA(_xll.BDP(X32,"INTERVAL_SUM", "MARKET_DATA_OVERRIDE=px_volume", "CALC_INTERVAL=5D"), "")</f>
        <v>#N/A N/A</v>
      </c>
      <c r="Z32" cm="1">
        <f t="array" ref="Z32">_xll.BDP(B32, "CF_ACT_CASH_PAID_FOR_INT_DEBT")</f>
        <v>869</v>
      </c>
      <c r="AA32" t="str" cm="1">
        <f t="array" ref="AA32">_xll.BDP(B32, "TYPE_OF_BOND")</f>
        <v>#N/A Field Not Applicable</v>
      </c>
    </row>
    <row r="33" spans="1:27" x14ac:dyDescent="0.25">
      <c r="A33">
        <v>31</v>
      </c>
      <c r="B33" t="s">
        <v>3358</v>
      </c>
      <c r="C33" s="4" t="s">
        <v>3335</v>
      </c>
      <c r="D33" s="4">
        <v>5444783.79</v>
      </c>
      <c r="E33" t="s">
        <v>11</v>
      </c>
      <c r="F33" s="1">
        <v>47619</v>
      </c>
      <c r="G33">
        <v>9.7322000000000006</v>
      </c>
      <c r="H33" t="s">
        <v>13</v>
      </c>
      <c r="I33" t="s">
        <v>2635</v>
      </c>
      <c r="J33">
        <v>600</v>
      </c>
      <c r="L33" t="s">
        <v>1168</v>
      </c>
      <c r="M33" t="s">
        <v>10</v>
      </c>
      <c r="N33" t="s">
        <v>15</v>
      </c>
      <c r="O33" t="s">
        <v>3110</v>
      </c>
      <c r="P33" t="s">
        <v>2637</v>
      </c>
      <c r="Q33" t="s">
        <v>3112</v>
      </c>
      <c r="R33" t="s">
        <v>3359</v>
      </c>
      <c r="V33" t="s">
        <v>256</v>
      </c>
      <c r="W33" t="s">
        <v>3337</v>
      </c>
      <c r="X33" t="str">
        <f t="shared" si="0"/>
        <v>BL485216@TRAC Corp</v>
      </c>
      <c r="Y33" t="str">
        <f>_xlfn.IFNA(_xll.BDP(X33,"INTERVAL_SUM", "MARKET_DATA_OVERRIDE=px_volume", "CALC_INTERVAL=5D"), "")</f>
        <v>#N/A N/A</v>
      </c>
      <c r="Z33" cm="1">
        <f t="array" ref="Z33">_xll.BDP(B33, "CF_ACT_CASH_PAID_FOR_INT_DEBT")</f>
        <v>869</v>
      </c>
      <c r="AA33" t="str" cm="1">
        <f t="array" ref="AA33">_xll.BDP(B33, "TYPE_OF_BOND")</f>
        <v>#N/A Field Not Applicable</v>
      </c>
    </row>
    <row r="34" spans="1:27" x14ac:dyDescent="0.25">
      <c r="A34">
        <v>32</v>
      </c>
      <c r="B34" t="s">
        <v>3360</v>
      </c>
      <c r="C34" s="4" t="s">
        <v>3335</v>
      </c>
      <c r="D34" s="4">
        <v>2500000000</v>
      </c>
      <c r="E34" t="s">
        <v>11</v>
      </c>
      <c r="F34" s="1"/>
      <c r="H34" t="s">
        <v>13</v>
      </c>
      <c r="L34" t="s">
        <v>1168</v>
      </c>
      <c r="M34" t="s">
        <v>10</v>
      </c>
      <c r="N34" t="s">
        <v>15</v>
      </c>
      <c r="O34" t="s">
        <v>3110</v>
      </c>
      <c r="P34" t="s">
        <v>2637</v>
      </c>
      <c r="Q34" t="s">
        <v>3112</v>
      </c>
      <c r="R34" t="s">
        <v>3361</v>
      </c>
      <c r="V34" t="s">
        <v>227</v>
      </c>
      <c r="W34" t="s">
        <v>3337</v>
      </c>
      <c r="X34" t="str">
        <f t="shared" si="0"/>
        <v>BL472511@TRAC Corp</v>
      </c>
      <c r="Y34" t="str">
        <f>_xlfn.IFNA(_xll.BDP(X34,"INTERVAL_SUM", "MARKET_DATA_OVERRIDE=px_volume", "CALC_INTERVAL=5D"), "")</f>
        <v>#N/A N/A</v>
      </c>
      <c r="Z34" cm="1">
        <f t="array" ref="Z34">_xll.BDP(B34, "CF_ACT_CASH_PAID_FOR_INT_DEBT")</f>
        <v>869</v>
      </c>
      <c r="AA34" t="str" cm="1">
        <f t="array" ref="AA34">_xll.BDP(B34, "TYPE_OF_BOND")</f>
        <v>#N/A Field Not Applicable</v>
      </c>
    </row>
    <row r="35" spans="1:27" x14ac:dyDescent="0.25">
      <c r="A35">
        <v>33</v>
      </c>
      <c r="B35" t="s">
        <v>3362</v>
      </c>
      <c r="C35" s="4" t="s">
        <v>3335</v>
      </c>
      <c r="D35" s="4">
        <v>5000000000</v>
      </c>
      <c r="E35" t="s">
        <v>11</v>
      </c>
      <c r="F35" s="1"/>
      <c r="H35" t="s">
        <v>13</v>
      </c>
      <c r="L35" t="s">
        <v>1168</v>
      </c>
      <c r="M35" t="s">
        <v>10</v>
      </c>
      <c r="N35" t="s">
        <v>15</v>
      </c>
      <c r="O35" t="s">
        <v>3110</v>
      </c>
      <c r="P35" t="s">
        <v>2637</v>
      </c>
      <c r="Q35" t="s">
        <v>3112</v>
      </c>
      <c r="R35" t="s">
        <v>3361</v>
      </c>
      <c r="V35" t="s">
        <v>227</v>
      </c>
      <c r="W35" t="s">
        <v>3337</v>
      </c>
      <c r="X35" t="str">
        <f t="shared" si="0"/>
        <v>BL472510@TRAC Corp</v>
      </c>
      <c r="Y35" t="str">
        <f>_xlfn.IFNA(_xll.BDP(X35,"INTERVAL_SUM", "MARKET_DATA_OVERRIDE=px_volume", "CALC_INTERVAL=5D"), "")</f>
        <v>#N/A N/A</v>
      </c>
      <c r="Z35" cm="1">
        <f t="array" ref="Z35">_xll.BDP(B35, "CF_ACT_CASH_PAID_FOR_INT_DEBT")</f>
        <v>869</v>
      </c>
      <c r="AA35" t="str" cm="1">
        <f t="array" ref="AA35">_xll.BDP(B35, "TYPE_OF_BOND")</f>
        <v>#N/A Field Not Applicable</v>
      </c>
    </row>
    <row r="36" spans="1:27" x14ac:dyDescent="0.25">
      <c r="A36">
        <v>34</v>
      </c>
      <c r="B36" t="s">
        <v>128</v>
      </c>
      <c r="C36" s="4" t="s">
        <v>115</v>
      </c>
      <c r="D36" s="4">
        <v>66367000</v>
      </c>
      <c r="E36" s="1" t="s">
        <v>17</v>
      </c>
      <c r="F36" s="1">
        <v>47406</v>
      </c>
      <c r="G36">
        <v>7.45</v>
      </c>
      <c r="H36" t="s">
        <v>9</v>
      </c>
      <c r="L36" t="s">
        <v>1168</v>
      </c>
      <c r="M36" t="s">
        <v>10</v>
      </c>
      <c r="N36" t="s">
        <v>15</v>
      </c>
      <c r="O36" t="s">
        <v>3110</v>
      </c>
      <c r="P36" t="s">
        <v>2634</v>
      </c>
      <c r="Q36" t="s">
        <v>3114</v>
      </c>
      <c r="R36" t="s">
        <v>129</v>
      </c>
      <c r="S36">
        <v>1286804.86529667</v>
      </c>
      <c r="T36">
        <v>13</v>
      </c>
      <c r="W36" t="s">
        <v>117</v>
      </c>
      <c r="X36" t="str">
        <f t="shared" si="0"/>
        <v>EC187863@TRAC Corp</v>
      </c>
      <c r="Y36">
        <f>_xlfn.IFNA(_xll.BDP(X36,"INTERVAL_SUM", "MARKET_DATA_OVERRIDE=px_volume", "CALC_INTERVAL=5D"), "")</f>
        <v>209</v>
      </c>
      <c r="Z36" t="str" cm="1">
        <f t="array" ref="Z36">_xll.BDP(B36, "CF_ACT_CASH_PAID_FOR_INT_DEBT")</f>
        <v>#N/A N/A</v>
      </c>
      <c r="AA36" t="str" cm="1">
        <f t="array" ref="AA36">_xll.BDP(B36, "TYPE_OF_BOND")</f>
        <v>#N/A Field Not Applicable</v>
      </c>
    </row>
    <row r="37" spans="1:27" x14ac:dyDescent="0.25">
      <c r="A37">
        <v>35</v>
      </c>
      <c r="B37" t="s">
        <v>118</v>
      </c>
      <c r="C37" s="4" t="s">
        <v>115</v>
      </c>
      <c r="D37" s="4">
        <v>1340000000</v>
      </c>
      <c r="E37" s="1" t="s">
        <v>33</v>
      </c>
      <c r="F37" s="1">
        <v>47150</v>
      </c>
      <c r="G37">
        <v>11.5021</v>
      </c>
      <c r="H37" t="s">
        <v>13</v>
      </c>
      <c r="I37" t="s">
        <v>2635</v>
      </c>
      <c r="J37">
        <v>775</v>
      </c>
      <c r="L37" t="s">
        <v>1168</v>
      </c>
      <c r="M37" t="s">
        <v>10</v>
      </c>
      <c r="N37" t="s">
        <v>15</v>
      </c>
      <c r="O37" t="s">
        <v>3110</v>
      </c>
      <c r="P37" t="s">
        <v>2634</v>
      </c>
      <c r="Q37" t="s">
        <v>3114</v>
      </c>
      <c r="R37" t="s">
        <v>119</v>
      </c>
      <c r="S37">
        <v>3000000</v>
      </c>
      <c r="T37">
        <v>8</v>
      </c>
      <c r="V37" t="s">
        <v>227</v>
      </c>
      <c r="W37" t="s">
        <v>117</v>
      </c>
      <c r="X37" t="str">
        <f t="shared" si="0"/>
        <v>BL357160@TRAC Corp</v>
      </c>
      <c r="Y37" t="str">
        <f>_xlfn.IFNA(_xll.BDP(X37,"INTERVAL_SUM", "MARKET_DATA_OVERRIDE=px_volume", "CALC_INTERVAL=5D"), "")</f>
        <v>#N/A N/A</v>
      </c>
      <c r="Z37" t="str" cm="1">
        <f t="array" ref="Z37">_xll.BDP(B37, "CF_ACT_CASH_PAID_FOR_INT_DEBT")</f>
        <v>#N/A N/A</v>
      </c>
      <c r="AA37" t="str" cm="1">
        <f t="array" ref="AA37">_xll.BDP(B37, "TYPE_OF_BOND")</f>
        <v>#N/A Field Not Applicable</v>
      </c>
    </row>
    <row r="38" spans="1:27" x14ac:dyDescent="0.25">
      <c r="A38">
        <v>36</v>
      </c>
      <c r="B38" t="s">
        <v>130</v>
      </c>
      <c r="C38" s="4" t="s">
        <v>115</v>
      </c>
      <c r="D38" s="4">
        <v>855000000</v>
      </c>
      <c r="E38" s="1" t="s">
        <v>33</v>
      </c>
      <c r="F38" s="1">
        <v>47150</v>
      </c>
      <c r="G38">
        <v>11.7254</v>
      </c>
      <c r="H38" t="s">
        <v>13</v>
      </c>
      <c r="I38" t="s">
        <v>2635</v>
      </c>
      <c r="J38">
        <v>800</v>
      </c>
      <c r="L38" t="s">
        <v>1168</v>
      </c>
      <c r="M38" t="s">
        <v>10</v>
      </c>
      <c r="N38" t="s">
        <v>15</v>
      </c>
      <c r="O38" t="s">
        <v>3110</v>
      </c>
      <c r="P38" t="s">
        <v>2634</v>
      </c>
      <c r="Q38" t="s">
        <v>3114</v>
      </c>
      <c r="R38" t="s">
        <v>119</v>
      </c>
      <c r="V38" t="s">
        <v>227</v>
      </c>
      <c r="W38" t="s">
        <v>117</v>
      </c>
      <c r="X38" t="str">
        <f t="shared" si="0"/>
        <v>BL356131@TRAC Corp</v>
      </c>
      <c r="Y38" t="str">
        <f>_xlfn.IFNA(_xll.BDP(X38,"INTERVAL_SUM", "MARKET_DATA_OVERRIDE=px_volume", "CALC_INTERVAL=5D"), "")</f>
        <v>#N/A N/A</v>
      </c>
      <c r="Z38" t="str" cm="1">
        <f t="array" ref="Z38">_xll.BDP(B38, "CF_ACT_CASH_PAID_FOR_INT_DEBT")</f>
        <v>#N/A N/A</v>
      </c>
      <c r="AA38" t="str" cm="1">
        <f t="array" ref="AA38">_xll.BDP(B38, "TYPE_OF_BOND")</f>
        <v>#N/A Field Not Applicable</v>
      </c>
    </row>
    <row r="39" spans="1:27" x14ac:dyDescent="0.25">
      <c r="A39">
        <v>37</v>
      </c>
      <c r="B39" t="s">
        <v>114</v>
      </c>
      <c r="C39" s="4" t="s">
        <v>115</v>
      </c>
      <c r="D39" s="4">
        <v>6160000000</v>
      </c>
      <c r="E39" s="1" t="s">
        <v>11</v>
      </c>
      <c r="F39" s="1">
        <v>46784</v>
      </c>
      <c r="G39">
        <v>7.4966999999999997</v>
      </c>
      <c r="H39" t="s">
        <v>13</v>
      </c>
      <c r="I39" t="s">
        <v>2631</v>
      </c>
      <c r="J39">
        <v>375</v>
      </c>
      <c r="L39" t="s">
        <v>1168</v>
      </c>
      <c r="M39" t="s">
        <v>10</v>
      </c>
      <c r="N39" t="s">
        <v>15</v>
      </c>
      <c r="O39" t="s">
        <v>3110</v>
      </c>
      <c r="P39" t="s">
        <v>2634</v>
      </c>
      <c r="Q39" t="s">
        <v>3114</v>
      </c>
      <c r="R39" t="s">
        <v>116</v>
      </c>
      <c r="S39">
        <v>2000000</v>
      </c>
      <c r="T39">
        <v>23</v>
      </c>
      <c r="V39" t="s">
        <v>227</v>
      </c>
      <c r="W39" t="s">
        <v>117</v>
      </c>
      <c r="X39" t="str">
        <f t="shared" si="0"/>
        <v>BL355684@TRAC Corp</v>
      </c>
      <c r="Y39" t="str">
        <f>_xlfn.IFNA(_xll.BDP(X39,"INTERVAL_SUM", "MARKET_DATA_OVERRIDE=px_volume", "CALC_INTERVAL=5D"), "")</f>
        <v>#N/A N/A</v>
      </c>
      <c r="Z39" t="str" cm="1">
        <f t="array" ref="Z39">_xll.BDP(B39, "CF_ACT_CASH_PAID_FOR_INT_DEBT")</f>
        <v>#N/A N/A</v>
      </c>
      <c r="AA39" t="str" cm="1">
        <f t="array" ref="AA39">_xll.BDP(B39, "TYPE_OF_BOND")</f>
        <v>#N/A Field Not Applicable</v>
      </c>
    </row>
    <row r="40" spans="1:27" x14ac:dyDescent="0.25">
      <c r="A40">
        <v>38</v>
      </c>
      <c r="B40" t="s">
        <v>91</v>
      </c>
      <c r="C40" s="4" t="s">
        <v>92</v>
      </c>
      <c r="D40" s="4">
        <v>1733000000</v>
      </c>
      <c r="E40" s="1" t="s">
        <v>17</v>
      </c>
      <c r="F40" s="1">
        <v>47529</v>
      </c>
      <c r="G40">
        <v>7.375</v>
      </c>
      <c r="H40" t="s">
        <v>9</v>
      </c>
      <c r="L40" t="s">
        <v>1168</v>
      </c>
      <c r="M40" t="s">
        <v>10</v>
      </c>
      <c r="N40" t="s">
        <v>15</v>
      </c>
      <c r="O40" t="s">
        <v>3110</v>
      </c>
      <c r="P40" t="s">
        <v>2634</v>
      </c>
      <c r="Q40" t="s">
        <v>3115</v>
      </c>
      <c r="R40" t="s">
        <v>93</v>
      </c>
      <c r="S40">
        <v>4480722.0264220703</v>
      </c>
      <c r="T40">
        <v>42</v>
      </c>
      <c r="U40" t="s">
        <v>1169</v>
      </c>
      <c r="W40" t="s">
        <v>94</v>
      </c>
      <c r="X40" t="str">
        <f t="shared" si="0"/>
        <v>BU019111@TRAC Corp</v>
      </c>
      <c r="Y40">
        <f>_xlfn.IFNA(_xll.BDP(X40,"INTERVAL_SUM", "MARKET_DATA_OVERRIDE=px_volume", "CALC_INTERVAL=5D"), "")</f>
        <v>17133</v>
      </c>
      <c r="Z40" cm="1">
        <f t="array" ref="Z40">_xll.BDP(B40, "CF_ACT_CASH_PAID_FOR_INT_DEBT")</f>
        <v>188</v>
      </c>
      <c r="AA40" t="str" cm="1">
        <f t="array" ref="AA40">_xll.BDP(B40, "TYPE_OF_BOND")</f>
        <v>#N/A Field Not Applicable</v>
      </c>
    </row>
    <row r="41" spans="1:27" x14ac:dyDescent="0.25">
      <c r="A41">
        <v>39</v>
      </c>
      <c r="B41" t="s">
        <v>95</v>
      </c>
      <c r="C41" s="4" t="s">
        <v>92</v>
      </c>
      <c r="D41" s="4">
        <v>5154800000</v>
      </c>
      <c r="E41" s="1" t="s">
        <v>11</v>
      </c>
      <c r="F41" s="1">
        <v>47178</v>
      </c>
      <c r="G41">
        <v>6.6795</v>
      </c>
      <c r="H41" t="s">
        <v>13</v>
      </c>
      <c r="I41" t="s">
        <v>2631</v>
      </c>
      <c r="J41">
        <v>300</v>
      </c>
      <c r="L41" t="s">
        <v>1168</v>
      </c>
      <c r="M41" t="s">
        <v>10</v>
      </c>
      <c r="N41" t="s">
        <v>15</v>
      </c>
      <c r="O41" t="s">
        <v>3110</v>
      </c>
      <c r="P41" t="s">
        <v>2634</v>
      </c>
      <c r="Q41" t="s">
        <v>3115</v>
      </c>
      <c r="R41" t="s">
        <v>96</v>
      </c>
      <c r="S41">
        <v>5000000</v>
      </c>
      <c r="T41">
        <v>23</v>
      </c>
      <c r="V41" t="s">
        <v>227</v>
      </c>
      <c r="W41" t="s">
        <v>94</v>
      </c>
      <c r="X41" t="str">
        <f t="shared" si="0"/>
        <v>BL488362@TRAC Corp</v>
      </c>
      <c r="Y41" t="str">
        <f>_xlfn.IFNA(_xll.BDP(X41,"INTERVAL_SUM", "MARKET_DATA_OVERRIDE=px_volume", "CALC_INTERVAL=5D"), "")</f>
        <v>#N/A N/A</v>
      </c>
      <c r="Z41" cm="1">
        <f t="array" ref="Z41">_xll.BDP(B41, "CF_ACT_CASH_PAID_FOR_INT_DEBT")</f>
        <v>188</v>
      </c>
      <c r="AA41" t="str" cm="1">
        <f t="array" ref="AA41">_xll.BDP(B41, "TYPE_OF_BOND")</f>
        <v>#N/A Field Not Applicable</v>
      </c>
    </row>
    <row r="42" spans="1:27" x14ac:dyDescent="0.25">
      <c r="A42">
        <v>40</v>
      </c>
      <c r="B42" t="s">
        <v>174</v>
      </c>
      <c r="C42" s="4" t="s">
        <v>92</v>
      </c>
      <c r="D42" s="4">
        <v>1368500000</v>
      </c>
      <c r="E42" s="1" t="s">
        <v>11</v>
      </c>
      <c r="F42" s="1">
        <v>47178</v>
      </c>
      <c r="G42">
        <v>5.7679999999999998</v>
      </c>
      <c r="H42" t="s">
        <v>13</v>
      </c>
      <c r="I42" t="s">
        <v>2636</v>
      </c>
      <c r="J42">
        <v>350</v>
      </c>
      <c r="L42" t="s">
        <v>1171</v>
      </c>
      <c r="M42" t="s">
        <v>10</v>
      </c>
      <c r="N42" t="s">
        <v>15</v>
      </c>
      <c r="O42" t="s">
        <v>3110</v>
      </c>
      <c r="P42" t="s">
        <v>2634</v>
      </c>
      <c r="Q42" t="s">
        <v>3115</v>
      </c>
      <c r="R42" t="s">
        <v>175</v>
      </c>
      <c r="S42">
        <v>2000000</v>
      </c>
      <c r="T42">
        <v>17</v>
      </c>
      <c r="V42" t="s">
        <v>227</v>
      </c>
      <c r="W42" t="s">
        <v>94</v>
      </c>
      <c r="X42" t="str">
        <f t="shared" si="0"/>
        <v>BL466804@TRAC Corp</v>
      </c>
      <c r="Y42" t="str">
        <f>_xlfn.IFNA(_xll.BDP(X42,"INTERVAL_SUM", "MARKET_DATA_OVERRIDE=px_volume", "CALC_INTERVAL=5D"), "")</f>
        <v>#N/A N/A</v>
      </c>
      <c r="Z42" cm="1">
        <f t="array" ref="Z42">_xll.BDP(B42, "CF_ACT_CASH_PAID_FOR_INT_DEBT")</f>
        <v>188</v>
      </c>
      <c r="AA42" t="str" cm="1">
        <f t="array" ref="AA42">_xll.BDP(B42, "TYPE_OF_BOND")</f>
        <v>#N/A Field Not Applicable</v>
      </c>
    </row>
    <row r="43" spans="1:27" x14ac:dyDescent="0.25">
      <c r="A43">
        <v>41</v>
      </c>
      <c r="B43" t="s">
        <v>228</v>
      </c>
      <c r="C43" s="4" t="s">
        <v>229</v>
      </c>
      <c r="D43" s="4">
        <v>3837622000</v>
      </c>
      <c r="E43" s="1" t="s">
        <v>33</v>
      </c>
      <c r="F43" s="1">
        <v>47391</v>
      </c>
      <c r="G43">
        <v>9</v>
      </c>
      <c r="H43" t="s">
        <v>9</v>
      </c>
      <c r="L43" t="s">
        <v>1168</v>
      </c>
      <c r="M43" t="s">
        <v>10</v>
      </c>
      <c r="N43" t="s">
        <v>15</v>
      </c>
      <c r="O43" t="s">
        <v>3110</v>
      </c>
      <c r="P43" t="s">
        <v>2637</v>
      </c>
      <c r="Q43" t="s">
        <v>3111</v>
      </c>
      <c r="R43" t="s">
        <v>230</v>
      </c>
      <c r="S43">
        <v>27589425.890801098</v>
      </c>
      <c r="T43">
        <v>61</v>
      </c>
      <c r="U43" t="s">
        <v>1169</v>
      </c>
      <c r="W43" t="s">
        <v>231</v>
      </c>
      <c r="X43" t="str">
        <f t="shared" si="0"/>
        <v>ZK026845@TRAC Corp</v>
      </c>
      <c r="Y43">
        <f>_xlfn.IFNA(_xll.BDP(X43,"INTERVAL_SUM", "MARKET_DATA_OVERRIDE=px_volume", "CALC_INTERVAL=5D"), "")</f>
        <v>35291</v>
      </c>
      <c r="Z43" cm="1">
        <f t="array" ref="Z43">_xll.BDP(B43, "CF_ACT_CASH_PAID_FOR_INT_DEBT")</f>
        <v>14.933</v>
      </c>
      <c r="AA43" t="str" cm="1">
        <f t="array" ref="AA43">_xll.BDP(B43, "TYPE_OF_BOND")</f>
        <v>#N/A Field Not Applicable</v>
      </c>
    </row>
    <row r="44" spans="1:27" x14ac:dyDescent="0.25">
      <c r="A44">
        <v>42</v>
      </c>
      <c r="B44" t="s">
        <v>232</v>
      </c>
      <c r="C44" s="4" t="s">
        <v>229</v>
      </c>
      <c r="D44" s="4">
        <v>1800000000</v>
      </c>
      <c r="E44" s="1" t="s">
        <v>11</v>
      </c>
      <c r="F44" s="1">
        <v>48395</v>
      </c>
      <c r="G44">
        <v>8.25</v>
      </c>
      <c r="H44" t="s">
        <v>9</v>
      </c>
      <c r="L44" t="s">
        <v>1168</v>
      </c>
      <c r="M44" t="s">
        <v>10</v>
      </c>
      <c r="N44" t="s">
        <v>15</v>
      </c>
      <c r="O44" t="s">
        <v>3110</v>
      </c>
      <c r="P44" t="s">
        <v>2637</v>
      </c>
      <c r="Q44" t="s">
        <v>3111</v>
      </c>
      <c r="R44" t="s">
        <v>233</v>
      </c>
      <c r="S44">
        <v>13041634.517627699</v>
      </c>
      <c r="T44">
        <v>39</v>
      </c>
      <c r="U44" t="s">
        <v>1169</v>
      </c>
      <c r="W44" t="s">
        <v>231</v>
      </c>
      <c r="X44" t="str">
        <f t="shared" si="0"/>
        <v>ZB986519@TRAC Corp</v>
      </c>
      <c r="Y44">
        <f>_xlfn.IFNA(_xll.BDP(X44,"INTERVAL_SUM", "MARKET_DATA_OVERRIDE=px_volume", "CALC_INTERVAL=5D"), "")</f>
        <v>20091</v>
      </c>
      <c r="Z44" cm="1">
        <f t="array" ref="Z44">_xll.BDP(B44, "CF_ACT_CASH_PAID_FOR_INT_DEBT")</f>
        <v>14.933</v>
      </c>
      <c r="AA44" t="str" cm="1">
        <f t="array" ref="AA44">_xll.BDP(B44, "TYPE_OF_BOND")</f>
        <v>#N/A Field Not Applicable</v>
      </c>
    </row>
    <row r="45" spans="1:27" x14ac:dyDescent="0.25">
      <c r="A45">
        <v>43</v>
      </c>
      <c r="B45" t="s">
        <v>234</v>
      </c>
      <c r="C45" s="4" t="s">
        <v>229</v>
      </c>
      <c r="D45" s="4">
        <v>1000000000</v>
      </c>
      <c r="E45" s="1" t="s">
        <v>11</v>
      </c>
      <c r="F45" s="1">
        <v>48806</v>
      </c>
      <c r="G45">
        <v>6.625</v>
      </c>
      <c r="H45" t="s">
        <v>9</v>
      </c>
      <c r="L45" t="s">
        <v>1168</v>
      </c>
      <c r="M45" t="s">
        <v>10</v>
      </c>
      <c r="N45" t="s">
        <v>15</v>
      </c>
      <c r="O45" t="s">
        <v>3110</v>
      </c>
      <c r="P45" t="s">
        <v>2637</v>
      </c>
      <c r="Q45" t="s">
        <v>3111</v>
      </c>
      <c r="R45" t="s">
        <v>235</v>
      </c>
      <c r="S45">
        <v>8253866.2334661698</v>
      </c>
      <c r="T45">
        <v>28</v>
      </c>
      <c r="U45" t="s">
        <v>1169</v>
      </c>
      <c r="W45" t="s">
        <v>231</v>
      </c>
      <c r="X45" t="str">
        <f t="shared" si="0"/>
        <v>YL064819@TRAC Corp</v>
      </c>
      <c r="Y45">
        <f>_xlfn.IFNA(_xll.BDP(X45,"INTERVAL_SUM", "MARKET_DATA_OVERRIDE=px_volume", "CALC_INTERVAL=5D"), "")</f>
        <v>16390</v>
      </c>
      <c r="Z45" cm="1">
        <f t="array" ref="Z45">_xll.BDP(B45, "CF_ACT_CASH_PAID_FOR_INT_DEBT")</f>
        <v>14.933</v>
      </c>
      <c r="AA45" t="str" cm="1">
        <f t="array" ref="AA45">_xll.BDP(B45, "TYPE_OF_BOND")</f>
        <v>#N/A Field Not Applicable</v>
      </c>
    </row>
    <row r="46" spans="1:27" x14ac:dyDescent="0.25">
      <c r="A46">
        <v>44</v>
      </c>
      <c r="B46" t="s">
        <v>236</v>
      </c>
      <c r="C46" s="4" t="s">
        <v>229</v>
      </c>
      <c r="D46" s="4">
        <v>8115000</v>
      </c>
      <c r="E46" s="1" t="s">
        <v>17</v>
      </c>
      <c r="F46" s="1">
        <v>48335</v>
      </c>
      <c r="G46">
        <v>2.25</v>
      </c>
      <c r="H46" t="s">
        <v>9</v>
      </c>
      <c r="L46" t="s">
        <v>1168</v>
      </c>
      <c r="M46" t="s">
        <v>10</v>
      </c>
      <c r="N46" t="s">
        <v>15</v>
      </c>
      <c r="O46" t="s">
        <v>3110</v>
      </c>
      <c r="P46" t="s">
        <v>2637</v>
      </c>
      <c r="Q46" t="s">
        <v>3111</v>
      </c>
      <c r="R46" t="s">
        <v>237</v>
      </c>
      <c r="S46">
        <v>-9997</v>
      </c>
      <c r="W46" t="s">
        <v>231</v>
      </c>
      <c r="X46" t="str">
        <f t="shared" si="0"/>
        <v>EJ135290@TRAC Corp</v>
      </c>
      <c r="Y46" t="str">
        <f>_xlfn.IFNA(_xll.BDP(X46,"INTERVAL_SUM", "MARKET_DATA_OVERRIDE=px_volume", "CALC_INTERVAL=5D"), "")</f>
        <v>#N/A N/A</v>
      </c>
      <c r="Z46" cm="1">
        <f t="array" ref="Z46">_xll.BDP(B46, "CF_ACT_CASH_PAID_FOR_INT_DEBT")</f>
        <v>14.933</v>
      </c>
      <c r="AA46" t="str" cm="1">
        <f t="array" ref="AA46">_xll.BDP(B46, "TYPE_OF_BOND")</f>
        <v>Convertible</v>
      </c>
    </row>
    <row r="47" spans="1:27" x14ac:dyDescent="0.25">
      <c r="A47">
        <v>45</v>
      </c>
      <c r="B47" t="s">
        <v>238</v>
      </c>
      <c r="C47" s="4" t="s">
        <v>229</v>
      </c>
      <c r="D47" s="4">
        <v>4000000000</v>
      </c>
      <c r="E47" s="1" t="s">
        <v>12</v>
      </c>
      <c r="F47" s="1">
        <v>47208</v>
      </c>
      <c r="G47">
        <v>6.5</v>
      </c>
      <c r="H47" t="s">
        <v>9</v>
      </c>
      <c r="L47" t="s">
        <v>1168</v>
      </c>
      <c r="M47" t="s">
        <v>10</v>
      </c>
      <c r="N47" t="s">
        <v>15</v>
      </c>
      <c r="O47" t="s">
        <v>3110</v>
      </c>
      <c r="P47" t="s">
        <v>2637</v>
      </c>
      <c r="Q47" t="s">
        <v>3111</v>
      </c>
      <c r="R47" t="s">
        <v>239</v>
      </c>
      <c r="S47">
        <v>13697836.430192299</v>
      </c>
      <c r="T47">
        <v>55</v>
      </c>
      <c r="U47" t="s">
        <v>1169</v>
      </c>
      <c r="W47" t="s">
        <v>231</v>
      </c>
      <c r="X47" t="str">
        <f t="shared" si="0"/>
        <v>BZ013516@TRAC Corp</v>
      </c>
      <c r="Y47">
        <f>_xlfn.IFNA(_xll.BDP(X47,"INTERVAL_SUM", "MARKET_DATA_OVERRIDE=px_volume", "CALC_INTERVAL=5D"), "")</f>
        <v>18732</v>
      </c>
      <c r="Z47" cm="1">
        <f t="array" ref="Z47">_xll.BDP(B47, "CF_ACT_CASH_PAID_FOR_INT_DEBT")</f>
        <v>14.933</v>
      </c>
      <c r="AA47" t="str" cm="1">
        <f t="array" ref="AA47">_xll.BDP(B47, "TYPE_OF_BOND")</f>
        <v>#N/A Field Not Applicable</v>
      </c>
    </row>
    <row r="48" spans="1:27" x14ac:dyDescent="0.25">
      <c r="A48">
        <v>46</v>
      </c>
      <c r="B48" t="s">
        <v>240</v>
      </c>
      <c r="C48" s="4" t="s">
        <v>229</v>
      </c>
      <c r="D48" s="4">
        <v>112359000</v>
      </c>
      <c r="E48" s="1" t="s">
        <v>11</v>
      </c>
      <c r="F48" s="1">
        <v>46722</v>
      </c>
      <c r="G48">
        <v>4.5</v>
      </c>
      <c r="H48" t="s">
        <v>9</v>
      </c>
      <c r="L48" t="s">
        <v>1168</v>
      </c>
      <c r="M48" t="s">
        <v>10</v>
      </c>
      <c r="N48" t="s">
        <v>15</v>
      </c>
      <c r="O48" t="s">
        <v>3110</v>
      </c>
      <c r="P48" t="s">
        <v>2637</v>
      </c>
      <c r="Q48" t="s">
        <v>3112</v>
      </c>
      <c r="R48" t="s">
        <v>241</v>
      </c>
      <c r="S48">
        <v>9167304.9955457393</v>
      </c>
      <c r="T48">
        <v>17</v>
      </c>
      <c r="W48" t="s">
        <v>231</v>
      </c>
      <c r="X48" t="str">
        <f t="shared" si="0"/>
        <v>AQ008890@TRAC Corp</v>
      </c>
      <c r="Y48">
        <f>_xlfn.IFNA(_xll.BDP(X48,"INTERVAL_SUM", "MARKET_DATA_OVERRIDE=px_volume", "CALC_INTERVAL=5D"), "")</f>
        <v>164</v>
      </c>
      <c r="Z48" cm="1">
        <f t="array" ref="Z48">_xll.BDP(B48, "CF_ACT_CASH_PAID_FOR_INT_DEBT")</f>
        <v>84.802000000000007</v>
      </c>
      <c r="AA48" t="str" cm="1">
        <f t="array" ref="AA48">_xll.BDP(B48, "TYPE_OF_BOND")</f>
        <v>#N/A Field Not Applicable</v>
      </c>
    </row>
    <row r="49" spans="1:27" x14ac:dyDescent="0.25">
      <c r="A49">
        <v>47</v>
      </c>
      <c r="B49" t="s">
        <v>3664</v>
      </c>
      <c r="C49" s="4" t="s">
        <v>229</v>
      </c>
      <c r="D49" s="4">
        <v>1502990</v>
      </c>
      <c r="E49" s="1" t="s">
        <v>11</v>
      </c>
      <c r="F49" s="1">
        <v>47381</v>
      </c>
      <c r="H49" t="s">
        <v>13</v>
      </c>
      <c r="I49" t="s">
        <v>2631</v>
      </c>
      <c r="J49">
        <v>575</v>
      </c>
      <c r="L49" t="s">
        <v>1168</v>
      </c>
      <c r="M49" t="s">
        <v>10</v>
      </c>
      <c r="N49" t="s">
        <v>36</v>
      </c>
      <c r="O49" t="s">
        <v>3113</v>
      </c>
      <c r="R49" t="s">
        <v>3665</v>
      </c>
      <c r="V49" t="s">
        <v>226</v>
      </c>
      <c r="W49" t="s">
        <v>231</v>
      </c>
      <c r="X49" t="str">
        <f t="shared" si="0"/>
        <v>BL576474@TRAC Corp</v>
      </c>
      <c r="Y49" t="str">
        <f>_xlfn.IFNA(_xll.BDP(X49,"INTERVAL_SUM", "MARKET_DATA_OVERRIDE=px_volume", "CALC_INTERVAL=5D"), "")</f>
        <v>#N/A N/A</v>
      </c>
      <c r="Z49" t="str" cm="1">
        <f t="array" ref="Z49">_xll.BDP(B49, "CF_ACT_CASH_PAID_FOR_INT_DEBT")</f>
        <v>#N/A N/A</v>
      </c>
      <c r="AA49" t="str" cm="1">
        <f t="array" ref="AA49">_xll.BDP(B49, "TYPE_OF_BOND")</f>
        <v>#N/A Field Not Applicable</v>
      </c>
    </row>
    <row r="50" spans="1:27" x14ac:dyDescent="0.25">
      <c r="A50">
        <v>48</v>
      </c>
      <c r="B50" t="s">
        <v>3666</v>
      </c>
      <c r="C50" s="4" t="s">
        <v>229</v>
      </c>
      <c r="D50" s="4">
        <v>747702</v>
      </c>
      <c r="E50" s="1" t="s">
        <v>11</v>
      </c>
      <c r="F50" s="1">
        <v>47381</v>
      </c>
      <c r="G50">
        <v>9.3939000000000004</v>
      </c>
      <c r="H50" t="s">
        <v>13</v>
      </c>
      <c r="I50" t="s">
        <v>2631</v>
      </c>
      <c r="J50">
        <v>575</v>
      </c>
      <c r="L50" t="s">
        <v>1168</v>
      </c>
      <c r="M50" t="s">
        <v>10</v>
      </c>
      <c r="N50" t="s">
        <v>36</v>
      </c>
      <c r="O50" t="s">
        <v>3113</v>
      </c>
      <c r="R50" t="s">
        <v>3667</v>
      </c>
      <c r="V50" t="s">
        <v>327</v>
      </c>
      <c r="W50" t="s">
        <v>231</v>
      </c>
      <c r="X50" t="str">
        <f t="shared" si="0"/>
        <v>BL576193@TRAC Corp</v>
      </c>
      <c r="Y50" t="str">
        <f>_xlfn.IFNA(_xll.BDP(X50,"INTERVAL_SUM", "MARKET_DATA_OVERRIDE=px_volume", "CALC_INTERVAL=5D"), "")</f>
        <v>#N/A N/A</v>
      </c>
      <c r="Z50" t="str" cm="1">
        <f t="array" ref="Z50">_xll.BDP(B50, "CF_ACT_CASH_PAID_FOR_INT_DEBT")</f>
        <v>#N/A N/A</v>
      </c>
      <c r="AA50" t="str" cm="1">
        <f t="array" ref="AA50">_xll.BDP(B50, "TYPE_OF_BOND")</f>
        <v>#N/A Field Not Applicable</v>
      </c>
    </row>
    <row r="51" spans="1:27" x14ac:dyDescent="0.25">
      <c r="A51">
        <v>49</v>
      </c>
      <c r="B51" t="s">
        <v>242</v>
      </c>
      <c r="C51" s="4" t="s">
        <v>229</v>
      </c>
      <c r="D51" s="4">
        <v>140529000</v>
      </c>
      <c r="E51" s="1" t="s">
        <v>11</v>
      </c>
      <c r="F51" s="1">
        <v>47391</v>
      </c>
      <c r="G51">
        <v>9.3939000000000004</v>
      </c>
      <c r="H51" t="s">
        <v>13</v>
      </c>
      <c r="I51" t="s">
        <v>2631</v>
      </c>
      <c r="J51">
        <v>575</v>
      </c>
      <c r="L51" t="s">
        <v>1168</v>
      </c>
      <c r="M51" t="s">
        <v>10</v>
      </c>
      <c r="N51" t="s">
        <v>36</v>
      </c>
      <c r="O51" t="s">
        <v>3113</v>
      </c>
      <c r="R51" t="s">
        <v>243</v>
      </c>
      <c r="V51" t="s">
        <v>227</v>
      </c>
      <c r="W51" t="s">
        <v>231</v>
      </c>
      <c r="X51" t="str">
        <f t="shared" si="0"/>
        <v>BL548508@TRAC Corp</v>
      </c>
      <c r="Y51" t="str">
        <f>_xlfn.IFNA(_xll.BDP(X51,"INTERVAL_SUM", "MARKET_DATA_OVERRIDE=px_volume", "CALC_INTERVAL=5D"), "")</f>
        <v>#N/A N/A</v>
      </c>
      <c r="Z51" t="str" cm="1">
        <f t="array" ref="Z51">_xll.BDP(B51, "CF_ACT_CASH_PAID_FOR_INT_DEBT")</f>
        <v>#N/A N/A</v>
      </c>
      <c r="AA51" t="str" cm="1">
        <f t="array" ref="AA51">_xll.BDP(B51, "TYPE_OF_BOND")</f>
        <v>#N/A Field Not Applicable</v>
      </c>
    </row>
    <row r="52" spans="1:27" x14ac:dyDescent="0.25">
      <c r="A52">
        <v>50</v>
      </c>
      <c r="B52" t="s">
        <v>244</v>
      </c>
      <c r="C52" s="4" t="s">
        <v>229</v>
      </c>
      <c r="D52" s="4">
        <v>548905576.84835005</v>
      </c>
      <c r="E52" s="1" t="s">
        <v>11</v>
      </c>
      <c r="F52" s="1">
        <v>48442</v>
      </c>
      <c r="G52">
        <v>5.2229999999999999</v>
      </c>
      <c r="H52" t="s">
        <v>13</v>
      </c>
      <c r="I52" t="s">
        <v>2638</v>
      </c>
      <c r="J52">
        <v>300</v>
      </c>
      <c r="L52" t="s">
        <v>1171</v>
      </c>
      <c r="M52" t="s">
        <v>10</v>
      </c>
      <c r="N52" t="s">
        <v>15</v>
      </c>
      <c r="O52" t="s">
        <v>3110</v>
      </c>
      <c r="P52" t="s">
        <v>2637</v>
      </c>
      <c r="Q52" t="s">
        <v>3111</v>
      </c>
      <c r="R52" t="s">
        <v>245</v>
      </c>
      <c r="S52">
        <v>3000000</v>
      </c>
      <c r="T52">
        <v>11</v>
      </c>
      <c r="V52" t="s">
        <v>227</v>
      </c>
      <c r="W52" t="s">
        <v>231</v>
      </c>
      <c r="X52" t="str">
        <f t="shared" si="0"/>
        <v>BL535465@TRAC Corp</v>
      </c>
      <c r="Y52" t="str">
        <f>_xlfn.IFNA(_xll.BDP(X52,"INTERVAL_SUM", "MARKET_DATA_OVERRIDE=px_volume", "CALC_INTERVAL=5D"), "")</f>
        <v>#N/A N/A</v>
      </c>
      <c r="Z52" cm="1">
        <f t="array" ref="Z52">_xll.BDP(B52, "CF_ACT_CASH_PAID_FOR_INT_DEBT")</f>
        <v>14.933</v>
      </c>
      <c r="AA52" t="str" cm="1">
        <f t="array" ref="AA52">_xll.BDP(B52, "TYPE_OF_BOND")</f>
        <v>#N/A Field Not Applicable</v>
      </c>
    </row>
    <row r="53" spans="1:27" x14ac:dyDescent="0.25">
      <c r="A53">
        <v>51</v>
      </c>
      <c r="B53" t="s">
        <v>246</v>
      </c>
      <c r="C53" s="4" t="s">
        <v>229</v>
      </c>
      <c r="D53" s="4">
        <v>1624718.18</v>
      </c>
      <c r="E53" s="1" t="s">
        <v>11</v>
      </c>
      <c r="F53" s="1">
        <v>47389</v>
      </c>
      <c r="G53">
        <v>6.8939000000000004</v>
      </c>
      <c r="H53" t="s">
        <v>13</v>
      </c>
      <c r="I53" t="s">
        <v>2631</v>
      </c>
      <c r="J53">
        <v>325</v>
      </c>
      <c r="L53" t="s">
        <v>1168</v>
      </c>
      <c r="M53" t="s">
        <v>10</v>
      </c>
      <c r="N53" t="s">
        <v>15</v>
      </c>
      <c r="O53" t="s">
        <v>3110</v>
      </c>
      <c r="P53" t="s">
        <v>2637</v>
      </c>
      <c r="Q53" t="s">
        <v>3111</v>
      </c>
      <c r="R53" t="s">
        <v>247</v>
      </c>
      <c r="V53" t="s">
        <v>226</v>
      </c>
      <c r="W53" t="s">
        <v>231</v>
      </c>
      <c r="X53" t="str">
        <f t="shared" si="0"/>
        <v>BL522258@TRAC Corp</v>
      </c>
      <c r="Y53" t="str">
        <f>_xlfn.IFNA(_xll.BDP(X53,"INTERVAL_SUM", "MARKET_DATA_OVERRIDE=px_volume", "CALC_INTERVAL=5D"), "")</f>
        <v>#N/A N/A</v>
      </c>
      <c r="Z53" cm="1">
        <f t="array" ref="Z53">_xll.BDP(B53, "CF_ACT_CASH_PAID_FOR_INT_DEBT")</f>
        <v>14.933</v>
      </c>
      <c r="AA53" t="str" cm="1">
        <f t="array" ref="AA53">_xll.BDP(B53, "TYPE_OF_BOND")</f>
        <v>#N/A Field Not Applicable</v>
      </c>
    </row>
    <row r="54" spans="1:27" x14ac:dyDescent="0.25">
      <c r="A54">
        <v>52</v>
      </c>
      <c r="B54" t="s">
        <v>248</v>
      </c>
      <c r="C54" s="4" t="s">
        <v>229</v>
      </c>
      <c r="D54" s="4">
        <v>2962612500</v>
      </c>
      <c r="E54" s="1" t="s">
        <v>11</v>
      </c>
      <c r="F54" s="1">
        <v>47931</v>
      </c>
      <c r="G54">
        <v>6.8963000000000001</v>
      </c>
      <c r="H54" t="s">
        <v>13</v>
      </c>
      <c r="I54" t="s">
        <v>2635</v>
      </c>
      <c r="J54">
        <v>325</v>
      </c>
      <c r="L54" t="s">
        <v>1168</v>
      </c>
      <c r="M54" t="s">
        <v>10</v>
      </c>
      <c r="N54" t="s">
        <v>15</v>
      </c>
      <c r="O54" t="s">
        <v>3110</v>
      </c>
      <c r="P54" t="s">
        <v>2637</v>
      </c>
      <c r="Q54" t="s">
        <v>3111</v>
      </c>
      <c r="R54" t="s">
        <v>249</v>
      </c>
      <c r="S54">
        <v>3000000</v>
      </c>
      <c r="T54">
        <v>14</v>
      </c>
      <c r="V54" t="s">
        <v>227</v>
      </c>
      <c r="W54" t="s">
        <v>231</v>
      </c>
      <c r="X54" t="str">
        <f t="shared" si="0"/>
        <v>BL519583@TRAC Corp</v>
      </c>
      <c r="Y54" t="str">
        <f>_xlfn.IFNA(_xll.BDP(X54,"INTERVAL_SUM", "MARKET_DATA_OVERRIDE=px_volume", "CALC_INTERVAL=5D"), "")</f>
        <v>#N/A N/A</v>
      </c>
      <c r="Z54" cm="1">
        <f t="array" ref="Z54">_xll.BDP(B54, "CF_ACT_CASH_PAID_FOR_INT_DEBT")</f>
        <v>14.933</v>
      </c>
      <c r="AA54" t="str" cm="1">
        <f t="array" ref="AA54">_xll.BDP(B54, "TYPE_OF_BOND")</f>
        <v>#N/A Field Not Applicable</v>
      </c>
    </row>
    <row r="55" spans="1:27" x14ac:dyDescent="0.25">
      <c r="A55">
        <v>53</v>
      </c>
      <c r="B55" t="s">
        <v>250</v>
      </c>
      <c r="C55" s="4" t="s">
        <v>229</v>
      </c>
      <c r="D55" s="4">
        <v>3430911973.6300001</v>
      </c>
      <c r="E55" s="1" t="s">
        <v>11</v>
      </c>
      <c r="F55" s="1">
        <v>48442</v>
      </c>
      <c r="G55">
        <v>6.8963000000000001</v>
      </c>
      <c r="H55" t="s">
        <v>13</v>
      </c>
      <c r="I55" t="s">
        <v>2635</v>
      </c>
      <c r="J55">
        <v>325</v>
      </c>
      <c r="L55" t="s">
        <v>1168</v>
      </c>
      <c r="M55" t="s">
        <v>10</v>
      </c>
      <c r="N55" t="s">
        <v>15</v>
      </c>
      <c r="O55" t="s">
        <v>3110</v>
      </c>
      <c r="P55" t="s">
        <v>2637</v>
      </c>
      <c r="Q55" t="s">
        <v>3111</v>
      </c>
      <c r="R55" t="s">
        <v>251</v>
      </c>
      <c r="S55">
        <v>3000000</v>
      </c>
      <c r="T55">
        <v>15</v>
      </c>
      <c r="V55" t="s">
        <v>227</v>
      </c>
      <c r="W55" t="s">
        <v>231</v>
      </c>
      <c r="X55" t="str">
        <f t="shared" si="0"/>
        <v>BL519582@TRAC Corp</v>
      </c>
      <c r="Y55" t="str">
        <f>_xlfn.IFNA(_xll.BDP(X55,"INTERVAL_SUM", "MARKET_DATA_OVERRIDE=px_volume", "CALC_INTERVAL=5D"), "")</f>
        <v>#N/A N/A</v>
      </c>
      <c r="Z55" cm="1">
        <f t="array" ref="Z55">_xll.BDP(B55, "CF_ACT_CASH_PAID_FOR_INT_DEBT")</f>
        <v>14.933</v>
      </c>
      <c r="AA55" t="str" cm="1">
        <f t="array" ref="AA55">_xll.BDP(B55, "TYPE_OF_BOND")</f>
        <v>#N/A Field Not Applicable</v>
      </c>
    </row>
    <row r="56" spans="1:27" x14ac:dyDescent="0.25">
      <c r="A56">
        <v>54</v>
      </c>
      <c r="B56" t="s">
        <v>252</v>
      </c>
      <c r="C56" s="4" t="s">
        <v>229</v>
      </c>
      <c r="D56" s="4">
        <v>1667798</v>
      </c>
      <c r="E56" s="1" t="s">
        <v>8</v>
      </c>
      <c r="F56" s="1">
        <v>47391</v>
      </c>
      <c r="G56">
        <v>10.732200000000001</v>
      </c>
      <c r="H56" t="s">
        <v>13</v>
      </c>
      <c r="I56" t="s">
        <v>2635</v>
      </c>
      <c r="J56">
        <v>700</v>
      </c>
      <c r="L56" t="s">
        <v>1168</v>
      </c>
      <c r="N56" t="s">
        <v>15</v>
      </c>
      <c r="O56" t="s">
        <v>3110</v>
      </c>
      <c r="R56" t="s">
        <v>253</v>
      </c>
      <c r="V56" t="s">
        <v>227</v>
      </c>
      <c r="W56" t="s">
        <v>231</v>
      </c>
      <c r="X56" t="str">
        <f t="shared" si="0"/>
        <v>BL494847@TRAC Corp</v>
      </c>
      <c r="Y56" t="str">
        <f>_xlfn.IFNA(_xll.BDP(X56,"INTERVAL_SUM", "MARKET_DATA_OVERRIDE=px_volume", "CALC_INTERVAL=5D"), "")</f>
        <v>#N/A N/A</v>
      </c>
      <c r="Z56" cm="1">
        <f t="array" ref="Z56">_xll.BDP(B56, "CF_ACT_CASH_PAID_FOR_INT_DEBT")</f>
        <v>14.933</v>
      </c>
      <c r="AA56" t="str" cm="1">
        <f t="array" ref="AA56">_xll.BDP(B56, "TYPE_OF_BOND")</f>
        <v>#N/A Field Not Applicable</v>
      </c>
    </row>
    <row r="57" spans="1:27" x14ac:dyDescent="0.25">
      <c r="A57">
        <v>55</v>
      </c>
      <c r="B57" t="s">
        <v>254</v>
      </c>
      <c r="C57" s="4" t="s">
        <v>229</v>
      </c>
      <c r="D57" s="4">
        <v>721722823</v>
      </c>
      <c r="E57" s="1" t="s">
        <v>11</v>
      </c>
      <c r="F57" s="1">
        <v>47462</v>
      </c>
      <c r="G57">
        <v>11.6487</v>
      </c>
      <c r="H57" t="s">
        <v>13</v>
      </c>
      <c r="I57" t="s">
        <v>2635</v>
      </c>
      <c r="J57">
        <v>800</v>
      </c>
      <c r="L57" t="s">
        <v>1168</v>
      </c>
      <c r="M57" t="s">
        <v>10</v>
      </c>
      <c r="N57" t="s">
        <v>15</v>
      </c>
      <c r="O57" t="s">
        <v>3110</v>
      </c>
      <c r="P57" t="s">
        <v>2634</v>
      </c>
      <c r="Q57" t="s">
        <v>3114</v>
      </c>
      <c r="R57" t="s">
        <v>255</v>
      </c>
      <c r="S57">
        <v>3000000</v>
      </c>
      <c r="T57">
        <v>16</v>
      </c>
      <c r="V57" t="s">
        <v>256</v>
      </c>
      <c r="W57" t="s">
        <v>231</v>
      </c>
      <c r="X57" t="str">
        <f t="shared" si="0"/>
        <v>BL490360@TRAC Corp</v>
      </c>
      <c r="Y57" t="str">
        <f>_xlfn.IFNA(_xll.BDP(X57,"INTERVAL_SUM", "MARKET_DATA_OVERRIDE=px_volume", "CALC_INTERVAL=5D"), "")</f>
        <v>#N/A N/A</v>
      </c>
      <c r="Z57" t="str" cm="1">
        <f t="array" ref="Z57">_xll.BDP(B57, "CF_ACT_CASH_PAID_FOR_INT_DEBT")</f>
        <v>#N/A N/A</v>
      </c>
      <c r="AA57" t="str" cm="1">
        <f t="array" ref="AA57">_xll.BDP(B57, "TYPE_OF_BOND")</f>
        <v>#N/A Field Not Applicable</v>
      </c>
    </row>
    <row r="58" spans="1:27" x14ac:dyDescent="0.25">
      <c r="A58">
        <v>56</v>
      </c>
      <c r="B58" t="s">
        <v>257</v>
      </c>
      <c r="C58" s="4" t="s">
        <v>229</v>
      </c>
      <c r="D58" s="4">
        <v>4153000</v>
      </c>
      <c r="E58" s="1" t="s">
        <v>33</v>
      </c>
      <c r="F58" s="1">
        <v>47391</v>
      </c>
      <c r="G58">
        <v>11.1439</v>
      </c>
      <c r="H58" t="s">
        <v>13</v>
      </c>
      <c r="I58" t="s">
        <v>2631</v>
      </c>
      <c r="J58">
        <v>750</v>
      </c>
      <c r="L58" t="s">
        <v>1168</v>
      </c>
      <c r="M58" t="s">
        <v>10</v>
      </c>
      <c r="N58" t="s">
        <v>36</v>
      </c>
      <c r="O58" t="s">
        <v>3113</v>
      </c>
      <c r="P58" t="s">
        <v>2639</v>
      </c>
      <c r="Q58" t="s">
        <v>2639</v>
      </c>
      <c r="R58" t="s">
        <v>258</v>
      </c>
      <c r="V58" t="s">
        <v>227</v>
      </c>
      <c r="W58" t="s">
        <v>231</v>
      </c>
      <c r="X58" t="str">
        <f t="shared" si="0"/>
        <v>BL483325@TRAC Corp</v>
      </c>
      <c r="Y58" t="str">
        <f>_xlfn.IFNA(_xll.BDP(X58,"INTERVAL_SUM", "MARKET_DATA_OVERRIDE=px_volume", "CALC_INTERVAL=5D"), "")</f>
        <v>#N/A N/A</v>
      </c>
      <c r="Z58" t="str" cm="1">
        <f t="array" ref="Z58">_xll.BDP(B58, "CF_ACT_CASH_PAID_FOR_INT_DEBT")</f>
        <v>#N/A N/A</v>
      </c>
      <c r="AA58" t="str" cm="1">
        <f t="array" ref="AA58">_xll.BDP(B58, "TYPE_OF_BOND")</f>
        <v>#N/A Field Not Applicable</v>
      </c>
    </row>
    <row r="59" spans="1:27" x14ac:dyDescent="0.25">
      <c r="A59">
        <v>57</v>
      </c>
      <c r="B59" t="s">
        <v>259</v>
      </c>
      <c r="C59" s="4" t="s">
        <v>229</v>
      </c>
      <c r="D59" s="4">
        <v>16370818</v>
      </c>
      <c r="E59" s="1" t="s">
        <v>11</v>
      </c>
      <c r="F59" s="1">
        <v>47208</v>
      </c>
      <c r="G59">
        <v>6.5</v>
      </c>
      <c r="H59" t="s">
        <v>9</v>
      </c>
      <c r="I59" t="s">
        <v>2630</v>
      </c>
      <c r="J59">
        <v>6.5</v>
      </c>
      <c r="L59" t="s">
        <v>1168</v>
      </c>
      <c r="M59" t="s">
        <v>10</v>
      </c>
      <c r="N59" t="s">
        <v>36</v>
      </c>
      <c r="O59" t="s">
        <v>3113</v>
      </c>
      <c r="P59" t="s">
        <v>2639</v>
      </c>
      <c r="Q59" t="s">
        <v>2639</v>
      </c>
      <c r="R59" t="s">
        <v>243</v>
      </c>
      <c r="V59" t="s">
        <v>227</v>
      </c>
      <c r="W59" t="s">
        <v>231</v>
      </c>
      <c r="X59" t="str">
        <f t="shared" si="0"/>
        <v>BL483324@TRAC Corp</v>
      </c>
      <c r="Y59" t="str">
        <f>_xlfn.IFNA(_xll.BDP(X59,"INTERVAL_SUM", "MARKET_DATA_OVERRIDE=px_volume", "CALC_INTERVAL=5D"), "")</f>
        <v>#N/A N/A</v>
      </c>
      <c r="Z59" t="str" cm="1">
        <f t="array" ref="Z59">_xll.BDP(B59, "CF_ACT_CASH_PAID_FOR_INT_DEBT")</f>
        <v>#N/A N/A</v>
      </c>
      <c r="AA59" t="str" cm="1">
        <f t="array" ref="AA59">_xll.BDP(B59, "TYPE_OF_BOND")</f>
        <v>#N/A Field Not Applicable</v>
      </c>
    </row>
    <row r="60" spans="1:27" x14ac:dyDescent="0.25">
      <c r="A60">
        <v>58</v>
      </c>
      <c r="B60" t="s">
        <v>344</v>
      </c>
      <c r="C60" s="4" t="s">
        <v>345</v>
      </c>
      <c r="D60" s="4">
        <v>2225000000</v>
      </c>
      <c r="E60" s="1" t="s">
        <v>11</v>
      </c>
      <c r="F60" s="1">
        <v>47941</v>
      </c>
      <c r="G60">
        <v>10.5</v>
      </c>
      <c r="H60" t="s">
        <v>9</v>
      </c>
      <c r="L60" t="s">
        <v>1168</v>
      </c>
      <c r="M60" t="s">
        <v>10</v>
      </c>
      <c r="N60" t="s">
        <v>16</v>
      </c>
      <c r="O60" t="s">
        <v>3108</v>
      </c>
      <c r="P60" t="s">
        <v>2644</v>
      </c>
      <c r="Q60" t="s">
        <v>3183</v>
      </c>
      <c r="R60" t="s">
        <v>346</v>
      </c>
      <c r="S60">
        <v>13824268.817986799</v>
      </c>
      <c r="T60">
        <v>51</v>
      </c>
      <c r="U60" t="s">
        <v>1169</v>
      </c>
      <c r="W60" t="s">
        <v>347</v>
      </c>
      <c r="X60" t="str">
        <f t="shared" si="0"/>
        <v>YN564570@TRAC Corp</v>
      </c>
      <c r="Y60">
        <f>_xlfn.IFNA(_xll.BDP(X60,"INTERVAL_SUM", "MARKET_DATA_OVERRIDE=px_volume", "CALC_INTERVAL=5D"), "")</f>
        <v>9430</v>
      </c>
      <c r="Z60" t="str" cm="1">
        <f t="array" ref="Z60">_xll.BDP(B60, "CF_ACT_CASH_PAID_FOR_INT_DEBT")</f>
        <v>#N/A N/A</v>
      </c>
      <c r="AA60" t="str" cm="1">
        <f t="array" ref="AA60">_xll.BDP(B60, "TYPE_OF_BOND")</f>
        <v>#N/A Field Not Applicable</v>
      </c>
    </row>
    <row r="61" spans="1:27" x14ac:dyDescent="0.25">
      <c r="A61">
        <v>59</v>
      </c>
      <c r="B61" t="s">
        <v>348</v>
      </c>
      <c r="C61" s="4" t="s">
        <v>345</v>
      </c>
      <c r="D61" s="4">
        <v>1214643000</v>
      </c>
      <c r="E61" s="1" t="s">
        <v>17</v>
      </c>
      <c r="F61" s="1">
        <v>49827</v>
      </c>
      <c r="G61">
        <v>7.9950000000000001</v>
      </c>
      <c r="H61" t="s">
        <v>9</v>
      </c>
      <c r="L61" t="s">
        <v>1168</v>
      </c>
      <c r="M61" t="s">
        <v>10</v>
      </c>
      <c r="N61" t="s">
        <v>16</v>
      </c>
      <c r="O61" t="s">
        <v>3108</v>
      </c>
      <c r="P61" t="s">
        <v>2644</v>
      </c>
      <c r="Q61" t="s">
        <v>3183</v>
      </c>
      <c r="R61" t="s">
        <v>349</v>
      </c>
      <c r="S61">
        <v>29799084.881161101</v>
      </c>
      <c r="T61">
        <v>12</v>
      </c>
      <c r="W61" t="s">
        <v>347</v>
      </c>
      <c r="X61" t="str">
        <f t="shared" si="0"/>
        <v>EF420256@TRAC Corp</v>
      </c>
      <c r="Y61">
        <f>_xlfn.IFNA(_xll.BDP(X61,"INTERVAL_SUM", "MARKET_DATA_OVERRIDE=px_volume", "CALC_INTERVAL=5D"), "")</f>
        <v>3683</v>
      </c>
      <c r="Z61" t="str" cm="1">
        <f t="array" ref="Z61">_xll.BDP(B61, "CF_ACT_CASH_PAID_FOR_INT_DEBT")</f>
        <v>#N/A N/A</v>
      </c>
      <c r="AA61" t="str" cm="1">
        <f t="array" ref="AA61">_xll.BDP(B61, "TYPE_OF_BOND")</f>
        <v>#N/A Field Not Applicable</v>
      </c>
    </row>
    <row r="62" spans="1:27" x14ac:dyDescent="0.25">
      <c r="A62">
        <v>60</v>
      </c>
      <c r="B62" t="s">
        <v>350</v>
      </c>
      <c r="C62" s="4" t="s">
        <v>345</v>
      </c>
      <c r="D62" s="4">
        <v>1475400000</v>
      </c>
      <c r="E62" s="1" t="s">
        <v>11</v>
      </c>
      <c r="F62" s="1">
        <v>48124</v>
      </c>
      <c r="G62">
        <v>10.1753</v>
      </c>
      <c r="H62" t="s">
        <v>13</v>
      </c>
      <c r="I62" t="s">
        <v>2631</v>
      </c>
      <c r="J62">
        <v>650</v>
      </c>
      <c r="L62" t="s">
        <v>1168</v>
      </c>
      <c r="M62" t="s">
        <v>10</v>
      </c>
      <c r="N62" t="s">
        <v>16</v>
      </c>
      <c r="O62" t="s">
        <v>3108</v>
      </c>
      <c r="P62" t="s">
        <v>2644</v>
      </c>
      <c r="Q62" t="s">
        <v>3183</v>
      </c>
      <c r="R62" t="s">
        <v>351</v>
      </c>
      <c r="S62">
        <v>4262101.4311682004</v>
      </c>
      <c r="T62">
        <v>2</v>
      </c>
      <c r="V62" t="s">
        <v>256</v>
      </c>
      <c r="W62" t="s">
        <v>347</v>
      </c>
      <c r="X62" t="str">
        <f t="shared" si="0"/>
        <v>BL516622@TRAC Corp</v>
      </c>
      <c r="Y62" t="str">
        <f>_xlfn.IFNA(_xll.BDP(X62,"INTERVAL_SUM", "MARKET_DATA_OVERRIDE=px_volume", "CALC_INTERVAL=5D"), "")</f>
        <v>#N/A N/A</v>
      </c>
      <c r="Z62" t="str" cm="1">
        <f t="array" ref="Z62">_xll.BDP(B62, "CF_ACT_CASH_PAID_FOR_INT_DEBT")</f>
        <v>#N/A N/A</v>
      </c>
      <c r="AA62" t="str" cm="1">
        <f t="array" ref="AA62">_xll.BDP(B62, "TYPE_OF_BOND")</f>
        <v>#N/A Field Not Applicable</v>
      </c>
    </row>
    <row r="63" spans="1:27" x14ac:dyDescent="0.25">
      <c r="A63">
        <v>61</v>
      </c>
      <c r="B63" t="s">
        <v>352</v>
      </c>
      <c r="C63" s="4" t="s">
        <v>345</v>
      </c>
      <c r="D63" s="4">
        <v>355500000</v>
      </c>
      <c r="E63" s="1" t="s">
        <v>11</v>
      </c>
      <c r="F63" s="1">
        <v>47941</v>
      </c>
      <c r="G63">
        <v>7.9253</v>
      </c>
      <c r="H63" t="s">
        <v>13</v>
      </c>
      <c r="I63" t="s">
        <v>2631</v>
      </c>
      <c r="J63">
        <v>425</v>
      </c>
      <c r="L63" t="s">
        <v>1168</v>
      </c>
      <c r="M63" t="s">
        <v>10</v>
      </c>
      <c r="N63" t="s">
        <v>16</v>
      </c>
      <c r="O63" t="s">
        <v>3108</v>
      </c>
      <c r="P63" t="s">
        <v>2644</v>
      </c>
      <c r="Q63" t="s">
        <v>3183</v>
      </c>
      <c r="R63" t="s">
        <v>353</v>
      </c>
      <c r="S63">
        <v>2000000</v>
      </c>
      <c r="T63">
        <v>9</v>
      </c>
      <c r="V63" t="s">
        <v>327</v>
      </c>
      <c r="W63" t="s">
        <v>347</v>
      </c>
      <c r="X63" t="str">
        <f t="shared" si="0"/>
        <v>BL490656@TRAC Corp</v>
      </c>
      <c r="Y63" t="str">
        <f>_xlfn.IFNA(_xll.BDP(X63,"INTERVAL_SUM", "MARKET_DATA_OVERRIDE=px_volume", "CALC_INTERVAL=5D"), "")</f>
        <v>#N/A N/A</v>
      </c>
      <c r="Z63" t="str" cm="1">
        <f t="array" ref="Z63">_xll.BDP(B63, "CF_ACT_CASH_PAID_FOR_INT_DEBT")</f>
        <v>#N/A N/A</v>
      </c>
      <c r="AA63" t="str" cm="1">
        <f t="array" ref="AA63">_xll.BDP(B63, "TYPE_OF_BOND")</f>
        <v>#N/A Field Not Applicable</v>
      </c>
    </row>
    <row r="64" spans="1:27" x14ac:dyDescent="0.25">
      <c r="A64">
        <v>62</v>
      </c>
      <c r="B64" t="s">
        <v>354</v>
      </c>
      <c r="C64" s="4" t="s">
        <v>345</v>
      </c>
      <c r="D64" s="4">
        <v>2486000000</v>
      </c>
      <c r="E64" s="1" t="s">
        <v>11</v>
      </c>
      <c r="F64" s="1">
        <v>48124</v>
      </c>
      <c r="G64">
        <v>8.6753</v>
      </c>
      <c r="H64" t="s">
        <v>13</v>
      </c>
      <c r="I64" t="s">
        <v>2631</v>
      </c>
      <c r="J64">
        <v>500</v>
      </c>
      <c r="L64" t="s">
        <v>1168</v>
      </c>
      <c r="M64" t="s">
        <v>10</v>
      </c>
      <c r="N64" t="s">
        <v>16</v>
      </c>
      <c r="O64" t="s">
        <v>3108</v>
      </c>
      <c r="P64" t="s">
        <v>2644</v>
      </c>
      <c r="Q64" t="s">
        <v>3183</v>
      </c>
      <c r="R64" t="s">
        <v>351</v>
      </c>
      <c r="S64">
        <v>5000000</v>
      </c>
      <c r="T64">
        <v>5</v>
      </c>
      <c r="V64" t="s">
        <v>256</v>
      </c>
      <c r="W64" t="s">
        <v>347</v>
      </c>
      <c r="X64" t="str">
        <f t="shared" si="0"/>
        <v>BL478871@TRAC Corp</v>
      </c>
      <c r="Y64" t="str">
        <f>_xlfn.IFNA(_xll.BDP(X64,"INTERVAL_SUM", "MARKET_DATA_OVERRIDE=px_volume", "CALC_INTERVAL=5D"), "")</f>
        <v>#N/A N/A</v>
      </c>
      <c r="Z64" t="str" cm="1">
        <f t="array" ref="Z64">_xll.BDP(B64, "CF_ACT_CASH_PAID_FOR_INT_DEBT")</f>
        <v>#N/A N/A</v>
      </c>
      <c r="AA64" t="str" cm="1">
        <f t="array" ref="AA64">_xll.BDP(B64, "TYPE_OF_BOND")</f>
        <v>#N/A Field Not Applicable</v>
      </c>
    </row>
    <row r="65" spans="1:27" x14ac:dyDescent="0.25">
      <c r="A65">
        <v>63</v>
      </c>
      <c r="B65" t="s">
        <v>176</v>
      </c>
      <c r="C65" s="4" t="s">
        <v>81</v>
      </c>
      <c r="D65" s="4">
        <v>730000</v>
      </c>
      <c r="E65" s="1" t="s">
        <v>12</v>
      </c>
      <c r="F65" s="1">
        <v>47239</v>
      </c>
      <c r="G65">
        <v>8.75</v>
      </c>
      <c r="H65" t="s">
        <v>9</v>
      </c>
      <c r="L65" t="s">
        <v>1168</v>
      </c>
      <c r="M65" t="s">
        <v>10</v>
      </c>
      <c r="N65" t="s">
        <v>15</v>
      </c>
      <c r="O65" t="s">
        <v>3110</v>
      </c>
      <c r="P65" t="s">
        <v>2637</v>
      </c>
      <c r="Q65" t="s">
        <v>3111</v>
      </c>
      <c r="R65" t="s">
        <v>177</v>
      </c>
      <c r="S65">
        <v>-9997</v>
      </c>
      <c r="U65" t="s">
        <v>1170</v>
      </c>
      <c r="W65" t="s">
        <v>82</v>
      </c>
      <c r="X65" t="str">
        <f t="shared" si="0"/>
        <v>ZB634910@TRAC Corp</v>
      </c>
      <c r="Y65" t="str">
        <f>_xlfn.IFNA(_xll.BDP(X65,"INTERVAL_SUM", "MARKET_DATA_OVERRIDE=px_volume", "CALC_INTERVAL=5D"), "")</f>
        <v>#N/A N/A</v>
      </c>
      <c r="Z65" t="str" cm="1">
        <f t="array" ref="Z65">_xll.BDP(B65, "CF_ACT_CASH_PAID_FOR_INT_DEBT")</f>
        <v>#N/A N/A</v>
      </c>
      <c r="AA65" t="str" cm="1">
        <f t="array" ref="AA65">_xll.BDP(B65, "TYPE_OF_BOND")</f>
        <v>#N/A Field Not Applicable</v>
      </c>
    </row>
    <row r="66" spans="1:27" x14ac:dyDescent="0.25">
      <c r="A66">
        <v>64</v>
      </c>
      <c r="B66" t="s">
        <v>178</v>
      </c>
      <c r="C66" s="4" t="s">
        <v>81</v>
      </c>
      <c r="D66" s="4">
        <v>3709000</v>
      </c>
      <c r="E66" s="1" t="s">
        <v>12</v>
      </c>
      <c r="F66" s="1">
        <v>47239</v>
      </c>
      <c r="G66">
        <v>7.875</v>
      </c>
      <c r="H66" t="s">
        <v>9</v>
      </c>
      <c r="L66" t="s">
        <v>1171</v>
      </c>
      <c r="M66" t="s">
        <v>10</v>
      </c>
      <c r="N66" t="s">
        <v>15</v>
      </c>
      <c r="O66" t="s">
        <v>3110</v>
      </c>
      <c r="P66" t="s">
        <v>2637</v>
      </c>
      <c r="Q66" t="s">
        <v>3111</v>
      </c>
      <c r="R66" t="s">
        <v>179</v>
      </c>
      <c r="S66">
        <v>-9997</v>
      </c>
      <c r="U66" t="s">
        <v>1172</v>
      </c>
      <c r="W66" t="s">
        <v>82</v>
      </c>
      <c r="X66" t="str">
        <f t="shared" si="0"/>
        <v>ZB627312@TRAC Corp</v>
      </c>
      <c r="Y66" t="str">
        <f>_xlfn.IFNA(_xll.BDP(X66,"INTERVAL_SUM", "MARKET_DATA_OVERRIDE=px_volume", "CALC_INTERVAL=5D"), "")</f>
        <v>#N/A N/A</v>
      </c>
      <c r="Z66" t="str" cm="1">
        <f t="array" ref="Z66">_xll.BDP(B66, "CF_ACT_CASH_PAID_FOR_INT_DEBT")</f>
        <v>#N/A N/A</v>
      </c>
      <c r="AA66" t="str" cm="1">
        <f t="array" ref="AA66">_xll.BDP(B66, "TYPE_OF_BOND")</f>
        <v>#N/A Field Not Applicable</v>
      </c>
    </row>
    <row r="67" spans="1:27" x14ac:dyDescent="0.25">
      <c r="A67">
        <v>65</v>
      </c>
      <c r="B67" t="s">
        <v>180</v>
      </c>
      <c r="C67" s="4" t="s">
        <v>81</v>
      </c>
      <c r="D67" s="4">
        <v>2005000</v>
      </c>
      <c r="E67" s="1" t="s">
        <v>12</v>
      </c>
      <c r="F67" s="1">
        <v>47268</v>
      </c>
      <c r="G67">
        <v>9.5</v>
      </c>
      <c r="H67" t="s">
        <v>9</v>
      </c>
      <c r="L67" t="s">
        <v>1168</v>
      </c>
      <c r="M67" t="s">
        <v>35</v>
      </c>
      <c r="N67" t="s">
        <v>15</v>
      </c>
      <c r="O67" t="s">
        <v>3110</v>
      </c>
      <c r="P67" t="s">
        <v>2632</v>
      </c>
      <c r="Q67" t="s">
        <v>3124</v>
      </c>
      <c r="R67" t="s">
        <v>181</v>
      </c>
      <c r="S67">
        <v>-9997</v>
      </c>
      <c r="U67" t="s">
        <v>1169</v>
      </c>
      <c r="W67" t="s">
        <v>82</v>
      </c>
      <c r="X67" t="str">
        <f t="shared" ref="X67:X130" si="1">SUBSTITUTE(B67," Corp","@TRAC Corp")</f>
        <v>YX144185@TRAC Corp</v>
      </c>
      <c r="Y67" t="str">
        <f>_xlfn.IFNA(_xll.BDP(X67,"INTERVAL_SUM", "MARKET_DATA_OVERRIDE=px_volume", "CALC_INTERVAL=5D"), "")</f>
        <v>#N/A N/A</v>
      </c>
      <c r="Z67" t="str" cm="1">
        <f t="array" ref="Z67">_xll.BDP(B67, "CF_ACT_CASH_PAID_FOR_INT_DEBT")</f>
        <v>#N/A N/A</v>
      </c>
      <c r="AA67" t="str" cm="1">
        <f t="array" ref="AA67">_xll.BDP(B67, "TYPE_OF_BOND")</f>
        <v>#N/A Field Not Applicable</v>
      </c>
    </row>
    <row r="68" spans="1:27" x14ac:dyDescent="0.25">
      <c r="A68">
        <v>66</v>
      </c>
      <c r="B68" t="s">
        <v>182</v>
      </c>
      <c r="C68" s="4" t="s">
        <v>81</v>
      </c>
      <c r="D68" s="4">
        <v>231000</v>
      </c>
      <c r="E68" s="1" t="s">
        <v>12</v>
      </c>
      <c r="F68" s="1">
        <v>47331</v>
      </c>
      <c r="G68">
        <v>9</v>
      </c>
      <c r="H68" t="s">
        <v>9</v>
      </c>
      <c r="L68" t="s">
        <v>1168</v>
      </c>
      <c r="M68" t="s">
        <v>10</v>
      </c>
      <c r="N68" t="s">
        <v>15</v>
      </c>
      <c r="O68" t="s">
        <v>3110</v>
      </c>
      <c r="P68" t="s">
        <v>2632</v>
      </c>
      <c r="Q68" t="s">
        <v>3124</v>
      </c>
      <c r="R68" t="s">
        <v>183</v>
      </c>
      <c r="S68">
        <v>-9997</v>
      </c>
      <c r="U68" t="s">
        <v>1169</v>
      </c>
      <c r="W68" t="s">
        <v>82</v>
      </c>
      <c r="X68" t="str">
        <f t="shared" si="1"/>
        <v>YW667237@TRAC Corp</v>
      </c>
      <c r="Y68" t="str">
        <f>_xlfn.IFNA(_xll.BDP(X68,"INTERVAL_SUM", "MARKET_DATA_OVERRIDE=px_volume", "CALC_INTERVAL=5D"), "")</f>
        <v>#N/A N/A</v>
      </c>
      <c r="Z68" cm="1">
        <f t="array" ref="Z68">_xll.BDP(B68, "CF_ACT_CASH_PAID_FOR_INT_DEBT")</f>
        <v>0</v>
      </c>
      <c r="AA68" t="str" cm="1">
        <f t="array" ref="AA68">_xll.BDP(B68, "TYPE_OF_BOND")</f>
        <v>#N/A Field Not Applicable</v>
      </c>
    </row>
    <row r="69" spans="1:27" x14ac:dyDescent="0.25">
      <c r="A69">
        <v>67</v>
      </c>
      <c r="B69" t="s">
        <v>184</v>
      </c>
      <c r="C69" s="4" t="s">
        <v>81</v>
      </c>
      <c r="D69" s="4">
        <v>421291000</v>
      </c>
      <c r="E69" s="1" t="s">
        <v>12</v>
      </c>
      <c r="F69" s="1">
        <v>47239</v>
      </c>
      <c r="G69">
        <v>7.875</v>
      </c>
      <c r="H69" t="s">
        <v>9</v>
      </c>
      <c r="L69" t="s">
        <v>1171</v>
      </c>
      <c r="M69" t="s">
        <v>35</v>
      </c>
      <c r="N69" t="s">
        <v>15</v>
      </c>
      <c r="O69" t="s">
        <v>3110</v>
      </c>
      <c r="P69" t="s">
        <v>2639</v>
      </c>
      <c r="Q69" t="s">
        <v>3125</v>
      </c>
      <c r="R69" t="s">
        <v>185</v>
      </c>
      <c r="S69">
        <v>6567949.3966928003</v>
      </c>
      <c r="T69">
        <v>25</v>
      </c>
      <c r="U69" t="s">
        <v>1172</v>
      </c>
      <c r="W69" t="s">
        <v>82</v>
      </c>
      <c r="X69" t="str">
        <f t="shared" si="1"/>
        <v>YK896906@TRAC Corp</v>
      </c>
      <c r="Y69" t="str">
        <f>_xlfn.IFNA(_xll.BDP(X69,"INTERVAL_SUM", "MARKET_DATA_OVERRIDE=px_volume", "CALC_INTERVAL=5D"), "")</f>
        <v>#N/A N/A</v>
      </c>
      <c r="Z69" t="str" cm="1">
        <f t="array" ref="Z69">_xll.BDP(B69, "CF_ACT_CASH_PAID_FOR_INT_DEBT")</f>
        <v>#N/A N/A</v>
      </c>
      <c r="AA69" t="str" cm="1">
        <f t="array" ref="AA69">_xll.BDP(B69, "TYPE_OF_BOND")</f>
        <v>#N/A Field Not Applicable</v>
      </c>
    </row>
    <row r="70" spans="1:27" x14ac:dyDescent="0.25">
      <c r="A70">
        <v>68</v>
      </c>
      <c r="B70" t="s">
        <v>186</v>
      </c>
      <c r="C70" s="4" t="s">
        <v>81</v>
      </c>
      <c r="D70" s="4">
        <v>499769000</v>
      </c>
      <c r="E70" s="1" t="s">
        <v>12</v>
      </c>
      <c r="F70" s="1">
        <v>47331</v>
      </c>
      <c r="G70">
        <v>9</v>
      </c>
      <c r="H70" t="s">
        <v>9</v>
      </c>
      <c r="L70" t="s">
        <v>1168</v>
      </c>
      <c r="M70" t="s">
        <v>10</v>
      </c>
      <c r="N70" t="s">
        <v>15</v>
      </c>
      <c r="O70" t="s">
        <v>3110</v>
      </c>
      <c r="P70" t="s">
        <v>2632</v>
      </c>
      <c r="Q70" t="s">
        <v>3124</v>
      </c>
      <c r="R70" t="s">
        <v>187</v>
      </c>
      <c r="S70">
        <v>5517947.6671746001</v>
      </c>
      <c r="T70">
        <v>24</v>
      </c>
      <c r="U70" t="s">
        <v>1169</v>
      </c>
      <c r="W70" t="s">
        <v>82</v>
      </c>
      <c r="X70" t="str">
        <f t="shared" si="1"/>
        <v>YK854243@TRAC Corp</v>
      </c>
      <c r="Y70">
        <f>_xlfn.IFNA(_xll.BDP(X70,"INTERVAL_SUM", "MARKET_DATA_OVERRIDE=px_volume", "CALC_INTERVAL=5D"), "")</f>
        <v>8680</v>
      </c>
      <c r="Z70" t="str" cm="1">
        <f t="array" ref="Z70">_xll.BDP(B70, "CF_ACT_CASH_PAID_FOR_INT_DEBT")</f>
        <v>#N/A N/A</v>
      </c>
      <c r="AA70" t="str" cm="1">
        <f t="array" ref="AA70">_xll.BDP(B70, "TYPE_OF_BOND")</f>
        <v>#N/A Field Not Applicable</v>
      </c>
    </row>
    <row r="71" spans="1:27" x14ac:dyDescent="0.25">
      <c r="A71">
        <v>69</v>
      </c>
      <c r="B71" t="s">
        <v>188</v>
      </c>
      <c r="C71" s="4" t="s">
        <v>81</v>
      </c>
      <c r="D71" s="4">
        <v>346930000</v>
      </c>
      <c r="E71" s="1" t="s">
        <v>12</v>
      </c>
      <c r="F71" s="1">
        <v>46874</v>
      </c>
      <c r="G71">
        <v>5</v>
      </c>
      <c r="H71" t="s">
        <v>9</v>
      </c>
      <c r="L71" t="s">
        <v>1168</v>
      </c>
      <c r="M71" t="s">
        <v>10</v>
      </c>
      <c r="N71" t="s">
        <v>15</v>
      </c>
      <c r="O71" t="s">
        <v>3110</v>
      </c>
      <c r="P71" t="s">
        <v>2632</v>
      </c>
      <c r="Q71" t="s">
        <v>3124</v>
      </c>
      <c r="R71" t="s">
        <v>189</v>
      </c>
      <c r="S71">
        <v>3484053.0194008001</v>
      </c>
      <c r="T71">
        <v>25</v>
      </c>
      <c r="U71" t="s">
        <v>1169</v>
      </c>
      <c r="W71" t="s">
        <v>82</v>
      </c>
      <c r="X71" t="str">
        <f t="shared" si="1"/>
        <v>YK853720@TRAC Corp</v>
      </c>
      <c r="Y71">
        <f>_xlfn.IFNA(_xll.BDP(X71,"INTERVAL_SUM", "MARKET_DATA_OVERRIDE=px_volume", "CALC_INTERVAL=5D"), "")</f>
        <v>10485</v>
      </c>
      <c r="Z71" t="str" cm="1">
        <f t="array" ref="Z71">_xll.BDP(B71, "CF_ACT_CASH_PAID_FOR_INT_DEBT")</f>
        <v>#N/A N/A</v>
      </c>
      <c r="AA71" t="str" cm="1">
        <f t="array" ref="AA71">_xll.BDP(B71, "TYPE_OF_BOND")</f>
        <v>#N/A Field Not Applicable</v>
      </c>
    </row>
    <row r="72" spans="1:27" x14ac:dyDescent="0.25">
      <c r="A72">
        <v>70</v>
      </c>
      <c r="B72" t="s">
        <v>190</v>
      </c>
      <c r="C72" s="4" t="s">
        <v>81</v>
      </c>
      <c r="D72" s="4">
        <v>699270000</v>
      </c>
      <c r="E72" s="1" t="s">
        <v>12</v>
      </c>
      <c r="F72" s="1">
        <v>47239</v>
      </c>
      <c r="G72">
        <v>8.75</v>
      </c>
      <c r="H72" t="s">
        <v>9</v>
      </c>
      <c r="L72" t="s">
        <v>1168</v>
      </c>
      <c r="M72" t="s">
        <v>10</v>
      </c>
      <c r="N72" t="s">
        <v>15</v>
      </c>
      <c r="O72" t="s">
        <v>3110</v>
      </c>
      <c r="P72" t="s">
        <v>2632</v>
      </c>
      <c r="Q72" t="s">
        <v>3124</v>
      </c>
      <c r="R72" t="s">
        <v>191</v>
      </c>
      <c r="S72">
        <v>31679383.033076301</v>
      </c>
      <c r="T72">
        <v>31</v>
      </c>
      <c r="U72" t="s">
        <v>1173</v>
      </c>
      <c r="W72" t="s">
        <v>82</v>
      </c>
      <c r="X72" t="str">
        <f t="shared" si="1"/>
        <v>YK853411@TRAC Corp</v>
      </c>
      <c r="Y72">
        <f>_xlfn.IFNA(_xll.BDP(X72,"INTERVAL_SUM", "MARKET_DATA_OVERRIDE=px_volume", "CALC_INTERVAL=5D"), "")</f>
        <v>13648</v>
      </c>
      <c r="Z72" t="str" cm="1">
        <f t="array" ref="Z72">_xll.BDP(B72, "CF_ACT_CASH_PAID_FOR_INT_DEBT")</f>
        <v>#N/A N/A</v>
      </c>
      <c r="AA72" t="str" cm="1">
        <f t="array" ref="AA72">_xll.BDP(B72, "TYPE_OF_BOND")</f>
        <v>#N/A Field Not Applicable</v>
      </c>
    </row>
    <row r="73" spans="1:27" x14ac:dyDescent="0.25">
      <c r="A73">
        <v>71</v>
      </c>
      <c r="B73" t="s">
        <v>192</v>
      </c>
      <c r="C73" s="4" t="s">
        <v>81</v>
      </c>
      <c r="D73" s="4">
        <v>346450000</v>
      </c>
      <c r="E73" s="1" t="s">
        <v>12</v>
      </c>
      <c r="F73" s="1">
        <v>46874</v>
      </c>
      <c r="G73">
        <v>4.625</v>
      </c>
      <c r="H73" t="s">
        <v>9</v>
      </c>
      <c r="L73" t="s">
        <v>1168</v>
      </c>
      <c r="M73" t="s">
        <v>10</v>
      </c>
      <c r="N73" t="s">
        <v>15</v>
      </c>
      <c r="O73" t="s">
        <v>3110</v>
      </c>
      <c r="P73" t="s">
        <v>2632</v>
      </c>
      <c r="Q73" t="s">
        <v>3124</v>
      </c>
      <c r="R73" t="s">
        <v>193</v>
      </c>
      <c r="S73">
        <v>5805451.7377887499</v>
      </c>
      <c r="T73">
        <v>25</v>
      </c>
      <c r="U73" t="s">
        <v>1169</v>
      </c>
      <c r="W73" t="s">
        <v>82</v>
      </c>
      <c r="X73" t="str">
        <f t="shared" si="1"/>
        <v>YK835116@TRAC Corp</v>
      </c>
      <c r="Y73">
        <f>_xlfn.IFNA(_xll.BDP(X73,"INTERVAL_SUM", "MARKET_DATA_OVERRIDE=px_volume", "CALC_INTERVAL=5D"), "")</f>
        <v>10177</v>
      </c>
      <c r="Z73" t="str" cm="1">
        <f t="array" ref="Z73">_xll.BDP(B73, "CF_ACT_CASH_PAID_FOR_INT_DEBT")</f>
        <v>#N/A N/A</v>
      </c>
      <c r="AA73" t="str" cm="1">
        <f t="array" ref="AA73">_xll.BDP(B73, "TYPE_OF_BOND")</f>
        <v>#N/A Field Not Applicable</v>
      </c>
    </row>
    <row r="74" spans="1:27" x14ac:dyDescent="0.25">
      <c r="A74">
        <v>72</v>
      </c>
      <c r="B74" t="s">
        <v>194</v>
      </c>
      <c r="C74" s="4" t="s">
        <v>81</v>
      </c>
      <c r="D74" s="4">
        <v>772995000</v>
      </c>
      <c r="E74" t="s">
        <v>12</v>
      </c>
      <c r="F74" s="1">
        <v>47268</v>
      </c>
      <c r="G74">
        <v>9.5</v>
      </c>
      <c r="H74" t="s">
        <v>9</v>
      </c>
      <c r="L74" t="s">
        <v>1168</v>
      </c>
      <c r="M74" t="s">
        <v>10</v>
      </c>
      <c r="N74" t="s">
        <v>15</v>
      </c>
      <c r="O74" t="s">
        <v>3110</v>
      </c>
      <c r="P74" t="s">
        <v>2632</v>
      </c>
      <c r="Q74" t="s">
        <v>3124</v>
      </c>
      <c r="R74" t="s">
        <v>195</v>
      </c>
      <c r="S74">
        <v>6734288.8515274301</v>
      </c>
      <c r="T74">
        <v>28</v>
      </c>
      <c r="U74" t="s">
        <v>1170</v>
      </c>
      <c r="W74" t="s">
        <v>82</v>
      </c>
      <c r="X74" t="str">
        <f t="shared" si="1"/>
        <v>YK834943@TRAC Corp</v>
      </c>
      <c r="Y74">
        <f>_xlfn.IFNA(_xll.BDP(X74,"INTERVAL_SUM", "MARKET_DATA_OVERRIDE=px_volume", "CALC_INTERVAL=5D"), "")</f>
        <v>10446</v>
      </c>
      <c r="Z74" t="str" cm="1">
        <f t="array" ref="Z74">_xll.BDP(B74, "CF_ACT_CASH_PAID_FOR_INT_DEBT")</f>
        <v>#N/A N/A</v>
      </c>
      <c r="AA74" t="str" cm="1">
        <f t="array" ref="AA74">_xll.BDP(B74, "TYPE_OF_BOND")</f>
        <v>#N/A Field Not Applicable</v>
      </c>
    </row>
    <row r="75" spans="1:27" x14ac:dyDescent="0.25">
      <c r="A75">
        <v>73</v>
      </c>
      <c r="B75" t="s">
        <v>196</v>
      </c>
      <c r="C75" s="4" t="s">
        <v>81</v>
      </c>
      <c r="D75" s="4">
        <v>449795000</v>
      </c>
      <c r="E75" t="s">
        <v>12</v>
      </c>
      <c r="F75" s="1">
        <v>46888</v>
      </c>
      <c r="G75">
        <v>5.75</v>
      </c>
      <c r="H75" t="s">
        <v>9</v>
      </c>
      <c r="L75" t="s">
        <v>1168</v>
      </c>
      <c r="M75" t="s">
        <v>10</v>
      </c>
      <c r="N75" t="s">
        <v>15</v>
      </c>
      <c r="O75" t="s">
        <v>3110</v>
      </c>
      <c r="P75" t="s">
        <v>2632</v>
      </c>
      <c r="Q75" t="s">
        <v>3124</v>
      </c>
      <c r="R75" t="s">
        <v>197</v>
      </c>
      <c r="S75">
        <v>9541515.0486005992</v>
      </c>
      <c r="T75">
        <v>23</v>
      </c>
      <c r="U75" t="s">
        <v>1169</v>
      </c>
      <c r="W75" t="s">
        <v>82</v>
      </c>
      <c r="X75" t="str">
        <f t="shared" si="1"/>
        <v>YK834452@TRAC Corp</v>
      </c>
      <c r="Y75">
        <f>_xlfn.IFNA(_xll.BDP(X75,"INTERVAL_SUM", "MARKET_DATA_OVERRIDE=px_volume", "CALC_INTERVAL=5D"), "")</f>
        <v>11718</v>
      </c>
      <c r="Z75" t="str" cm="1">
        <f t="array" ref="Z75">_xll.BDP(B75, "CF_ACT_CASH_PAID_FOR_INT_DEBT")</f>
        <v>#N/A N/A</v>
      </c>
      <c r="AA75" t="str" cm="1">
        <f t="array" ref="AA75">_xll.BDP(B75, "TYPE_OF_BOND")</f>
        <v>#N/A Field Not Applicable</v>
      </c>
    </row>
    <row r="76" spans="1:27" x14ac:dyDescent="0.25">
      <c r="A76">
        <v>74</v>
      </c>
      <c r="B76" t="s">
        <v>198</v>
      </c>
      <c r="C76" s="4" t="s">
        <v>81</v>
      </c>
      <c r="D76" s="4">
        <v>600000000</v>
      </c>
      <c r="E76" t="s">
        <v>12</v>
      </c>
      <c r="F76" s="1">
        <v>48487</v>
      </c>
      <c r="G76">
        <v>6.875</v>
      </c>
      <c r="H76" t="s">
        <v>9</v>
      </c>
      <c r="L76" t="s">
        <v>1171</v>
      </c>
      <c r="M76" t="s">
        <v>35</v>
      </c>
      <c r="N76" t="s">
        <v>15</v>
      </c>
      <c r="O76" t="s">
        <v>3110</v>
      </c>
      <c r="P76" t="s">
        <v>2639</v>
      </c>
      <c r="Q76" t="s">
        <v>3125</v>
      </c>
      <c r="R76" t="s">
        <v>199</v>
      </c>
      <c r="S76">
        <v>2990931.0977955898</v>
      </c>
      <c r="T76">
        <v>17</v>
      </c>
      <c r="U76" t="s">
        <v>1172</v>
      </c>
      <c r="W76" t="s">
        <v>82</v>
      </c>
      <c r="X76" t="str">
        <f t="shared" si="1"/>
        <v>YK368370@TRAC Corp</v>
      </c>
      <c r="Y76" t="str">
        <f>_xlfn.IFNA(_xll.BDP(X76,"INTERVAL_SUM", "MARKET_DATA_OVERRIDE=px_volume", "CALC_INTERVAL=5D"), "")</f>
        <v>#N/A N/A</v>
      </c>
      <c r="Z76" t="str" cm="1">
        <f t="array" ref="Z76">_xll.BDP(B76, "CF_ACT_CASH_PAID_FOR_INT_DEBT")</f>
        <v>#N/A N/A</v>
      </c>
      <c r="AA76" t="str" cm="1">
        <f t="array" ref="AA76">_xll.BDP(B76, "TYPE_OF_BOND")</f>
        <v>#N/A Field Not Applicable</v>
      </c>
    </row>
    <row r="77" spans="1:27" x14ac:dyDescent="0.25">
      <c r="A77">
        <v>75</v>
      </c>
      <c r="B77" t="s">
        <v>200</v>
      </c>
      <c r="C77" s="4" t="s">
        <v>81</v>
      </c>
      <c r="D77" s="4">
        <v>500000000</v>
      </c>
      <c r="E77" t="s">
        <v>12</v>
      </c>
      <c r="F77" s="1">
        <v>47756</v>
      </c>
      <c r="G77">
        <v>6.5</v>
      </c>
      <c r="H77" t="s">
        <v>9</v>
      </c>
      <c r="L77" t="s">
        <v>1171</v>
      </c>
      <c r="M77" t="s">
        <v>35</v>
      </c>
      <c r="N77" t="s">
        <v>15</v>
      </c>
      <c r="O77" t="s">
        <v>3110</v>
      </c>
      <c r="P77" t="s">
        <v>2639</v>
      </c>
      <c r="Q77" t="s">
        <v>3125</v>
      </c>
      <c r="R77" t="s">
        <v>201</v>
      </c>
      <c r="S77">
        <v>3653798.20933057</v>
      </c>
      <c r="T77">
        <v>19</v>
      </c>
      <c r="U77" t="s">
        <v>1172</v>
      </c>
      <c r="W77" t="s">
        <v>82</v>
      </c>
      <c r="X77" t="str">
        <f t="shared" si="1"/>
        <v>YK367831@TRAC Corp</v>
      </c>
      <c r="Y77" t="str">
        <f>_xlfn.IFNA(_xll.BDP(X77,"INTERVAL_SUM", "MARKET_DATA_OVERRIDE=px_volume", "CALC_INTERVAL=5D"), "")</f>
        <v>#N/A N/A</v>
      </c>
      <c r="Z77" t="str" cm="1">
        <f t="array" ref="Z77">_xll.BDP(B77, "CF_ACT_CASH_PAID_FOR_INT_DEBT")</f>
        <v>#N/A N/A</v>
      </c>
      <c r="AA77" t="str" cm="1">
        <f t="array" ref="AA77">_xll.BDP(B77, "TYPE_OF_BOND")</f>
        <v>#N/A Field Not Applicable</v>
      </c>
    </row>
    <row r="78" spans="1:27" x14ac:dyDescent="0.25">
      <c r="A78">
        <v>76</v>
      </c>
      <c r="B78" t="s">
        <v>83</v>
      </c>
      <c r="C78" s="4" t="s">
        <v>81</v>
      </c>
      <c r="D78" s="4">
        <v>1500000000</v>
      </c>
      <c r="E78" t="s">
        <v>12</v>
      </c>
      <c r="F78" s="1">
        <v>48487</v>
      </c>
      <c r="G78">
        <v>7.875</v>
      </c>
      <c r="H78" t="s">
        <v>9</v>
      </c>
      <c r="L78" t="s">
        <v>1168</v>
      </c>
      <c r="M78" t="s">
        <v>10</v>
      </c>
      <c r="N78" t="s">
        <v>15</v>
      </c>
      <c r="O78" t="s">
        <v>3110</v>
      </c>
      <c r="P78" t="s">
        <v>2639</v>
      </c>
      <c r="Q78" t="s">
        <v>3125</v>
      </c>
      <c r="R78" t="s">
        <v>84</v>
      </c>
      <c r="S78">
        <v>31197353.412509501</v>
      </c>
      <c r="T78">
        <v>40</v>
      </c>
      <c r="U78" t="s">
        <v>1170</v>
      </c>
      <c r="W78" t="s">
        <v>82</v>
      </c>
      <c r="X78" t="str">
        <f t="shared" si="1"/>
        <v>YK367825@TRAC Corp</v>
      </c>
      <c r="Y78">
        <f>_xlfn.IFNA(_xll.BDP(X78,"INTERVAL_SUM", "MARKET_DATA_OVERRIDE=px_volume", "CALC_INTERVAL=5D"), "")</f>
        <v>69082</v>
      </c>
      <c r="Z78" t="str" cm="1">
        <f t="array" ref="Z78">_xll.BDP(B78, "CF_ACT_CASH_PAID_FOR_INT_DEBT")</f>
        <v>#N/A N/A</v>
      </c>
      <c r="AA78" t="str" cm="1">
        <f t="array" ref="AA78">_xll.BDP(B78, "TYPE_OF_BOND")</f>
        <v>#N/A Field Not Applicable</v>
      </c>
    </row>
    <row r="79" spans="1:27" x14ac:dyDescent="0.25">
      <c r="A79">
        <v>77</v>
      </c>
      <c r="B79" t="s">
        <v>202</v>
      </c>
      <c r="C79" s="4" t="s">
        <v>81</v>
      </c>
      <c r="D79" s="4">
        <v>3070000</v>
      </c>
      <c r="E79" t="s">
        <v>12</v>
      </c>
      <c r="F79" s="1">
        <v>46874</v>
      </c>
      <c r="G79">
        <v>5</v>
      </c>
      <c r="H79" t="s">
        <v>9</v>
      </c>
      <c r="L79" t="s">
        <v>1168</v>
      </c>
      <c r="M79" t="s">
        <v>10</v>
      </c>
      <c r="N79" t="s">
        <v>15</v>
      </c>
      <c r="O79" t="s">
        <v>3110</v>
      </c>
      <c r="P79" t="s">
        <v>2632</v>
      </c>
      <c r="Q79" t="s">
        <v>3124</v>
      </c>
      <c r="R79" t="s">
        <v>203</v>
      </c>
      <c r="S79">
        <v>-9997</v>
      </c>
      <c r="U79" t="s">
        <v>1169</v>
      </c>
      <c r="W79" t="s">
        <v>82</v>
      </c>
      <c r="X79" t="str">
        <f t="shared" si="1"/>
        <v>BP412666@TRAC Corp</v>
      </c>
      <c r="Y79" t="str">
        <f>_xlfn.IFNA(_xll.BDP(X79,"INTERVAL_SUM", "MARKET_DATA_OVERRIDE=px_volume", "CALC_INTERVAL=5D"), "")</f>
        <v>#N/A N/A</v>
      </c>
      <c r="Z79" cm="1">
        <f t="array" ref="Z79">_xll.BDP(B79, "CF_ACT_CASH_PAID_FOR_INT_DEBT")</f>
        <v>0</v>
      </c>
      <c r="AA79" t="str" cm="1">
        <f t="array" ref="AA79">_xll.BDP(B79, "TYPE_OF_BOND")</f>
        <v>#N/A Field Not Applicable</v>
      </c>
    </row>
    <row r="80" spans="1:27" x14ac:dyDescent="0.25">
      <c r="A80">
        <v>78</v>
      </c>
      <c r="B80" t="s">
        <v>204</v>
      </c>
      <c r="C80" s="4" t="s">
        <v>81</v>
      </c>
      <c r="D80" s="4">
        <v>205000</v>
      </c>
      <c r="E80" t="s">
        <v>12</v>
      </c>
      <c r="F80" s="1">
        <v>46888</v>
      </c>
      <c r="G80">
        <v>5.75</v>
      </c>
      <c r="H80" t="s">
        <v>9</v>
      </c>
      <c r="L80" t="s">
        <v>1168</v>
      </c>
      <c r="M80" t="s">
        <v>35</v>
      </c>
      <c r="N80" t="s">
        <v>15</v>
      </c>
      <c r="O80" t="s">
        <v>3110</v>
      </c>
      <c r="P80" t="s">
        <v>2632</v>
      </c>
      <c r="Q80" t="s">
        <v>3124</v>
      </c>
      <c r="R80" t="s">
        <v>205</v>
      </c>
      <c r="S80">
        <v>-9997</v>
      </c>
      <c r="U80" t="s">
        <v>1169</v>
      </c>
      <c r="W80" t="s">
        <v>82</v>
      </c>
      <c r="X80" t="str">
        <f t="shared" si="1"/>
        <v>BP335149@TRAC Corp</v>
      </c>
      <c r="Y80" t="str">
        <f>_xlfn.IFNA(_xll.BDP(X80,"INTERVAL_SUM", "MARKET_DATA_OVERRIDE=px_volume", "CALC_INTERVAL=5D"), "")</f>
        <v>#N/A N/A</v>
      </c>
      <c r="Z80" t="str" cm="1">
        <f t="array" ref="Z80">_xll.BDP(B80, "CF_ACT_CASH_PAID_FOR_INT_DEBT")</f>
        <v>#N/A N/A</v>
      </c>
      <c r="AA80" t="str" cm="1">
        <f t="array" ref="AA80">_xll.BDP(B80, "TYPE_OF_BOND")</f>
        <v>#N/A Field Not Applicable</v>
      </c>
    </row>
    <row r="81" spans="1:27" x14ac:dyDescent="0.25">
      <c r="A81">
        <v>79</v>
      </c>
      <c r="B81" t="s">
        <v>206</v>
      </c>
      <c r="C81" s="4" t="s">
        <v>81</v>
      </c>
      <c r="D81" s="4">
        <v>20000</v>
      </c>
      <c r="E81" t="s">
        <v>12</v>
      </c>
      <c r="F81" s="1">
        <v>46874</v>
      </c>
      <c r="G81">
        <v>4.625</v>
      </c>
      <c r="H81" t="s">
        <v>9</v>
      </c>
      <c r="L81" t="s">
        <v>1168</v>
      </c>
      <c r="M81" t="s">
        <v>10</v>
      </c>
      <c r="N81" t="s">
        <v>15</v>
      </c>
      <c r="O81" t="s">
        <v>3110</v>
      </c>
      <c r="P81" t="s">
        <v>2637</v>
      </c>
      <c r="Q81" t="s">
        <v>3111</v>
      </c>
      <c r="R81" t="s">
        <v>207</v>
      </c>
      <c r="S81">
        <v>-9997</v>
      </c>
      <c r="U81" t="s">
        <v>1169</v>
      </c>
      <c r="W81" t="s">
        <v>82</v>
      </c>
      <c r="X81" t="str">
        <f t="shared" si="1"/>
        <v>BP232673@TRAC Corp</v>
      </c>
      <c r="Y81" t="str">
        <f>_xlfn.IFNA(_xll.BDP(X81,"INTERVAL_SUM", "MARKET_DATA_OVERRIDE=px_volume", "CALC_INTERVAL=5D"), "")</f>
        <v>#N/A N/A</v>
      </c>
      <c r="Z81" t="str" cm="1">
        <f t="array" ref="Z81">_xll.BDP(B81, "CF_ACT_CASH_PAID_FOR_INT_DEBT")</f>
        <v>#N/A N/A</v>
      </c>
      <c r="AA81" t="str" cm="1">
        <f t="array" ref="AA81">_xll.BDP(B81, "TYPE_OF_BOND")</f>
        <v>#N/A Field Not Applicable</v>
      </c>
    </row>
    <row r="82" spans="1:27" x14ac:dyDescent="0.25">
      <c r="A82">
        <v>80</v>
      </c>
      <c r="B82" t="s">
        <v>208</v>
      </c>
      <c r="C82" s="4" t="s">
        <v>81</v>
      </c>
      <c r="D82" s="4">
        <v>2050000000</v>
      </c>
      <c r="E82" t="s">
        <v>11</v>
      </c>
      <c r="F82" s="1">
        <v>48487</v>
      </c>
      <c r="G82">
        <v>6.3129999999999997</v>
      </c>
      <c r="H82" t="s">
        <v>13</v>
      </c>
      <c r="I82" t="s">
        <v>2636</v>
      </c>
      <c r="J82">
        <v>400</v>
      </c>
      <c r="L82" t="s">
        <v>1171</v>
      </c>
      <c r="M82" t="s">
        <v>35</v>
      </c>
      <c r="N82" t="s">
        <v>15</v>
      </c>
      <c r="O82" t="s">
        <v>3110</v>
      </c>
      <c r="P82" t="s">
        <v>2639</v>
      </c>
      <c r="Q82" t="s">
        <v>3125</v>
      </c>
      <c r="R82" t="s">
        <v>209</v>
      </c>
      <c r="S82">
        <v>3000000</v>
      </c>
      <c r="T82">
        <v>11</v>
      </c>
      <c r="V82" t="s">
        <v>227</v>
      </c>
      <c r="W82" t="s">
        <v>82</v>
      </c>
      <c r="X82" t="str">
        <f t="shared" si="1"/>
        <v>BL524046@TRAC Corp</v>
      </c>
      <c r="Y82" t="str">
        <f>_xlfn.IFNA(_xll.BDP(X82,"INTERVAL_SUM", "MARKET_DATA_OVERRIDE=px_volume", "CALC_INTERVAL=5D"), "")</f>
        <v>#N/A N/A</v>
      </c>
      <c r="Z82" t="str" cm="1">
        <f t="array" ref="Z82">_xll.BDP(B82, "CF_ACT_CASH_PAID_FOR_INT_DEBT")</f>
        <v>#N/A N/A</v>
      </c>
      <c r="AA82" t="str" cm="1">
        <f t="array" ref="AA82">_xll.BDP(B82, "TYPE_OF_BOND")</f>
        <v>#N/A Field Not Applicable</v>
      </c>
    </row>
    <row r="83" spans="1:27" x14ac:dyDescent="0.25">
      <c r="A83">
        <v>81</v>
      </c>
      <c r="B83" t="s">
        <v>85</v>
      </c>
      <c r="C83" s="4" t="s">
        <v>81</v>
      </c>
      <c r="D83" s="4">
        <v>2250000000</v>
      </c>
      <c r="E83" t="s">
        <v>11</v>
      </c>
      <c r="F83" s="1">
        <v>48487</v>
      </c>
      <c r="G83">
        <v>7.4173999999999998</v>
      </c>
      <c r="H83" t="s">
        <v>13</v>
      </c>
      <c r="I83" t="s">
        <v>2631</v>
      </c>
      <c r="J83">
        <v>375</v>
      </c>
      <c r="L83" t="s">
        <v>1168</v>
      </c>
      <c r="M83" t="s">
        <v>10</v>
      </c>
      <c r="N83" t="s">
        <v>15</v>
      </c>
      <c r="O83" t="s">
        <v>3110</v>
      </c>
      <c r="P83" t="s">
        <v>2639</v>
      </c>
      <c r="Q83" t="s">
        <v>3125</v>
      </c>
      <c r="R83" t="s">
        <v>86</v>
      </c>
      <c r="S83">
        <v>3000000</v>
      </c>
      <c r="T83">
        <v>3</v>
      </c>
      <c r="V83" t="s">
        <v>227</v>
      </c>
      <c r="W83" t="s">
        <v>82</v>
      </c>
      <c r="X83" t="str">
        <f t="shared" si="1"/>
        <v>BL524045@TRAC Corp</v>
      </c>
      <c r="Y83" t="str">
        <f>_xlfn.IFNA(_xll.BDP(X83,"INTERVAL_SUM", "MARKET_DATA_OVERRIDE=px_volume", "CALC_INTERVAL=5D"), "")</f>
        <v>#N/A N/A</v>
      </c>
      <c r="Z83" t="str" cm="1">
        <f t="array" ref="Z83">_xll.BDP(B83, "CF_ACT_CASH_PAID_FOR_INT_DEBT")</f>
        <v>#N/A N/A</v>
      </c>
      <c r="AA83" t="str" cm="1">
        <f t="array" ref="AA83">_xll.BDP(B83, "TYPE_OF_BOND")</f>
        <v>#N/A Field Not Applicable</v>
      </c>
    </row>
    <row r="84" spans="1:27" x14ac:dyDescent="0.25">
      <c r="A84">
        <v>82</v>
      </c>
      <c r="B84" t="s">
        <v>131</v>
      </c>
      <c r="C84" s="4" t="s">
        <v>98</v>
      </c>
      <c r="D84" s="4">
        <v>9425000</v>
      </c>
      <c r="E84" t="s">
        <v>17</v>
      </c>
      <c r="F84" s="1">
        <v>47253</v>
      </c>
      <c r="G84">
        <v>5.25</v>
      </c>
      <c r="H84" t="s">
        <v>9</v>
      </c>
      <c r="L84" t="s">
        <v>1168</v>
      </c>
      <c r="M84" t="s">
        <v>10</v>
      </c>
      <c r="N84" t="s">
        <v>15</v>
      </c>
      <c r="O84" t="s">
        <v>3110</v>
      </c>
      <c r="P84" t="s">
        <v>2637</v>
      </c>
      <c r="Q84" t="s">
        <v>3123</v>
      </c>
      <c r="R84" t="s">
        <v>132</v>
      </c>
      <c r="S84">
        <v>-9997</v>
      </c>
      <c r="U84" t="s">
        <v>1169</v>
      </c>
      <c r="W84" t="s">
        <v>100</v>
      </c>
      <c r="X84" t="str">
        <f t="shared" si="1"/>
        <v>ZS445812@TRAC Corp</v>
      </c>
      <c r="Y84" t="str">
        <f>_xlfn.IFNA(_xll.BDP(X84,"INTERVAL_SUM", "MARKET_DATA_OVERRIDE=px_volume", "CALC_INTERVAL=5D"), "")</f>
        <v>#N/A N/A</v>
      </c>
      <c r="Z84" cm="1">
        <f t="array" ref="Z84">_xll.BDP(B84, "CF_ACT_CASH_PAID_FOR_INT_DEBT")</f>
        <v>119.8</v>
      </c>
      <c r="AA84" t="str" cm="1">
        <f t="array" ref="AA84">_xll.BDP(B84, "TYPE_OF_BOND")</f>
        <v>#N/A Field Not Applicable</v>
      </c>
    </row>
    <row r="85" spans="1:27" x14ac:dyDescent="0.25">
      <c r="A85">
        <v>83</v>
      </c>
      <c r="B85" t="s">
        <v>97</v>
      </c>
      <c r="C85" s="4" t="s">
        <v>98</v>
      </c>
      <c r="D85" s="4">
        <v>755000000</v>
      </c>
      <c r="E85" t="s">
        <v>11</v>
      </c>
      <c r="F85" s="1">
        <v>47284</v>
      </c>
      <c r="G85">
        <v>8</v>
      </c>
      <c r="H85" t="s">
        <v>9</v>
      </c>
      <c r="L85" t="s">
        <v>1168</v>
      </c>
      <c r="M85" t="s">
        <v>10</v>
      </c>
      <c r="N85" t="s">
        <v>15</v>
      </c>
      <c r="O85" t="s">
        <v>3110</v>
      </c>
      <c r="P85" t="s">
        <v>2637</v>
      </c>
      <c r="Q85" t="s">
        <v>3123</v>
      </c>
      <c r="R85" t="s">
        <v>99</v>
      </c>
      <c r="S85">
        <v>2596425.1305952999</v>
      </c>
      <c r="T85">
        <v>8</v>
      </c>
      <c r="U85" t="s">
        <v>1169</v>
      </c>
      <c r="W85" t="s">
        <v>100</v>
      </c>
      <c r="X85" t="str">
        <f t="shared" si="1"/>
        <v>ZI138837@TRAC Corp</v>
      </c>
      <c r="Y85">
        <f>_xlfn.IFNA(_xll.BDP(X85,"INTERVAL_SUM", "MARKET_DATA_OVERRIDE=px_volume", "CALC_INTERVAL=5D"), "")</f>
        <v>1280</v>
      </c>
      <c r="Z85" t="str" cm="1">
        <f t="array" ref="Z85">_xll.BDP(B85, "CF_ACT_CASH_PAID_FOR_INT_DEBT")</f>
        <v>#N/A N/A</v>
      </c>
      <c r="AA85" t="str" cm="1">
        <f t="array" ref="AA85">_xll.BDP(B85, "TYPE_OF_BOND")</f>
        <v>#N/A Field Not Applicable</v>
      </c>
    </row>
    <row r="86" spans="1:27" x14ac:dyDescent="0.25">
      <c r="A86">
        <v>84</v>
      </c>
      <c r="B86" t="s">
        <v>101</v>
      </c>
      <c r="C86" s="4" t="s">
        <v>98</v>
      </c>
      <c r="D86" s="4">
        <v>750000000</v>
      </c>
      <c r="E86" t="s">
        <v>11</v>
      </c>
      <c r="F86" s="1">
        <v>47284</v>
      </c>
      <c r="G86">
        <v>7.25</v>
      </c>
      <c r="H86" t="s">
        <v>9</v>
      </c>
      <c r="L86" t="s">
        <v>1168</v>
      </c>
      <c r="M86" t="s">
        <v>10</v>
      </c>
      <c r="N86" t="s">
        <v>15</v>
      </c>
      <c r="O86" t="s">
        <v>3110</v>
      </c>
      <c r="P86" t="s">
        <v>2637</v>
      </c>
      <c r="Q86" t="s">
        <v>3123</v>
      </c>
      <c r="R86" t="s">
        <v>102</v>
      </c>
      <c r="S86">
        <v>3914062.0466559902</v>
      </c>
      <c r="T86">
        <v>8</v>
      </c>
      <c r="U86" t="s">
        <v>1169</v>
      </c>
      <c r="W86" t="s">
        <v>100</v>
      </c>
      <c r="X86" t="str">
        <f t="shared" si="1"/>
        <v>BX062705@TRAC Corp</v>
      </c>
      <c r="Y86">
        <f>_xlfn.IFNA(_xll.BDP(X86,"INTERVAL_SUM", "MARKET_DATA_OVERRIDE=px_volume", "CALC_INTERVAL=5D"), "")</f>
        <v>2321</v>
      </c>
      <c r="Z86" t="str" cm="1">
        <f t="array" ref="Z86">_xll.BDP(B86, "CF_ACT_CASH_PAID_FOR_INT_DEBT")</f>
        <v>#N/A N/A</v>
      </c>
      <c r="AA86" t="str" cm="1">
        <f t="array" ref="AA86">_xll.BDP(B86, "TYPE_OF_BOND")</f>
        <v>#N/A Field Not Applicable</v>
      </c>
    </row>
    <row r="87" spans="1:27" x14ac:dyDescent="0.25">
      <c r="A87">
        <v>85</v>
      </c>
      <c r="B87" t="s">
        <v>133</v>
      </c>
      <c r="C87" s="4" t="s">
        <v>98</v>
      </c>
      <c r="D87" s="4">
        <v>33548000</v>
      </c>
      <c r="E87" t="s">
        <v>17</v>
      </c>
      <c r="F87" s="1">
        <v>46539</v>
      </c>
      <c r="G87">
        <v>4.875</v>
      </c>
      <c r="H87" t="s">
        <v>9</v>
      </c>
      <c r="L87" t="s">
        <v>1168</v>
      </c>
      <c r="M87" t="s">
        <v>10</v>
      </c>
      <c r="N87" t="s">
        <v>15</v>
      </c>
      <c r="O87" t="s">
        <v>3110</v>
      </c>
      <c r="P87" t="s">
        <v>2637</v>
      </c>
      <c r="Q87" t="s">
        <v>3123</v>
      </c>
      <c r="R87" t="s">
        <v>134</v>
      </c>
      <c r="S87">
        <v>1052309.6634809</v>
      </c>
      <c r="T87">
        <v>8</v>
      </c>
      <c r="W87" t="s">
        <v>100</v>
      </c>
      <c r="X87" t="str">
        <f t="shared" si="1"/>
        <v>AR826949@TRAC Corp</v>
      </c>
      <c r="Y87">
        <f>_xlfn.IFNA(_xll.BDP(X87,"INTERVAL_SUM", "MARKET_DATA_OVERRIDE=px_volume", "CALC_INTERVAL=5D"), "")</f>
        <v>143</v>
      </c>
      <c r="Z87" cm="1">
        <f t="array" ref="Z87">_xll.BDP(B87, "CF_ACT_CASH_PAID_FOR_INT_DEBT")</f>
        <v>119.8</v>
      </c>
      <c r="AA87" t="str" cm="1">
        <f t="array" ref="AA87">_xll.BDP(B87, "TYPE_OF_BOND")</f>
        <v>#N/A Field Not Applicable</v>
      </c>
    </row>
    <row r="88" spans="1:27" x14ac:dyDescent="0.25">
      <c r="A88">
        <v>86</v>
      </c>
      <c r="B88" t="s">
        <v>103</v>
      </c>
      <c r="C88" s="4" t="s">
        <v>98</v>
      </c>
      <c r="D88" s="4">
        <v>3983722500</v>
      </c>
      <c r="E88" t="s">
        <v>11</v>
      </c>
      <c r="F88" s="1">
        <v>47305</v>
      </c>
      <c r="G88">
        <v>7.0429000000000004</v>
      </c>
      <c r="H88" t="s">
        <v>13</v>
      </c>
      <c r="I88" t="s">
        <v>2635</v>
      </c>
      <c r="J88">
        <v>325</v>
      </c>
      <c r="L88" t="s">
        <v>1168</v>
      </c>
      <c r="M88" t="s">
        <v>10</v>
      </c>
      <c r="N88" t="s">
        <v>15</v>
      </c>
      <c r="O88" t="s">
        <v>3110</v>
      </c>
      <c r="P88" t="s">
        <v>2637</v>
      </c>
      <c r="Q88" t="s">
        <v>3123</v>
      </c>
      <c r="R88" t="s">
        <v>104</v>
      </c>
      <c r="S88">
        <v>3000000</v>
      </c>
      <c r="T88">
        <v>9</v>
      </c>
      <c r="V88" t="s">
        <v>227</v>
      </c>
      <c r="W88" t="s">
        <v>100</v>
      </c>
      <c r="X88" t="str">
        <f t="shared" si="1"/>
        <v>BL465138@TRAC Corp</v>
      </c>
      <c r="Y88" t="str">
        <f>_xlfn.IFNA(_xll.BDP(X88,"INTERVAL_SUM", "MARKET_DATA_OVERRIDE=px_volume", "CALC_INTERVAL=5D"), "")</f>
        <v>#N/A N/A</v>
      </c>
      <c r="Z88" t="str" cm="1">
        <f t="array" ref="Z88">_xll.BDP(B88, "CF_ACT_CASH_PAID_FOR_INT_DEBT")</f>
        <v>#N/A N/A</v>
      </c>
      <c r="AA88" t="str" cm="1">
        <f t="array" ref="AA88">_xll.BDP(B88, "TYPE_OF_BOND")</f>
        <v>#N/A Field Not Applicable</v>
      </c>
    </row>
    <row r="89" spans="1:27" x14ac:dyDescent="0.25">
      <c r="A89">
        <v>87</v>
      </c>
      <c r="B89" t="s">
        <v>162</v>
      </c>
      <c r="C89" s="4" t="s">
        <v>106</v>
      </c>
      <c r="D89" s="4">
        <v>57745000</v>
      </c>
      <c r="E89" s="1" t="s">
        <v>17</v>
      </c>
      <c r="F89" s="1">
        <v>47011</v>
      </c>
      <c r="G89">
        <v>6.5</v>
      </c>
      <c r="H89" t="s">
        <v>9</v>
      </c>
      <c r="L89" t="s">
        <v>1168</v>
      </c>
      <c r="M89" t="s">
        <v>10</v>
      </c>
      <c r="N89" t="s">
        <v>16</v>
      </c>
      <c r="O89" t="s">
        <v>3106</v>
      </c>
      <c r="P89" t="s">
        <v>2629</v>
      </c>
      <c r="Q89" t="s">
        <v>3107</v>
      </c>
      <c r="R89" t="s">
        <v>163</v>
      </c>
      <c r="S89">
        <v>18117904.007453699</v>
      </c>
      <c r="T89">
        <v>10</v>
      </c>
      <c r="U89" t="s">
        <v>1169</v>
      </c>
      <c r="W89" t="s">
        <v>108</v>
      </c>
      <c r="X89" t="str">
        <f t="shared" si="1"/>
        <v>ZO393318@TRAC Corp</v>
      </c>
      <c r="Y89" t="str">
        <f>_xlfn.IFNA(_xll.BDP(X89,"INTERVAL_SUM", "MARKET_DATA_OVERRIDE=px_volume", "CALC_INTERVAL=5D"), "")</f>
        <v>#N/A N/A</v>
      </c>
      <c r="Z89" t="str" cm="1">
        <f t="array" ref="Z89">_xll.BDP(B89, "CF_ACT_CASH_PAID_FOR_INT_DEBT")</f>
        <v>#N/A N/A</v>
      </c>
      <c r="AA89" t="str" cm="1">
        <f t="array" ref="AA89">_xll.BDP(B89, "TYPE_OF_BOND")</f>
        <v>#N/A Field Not Applicable</v>
      </c>
    </row>
    <row r="90" spans="1:27" x14ac:dyDescent="0.25">
      <c r="A90">
        <v>88</v>
      </c>
      <c r="B90" t="s">
        <v>164</v>
      </c>
      <c r="C90" s="4" t="s">
        <v>106</v>
      </c>
      <c r="D90" s="4">
        <v>27338000</v>
      </c>
      <c r="E90" t="s">
        <v>12</v>
      </c>
      <c r="F90" s="1">
        <v>46280</v>
      </c>
      <c r="G90">
        <v>4.5</v>
      </c>
      <c r="H90" t="s">
        <v>9</v>
      </c>
      <c r="L90" t="s">
        <v>1168</v>
      </c>
      <c r="M90" t="s">
        <v>10</v>
      </c>
      <c r="N90" t="s">
        <v>16</v>
      </c>
      <c r="O90" t="s">
        <v>3106</v>
      </c>
      <c r="P90" t="s">
        <v>2629</v>
      </c>
      <c r="Q90" t="s">
        <v>3107</v>
      </c>
      <c r="R90" t="s">
        <v>165</v>
      </c>
      <c r="S90">
        <v>3519799.3628772702</v>
      </c>
      <c r="T90">
        <v>16</v>
      </c>
      <c r="U90" t="s">
        <v>1169</v>
      </c>
      <c r="W90" t="s">
        <v>108</v>
      </c>
      <c r="X90" t="str">
        <f t="shared" si="1"/>
        <v>ZO393316@TRAC Corp</v>
      </c>
      <c r="Y90" t="str">
        <f>_xlfn.IFNA(_xll.BDP(X90,"INTERVAL_SUM", "MARKET_DATA_OVERRIDE=px_volume", "CALC_INTERVAL=5D"), "")</f>
        <v>#N/A N/A</v>
      </c>
      <c r="Z90" t="str" cm="1">
        <f t="array" ref="Z90">_xll.BDP(B90, "CF_ACT_CASH_PAID_FOR_INT_DEBT")</f>
        <v>#N/A N/A</v>
      </c>
      <c r="AA90" t="str" cm="1">
        <f t="array" ref="AA90">_xll.BDP(B90, "TYPE_OF_BOND")</f>
        <v>#N/A Field Not Applicable</v>
      </c>
    </row>
    <row r="91" spans="1:27" x14ac:dyDescent="0.25">
      <c r="A91">
        <v>89</v>
      </c>
      <c r="B91" t="s">
        <v>105</v>
      </c>
      <c r="C91" s="4" t="s">
        <v>106</v>
      </c>
      <c r="D91" s="4">
        <v>806855869.35500002</v>
      </c>
      <c r="E91" t="s">
        <v>11</v>
      </c>
      <c r="F91" s="1">
        <v>47567</v>
      </c>
      <c r="G91">
        <v>9.25</v>
      </c>
      <c r="H91" t="s">
        <v>64</v>
      </c>
      <c r="L91" t="s">
        <v>1168</v>
      </c>
      <c r="M91" t="s">
        <v>10</v>
      </c>
      <c r="N91" t="s">
        <v>16</v>
      </c>
      <c r="O91" t="s">
        <v>3106</v>
      </c>
      <c r="P91" t="s">
        <v>2629</v>
      </c>
      <c r="Q91" t="s">
        <v>3107</v>
      </c>
      <c r="R91" t="s">
        <v>107</v>
      </c>
      <c r="S91">
        <v>30180107.884794101</v>
      </c>
      <c r="T91">
        <v>63</v>
      </c>
      <c r="U91" t="s">
        <v>1169</v>
      </c>
      <c r="W91" t="s">
        <v>108</v>
      </c>
      <c r="X91" t="str">
        <f t="shared" si="1"/>
        <v>YN748876@TRAC Corp</v>
      </c>
      <c r="Y91">
        <f>_xlfn.IFNA(_xll.BDP(X91,"INTERVAL_SUM", "MARKET_DATA_OVERRIDE=px_volume", "CALC_INTERVAL=5D"), "")</f>
        <v>753</v>
      </c>
      <c r="Z91" t="str" cm="1">
        <f t="array" ref="Z91">_xll.BDP(B91, "CF_ACT_CASH_PAID_FOR_INT_DEBT")</f>
        <v>#N/A N/A</v>
      </c>
      <c r="AA91" t="str" cm="1">
        <f t="array" ref="AA91">_xll.BDP(B91, "TYPE_OF_BOND")</f>
        <v>PIK</v>
      </c>
    </row>
    <row r="92" spans="1:27" x14ac:dyDescent="0.25">
      <c r="A92">
        <v>90</v>
      </c>
      <c r="B92" t="s">
        <v>166</v>
      </c>
      <c r="C92" s="4" t="s">
        <v>106</v>
      </c>
      <c r="D92" s="4">
        <v>27563818</v>
      </c>
      <c r="E92" t="s">
        <v>11</v>
      </c>
      <c r="F92" s="1">
        <v>47386</v>
      </c>
      <c r="G92">
        <v>6.25</v>
      </c>
      <c r="H92" t="s">
        <v>64</v>
      </c>
      <c r="L92" t="s">
        <v>1168</v>
      </c>
      <c r="M92" t="s">
        <v>10</v>
      </c>
      <c r="N92" t="s">
        <v>16</v>
      </c>
      <c r="O92" t="s">
        <v>3106</v>
      </c>
      <c r="P92" t="s">
        <v>2629</v>
      </c>
      <c r="Q92" t="s">
        <v>3107</v>
      </c>
      <c r="R92" t="s">
        <v>167</v>
      </c>
      <c r="S92">
        <v>-9997</v>
      </c>
      <c r="U92" t="s">
        <v>1169</v>
      </c>
      <c r="W92" t="s">
        <v>108</v>
      </c>
      <c r="X92" t="str">
        <f t="shared" si="1"/>
        <v>YN747456@TRAC Corp</v>
      </c>
      <c r="Y92" t="str">
        <f>_xlfn.IFNA(_xll.BDP(X92,"INTERVAL_SUM", "MARKET_DATA_OVERRIDE=px_volume", "CALC_INTERVAL=5D"), "")</f>
        <v>#N/A N/A</v>
      </c>
      <c r="Z92" t="str" cm="1">
        <f t="array" ref="Z92">_xll.BDP(B92, "CF_ACT_CASH_PAID_FOR_INT_DEBT")</f>
        <v>#N/A N/A</v>
      </c>
      <c r="AA92" t="str" cm="1">
        <f t="array" ref="AA92">_xll.BDP(B92, "TYPE_OF_BOND")</f>
        <v>PIK</v>
      </c>
    </row>
    <row r="93" spans="1:27" x14ac:dyDescent="0.25">
      <c r="A93">
        <v>91</v>
      </c>
      <c r="B93" t="s">
        <v>168</v>
      </c>
      <c r="C93" s="4" t="s">
        <v>106</v>
      </c>
      <c r="D93" s="4">
        <v>75000000</v>
      </c>
      <c r="E93" t="s">
        <v>80</v>
      </c>
      <c r="F93" s="1">
        <v>47295</v>
      </c>
      <c r="G93">
        <v>7.6520000000000001</v>
      </c>
      <c r="H93" t="s">
        <v>13</v>
      </c>
      <c r="I93" t="s">
        <v>2631</v>
      </c>
      <c r="J93">
        <v>400</v>
      </c>
      <c r="L93" t="s">
        <v>1168</v>
      </c>
      <c r="M93" t="s">
        <v>10</v>
      </c>
      <c r="N93" t="s">
        <v>16</v>
      </c>
      <c r="O93" t="s">
        <v>3106</v>
      </c>
      <c r="P93" t="s">
        <v>2629</v>
      </c>
      <c r="Q93" t="s">
        <v>3107</v>
      </c>
      <c r="R93" t="s">
        <v>169</v>
      </c>
      <c r="S93">
        <v>5000000</v>
      </c>
      <c r="T93">
        <v>8</v>
      </c>
      <c r="V93" t="s">
        <v>227</v>
      </c>
      <c r="W93" t="s">
        <v>108</v>
      </c>
      <c r="X93" t="str">
        <f t="shared" si="1"/>
        <v>BL526220@TRAC Corp</v>
      </c>
      <c r="Y93" t="str">
        <f>_xlfn.IFNA(_xll.BDP(X93,"INTERVAL_SUM", "MARKET_DATA_OVERRIDE=px_volume", "CALC_INTERVAL=5D"), "")</f>
        <v>#N/A N/A</v>
      </c>
      <c r="Z93" t="str" cm="1">
        <f t="array" ref="Z93">_xll.BDP(B93, "CF_ACT_CASH_PAID_FOR_INT_DEBT")</f>
        <v>#N/A N/A</v>
      </c>
      <c r="AA93" t="str" cm="1">
        <f t="array" ref="AA93">_xll.BDP(B93, "TYPE_OF_BOND")</f>
        <v>#N/A Field Not Applicable</v>
      </c>
    </row>
    <row r="94" spans="1:27" x14ac:dyDescent="0.25">
      <c r="A94">
        <v>92</v>
      </c>
      <c r="B94" t="s">
        <v>170</v>
      </c>
      <c r="C94" s="4" t="s">
        <v>106</v>
      </c>
      <c r="D94" s="4">
        <v>4465461550.7999897</v>
      </c>
      <c r="E94" t="s">
        <v>11</v>
      </c>
      <c r="F94" s="1">
        <v>47386</v>
      </c>
      <c r="G94">
        <v>7.2584</v>
      </c>
      <c r="H94" t="s">
        <v>13</v>
      </c>
      <c r="I94" t="s">
        <v>2631</v>
      </c>
      <c r="J94">
        <v>350</v>
      </c>
      <c r="L94" t="s">
        <v>1168</v>
      </c>
      <c r="M94" t="s">
        <v>10</v>
      </c>
      <c r="N94" t="s">
        <v>16</v>
      </c>
      <c r="O94" t="s">
        <v>3106</v>
      </c>
      <c r="P94" t="s">
        <v>2629</v>
      </c>
      <c r="Q94" t="s">
        <v>3107</v>
      </c>
      <c r="R94" t="s">
        <v>171</v>
      </c>
      <c r="S94">
        <v>10000000</v>
      </c>
      <c r="T94">
        <v>21</v>
      </c>
      <c r="V94" t="s">
        <v>256</v>
      </c>
      <c r="W94" t="s">
        <v>108</v>
      </c>
      <c r="X94" t="str">
        <f t="shared" si="1"/>
        <v>BL515912@TRAC Corp</v>
      </c>
      <c r="Y94" t="str">
        <f>_xlfn.IFNA(_xll.BDP(X94,"INTERVAL_SUM", "MARKET_DATA_OVERRIDE=px_volume", "CALC_INTERVAL=5D"), "")</f>
        <v>#N/A N/A</v>
      </c>
      <c r="Z94" t="str" cm="1">
        <f t="array" ref="Z94">_xll.BDP(B94, "CF_ACT_CASH_PAID_FOR_INT_DEBT")</f>
        <v>#N/A N/A</v>
      </c>
      <c r="AA94" t="str" cm="1">
        <f t="array" ref="AA94">_xll.BDP(B94, "TYPE_OF_BOND")</f>
        <v>#N/A Field Not Applicable</v>
      </c>
    </row>
    <row r="95" spans="1:27" x14ac:dyDescent="0.25">
      <c r="A95">
        <v>93</v>
      </c>
      <c r="B95" t="s">
        <v>172</v>
      </c>
      <c r="C95" s="4" t="s">
        <v>106</v>
      </c>
      <c r="D95" s="4">
        <v>12704951.27</v>
      </c>
      <c r="E95" t="s">
        <v>11</v>
      </c>
      <c r="F95" s="1">
        <v>46290</v>
      </c>
      <c r="G95">
        <v>7.0111999999999997</v>
      </c>
      <c r="H95" t="s">
        <v>13</v>
      </c>
      <c r="I95" t="s">
        <v>2631</v>
      </c>
      <c r="J95">
        <v>325</v>
      </c>
      <c r="L95" t="s">
        <v>1168</v>
      </c>
      <c r="M95" t="s">
        <v>10</v>
      </c>
      <c r="N95" t="s">
        <v>16</v>
      </c>
      <c r="O95" t="s">
        <v>3106</v>
      </c>
      <c r="P95" t="s">
        <v>2629</v>
      </c>
      <c r="Q95" t="s">
        <v>3107</v>
      </c>
      <c r="R95" t="s">
        <v>173</v>
      </c>
      <c r="S95">
        <v>4588160.7117272504</v>
      </c>
      <c r="T95">
        <v>22</v>
      </c>
      <c r="V95" t="s">
        <v>227</v>
      </c>
      <c r="W95" t="s">
        <v>108</v>
      </c>
      <c r="X95" t="str">
        <f t="shared" si="1"/>
        <v>BL375974@TRAC Corp</v>
      </c>
      <c r="Y95" t="str">
        <f>_xlfn.IFNA(_xll.BDP(X95,"INTERVAL_SUM", "MARKET_DATA_OVERRIDE=px_volume", "CALC_INTERVAL=5D"), "")</f>
        <v>#N/A N/A</v>
      </c>
      <c r="Z95" t="str" cm="1">
        <f t="array" ref="Z95">_xll.BDP(B95, "CF_ACT_CASH_PAID_FOR_INT_DEBT")</f>
        <v>#N/A N/A</v>
      </c>
      <c r="AA95" t="str" cm="1">
        <f t="array" ref="AA95">_xll.BDP(B95, "TYPE_OF_BOND")</f>
        <v>#N/A Field Not Applicable</v>
      </c>
    </row>
    <row r="96" spans="1:27" x14ac:dyDescent="0.25">
      <c r="A96">
        <v>94</v>
      </c>
      <c r="B96" t="s">
        <v>3619</v>
      </c>
      <c r="C96" s="4" t="s">
        <v>3620</v>
      </c>
      <c r="D96" s="4">
        <v>1475000000</v>
      </c>
      <c r="E96" s="1" t="s">
        <v>11</v>
      </c>
      <c r="F96" s="1">
        <v>48059</v>
      </c>
      <c r="G96">
        <v>5.7290000000000001</v>
      </c>
      <c r="H96" t="s">
        <v>13</v>
      </c>
      <c r="I96" t="s">
        <v>2636</v>
      </c>
      <c r="J96">
        <v>350</v>
      </c>
      <c r="L96" t="s">
        <v>1171</v>
      </c>
      <c r="M96" t="s">
        <v>10</v>
      </c>
      <c r="N96" t="s">
        <v>15</v>
      </c>
      <c r="O96" t="s">
        <v>3110</v>
      </c>
      <c r="P96" t="s">
        <v>2637</v>
      </c>
      <c r="Q96" t="s">
        <v>3111</v>
      </c>
      <c r="R96" t="s">
        <v>3621</v>
      </c>
      <c r="S96">
        <v>3000000</v>
      </c>
      <c r="T96">
        <v>12</v>
      </c>
      <c r="V96" t="s">
        <v>227</v>
      </c>
      <c r="W96" t="s">
        <v>3622</v>
      </c>
      <c r="X96" t="str">
        <f t="shared" si="1"/>
        <v>BL498530@TRAC Corp</v>
      </c>
      <c r="Y96" t="str">
        <f>_xlfn.IFNA(_xll.BDP(X96,"INTERVAL_SUM", "MARKET_DATA_OVERRIDE=px_volume", "CALC_INTERVAL=5D"), "")</f>
        <v>#N/A N/A</v>
      </c>
      <c r="Z96" t="str" cm="1">
        <f t="array" ref="Z96">_xll.BDP(B96, "CF_ACT_CASH_PAID_FOR_INT_DEBT")</f>
        <v>#N/A N/A</v>
      </c>
      <c r="AA96" t="str" cm="1">
        <f t="array" ref="AA96">_xll.BDP(B96, "TYPE_OF_BOND")</f>
        <v>#N/A Field Not Applicable</v>
      </c>
    </row>
    <row r="97" spans="1:27" x14ac:dyDescent="0.25">
      <c r="A97">
        <v>95</v>
      </c>
      <c r="B97" t="s">
        <v>3623</v>
      </c>
      <c r="C97" s="4" t="s">
        <v>3620</v>
      </c>
      <c r="D97" s="4">
        <v>4245350000</v>
      </c>
      <c r="E97" s="1" t="s">
        <v>11</v>
      </c>
      <c r="F97" s="1">
        <v>48059</v>
      </c>
      <c r="G97">
        <v>6.6657999999999999</v>
      </c>
      <c r="H97" t="s">
        <v>13</v>
      </c>
      <c r="I97" t="s">
        <v>2635</v>
      </c>
      <c r="J97">
        <v>300</v>
      </c>
      <c r="L97" t="s">
        <v>1168</v>
      </c>
      <c r="M97" t="s">
        <v>10</v>
      </c>
      <c r="N97" t="s">
        <v>15</v>
      </c>
      <c r="O97" t="s">
        <v>3110</v>
      </c>
      <c r="P97" t="s">
        <v>2637</v>
      </c>
      <c r="Q97" t="s">
        <v>3111</v>
      </c>
      <c r="R97" t="s">
        <v>3624</v>
      </c>
      <c r="S97">
        <v>3000000</v>
      </c>
      <c r="T97">
        <v>12</v>
      </c>
      <c r="V97" t="s">
        <v>227</v>
      </c>
      <c r="W97" t="s">
        <v>3622</v>
      </c>
      <c r="X97" t="str">
        <f t="shared" si="1"/>
        <v>BL498529@TRAC Corp</v>
      </c>
      <c r="Y97" t="str">
        <f>_xlfn.IFNA(_xll.BDP(X97,"INTERVAL_SUM", "MARKET_DATA_OVERRIDE=px_volume", "CALC_INTERVAL=5D"), "")</f>
        <v>#N/A N/A</v>
      </c>
      <c r="Z97" t="str" cm="1">
        <f t="array" ref="Z97">_xll.BDP(B97, "CF_ACT_CASH_PAID_FOR_INT_DEBT")</f>
        <v>#N/A N/A</v>
      </c>
      <c r="AA97" t="str" cm="1">
        <f t="array" ref="AA97">_xll.BDP(B97, "TYPE_OF_BOND")</f>
        <v>#N/A Field Not Applicable</v>
      </c>
    </row>
    <row r="98" spans="1:27" x14ac:dyDescent="0.25">
      <c r="A98">
        <v>96</v>
      </c>
      <c r="B98" t="s">
        <v>3625</v>
      </c>
      <c r="C98" s="4" t="s">
        <v>3620</v>
      </c>
      <c r="D98" s="4">
        <v>750000000</v>
      </c>
      <c r="E98" s="1" t="s">
        <v>33</v>
      </c>
      <c r="F98" s="1">
        <v>48425</v>
      </c>
      <c r="G98">
        <v>9.4158000000000008</v>
      </c>
      <c r="H98" t="s">
        <v>13</v>
      </c>
      <c r="I98" t="s">
        <v>2635</v>
      </c>
      <c r="J98">
        <v>575</v>
      </c>
      <c r="L98" t="s">
        <v>1168</v>
      </c>
      <c r="M98" t="s">
        <v>10</v>
      </c>
      <c r="N98" t="s">
        <v>15</v>
      </c>
      <c r="O98" t="s">
        <v>3110</v>
      </c>
      <c r="P98" t="s">
        <v>2637</v>
      </c>
      <c r="Q98" t="s">
        <v>3111</v>
      </c>
      <c r="R98" t="s">
        <v>3626</v>
      </c>
      <c r="S98">
        <v>5000000</v>
      </c>
      <c r="T98">
        <v>14</v>
      </c>
      <c r="V98" t="s">
        <v>227</v>
      </c>
      <c r="W98" t="s">
        <v>3622</v>
      </c>
      <c r="X98" t="str">
        <f t="shared" si="1"/>
        <v>BL469882@TRAC Corp</v>
      </c>
      <c r="Y98" t="str">
        <f>_xlfn.IFNA(_xll.BDP(X98,"INTERVAL_SUM", "MARKET_DATA_OVERRIDE=px_volume", "CALC_INTERVAL=5D"), "")</f>
        <v>#N/A N/A</v>
      </c>
      <c r="Z98" t="str" cm="1">
        <f t="array" ref="Z98">_xll.BDP(B98, "CF_ACT_CASH_PAID_FOR_INT_DEBT")</f>
        <v>#N/A N/A</v>
      </c>
      <c r="AA98" t="str" cm="1">
        <f t="array" ref="AA98">_xll.BDP(B98, "TYPE_OF_BOND")</f>
        <v>#N/A Field Not Applicable</v>
      </c>
    </row>
    <row r="99" spans="1:27" x14ac:dyDescent="0.25">
      <c r="A99">
        <v>97</v>
      </c>
      <c r="B99" t="s">
        <v>216</v>
      </c>
      <c r="C99" s="4" t="s">
        <v>87</v>
      </c>
      <c r="D99" s="4">
        <v>23473000</v>
      </c>
      <c r="E99" s="1" t="s">
        <v>17</v>
      </c>
      <c r="F99" s="1">
        <v>46492</v>
      </c>
      <c r="G99">
        <v>10.75</v>
      </c>
      <c r="H99" t="s">
        <v>9</v>
      </c>
      <c r="L99" t="s">
        <v>1168</v>
      </c>
      <c r="M99" t="s">
        <v>10</v>
      </c>
      <c r="N99" t="s">
        <v>36</v>
      </c>
      <c r="O99" t="s">
        <v>3118</v>
      </c>
      <c r="P99" t="s">
        <v>2640</v>
      </c>
      <c r="Q99" t="s">
        <v>3119</v>
      </c>
      <c r="R99" t="s">
        <v>217</v>
      </c>
      <c r="S99">
        <v>392638.666876506</v>
      </c>
      <c r="T99">
        <v>5</v>
      </c>
      <c r="U99" t="s">
        <v>1169</v>
      </c>
      <c r="W99" t="s">
        <v>88</v>
      </c>
      <c r="X99" t="str">
        <f t="shared" si="1"/>
        <v>ZS003151@TRAC Corp</v>
      </c>
      <c r="Y99" t="str">
        <f>_xlfn.IFNA(_xll.BDP(X99,"INTERVAL_SUM", "MARKET_DATA_OVERRIDE=px_volume", "CALC_INTERVAL=5D"), "")</f>
        <v>#N/A N/A</v>
      </c>
      <c r="Z99" cm="1">
        <f t="array" ref="Z99">_xll.BDP(B99, "CF_ACT_CASH_PAID_FOR_INT_DEBT")</f>
        <v>173</v>
      </c>
      <c r="AA99" t="str" cm="1">
        <f t="array" ref="AA99">_xll.BDP(B99, "TYPE_OF_BOND")</f>
        <v>#N/A Field Not Applicable</v>
      </c>
    </row>
    <row r="100" spans="1:27" x14ac:dyDescent="0.25">
      <c r="A100">
        <v>98</v>
      </c>
      <c r="B100" t="s">
        <v>89</v>
      </c>
      <c r="C100" s="4" t="s">
        <v>87</v>
      </c>
      <c r="D100" s="4">
        <v>826090773</v>
      </c>
      <c r="E100" s="1" t="s">
        <v>33</v>
      </c>
      <c r="F100" s="1">
        <v>47498</v>
      </c>
      <c r="G100">
        <v>12.75</v>
      </c>
      <c r="H100" t="s">
        <v>9</v>
      </c>
      <c r="L100" t="s">
        <v>1168</v>
      </c>
      <c r="M100" t="s">
        <v>10</v>
      </c>
      <c r="N100" t="s">
        <v>36</v>
      </c>
      <c r="O100" t="s">
        <v>3118</v>
      </c>
      <c r="P100" t="s">
        <v>2640</v>
      </c>
      <c r="Q100" t="s">
        <v>3119</v>
      </c>
      <c r="R100" t="s">
        <v>90</v>
      </c>
      <c r="S100">
        <v>12898928.524154801</v>
      </c>
      <c r="T100">
        <v>21</v>
      </c>
      <c r="U100" t="s">
        <v>1169</v>
      </c>
      <c r="W100" t="s">
        <v>88</v>
      </c>
      <c r="X100" t="str">
        <f t="shared" si="1"/>
        <v>YX484711@TRAC Corp</v>
      </c>
      <c r="Y100">
        <f>_xlfn.IFNA(_xll.BDP(X100,"INTERVAL_SUM", "MARKET_DATA_OVERRIDE=px_volume", "CALC_INTERVAL=5D"), "")</f>
        <v>2515</v>
      </c>
      <c r="Z100" cm="1">
        <f t="array" ref="Z100">_xll.BDP(B100, "CF_ACT_CASH_PAID_FOR_INT_DEBT")</f>
        <v>173</v>
      </c>
      <c r="AA100" t="str" cm="1">
        <f t="array" ref="AA100">_xll.BDP(B100, "TYPE_OF_BOND")</f>
        <v>#N/A Field Not Applicable</v>
      </c>
    </row>
    <row r="101" spans="1:27" x14ac:dyDescent="0.25">
      <c r="A101">
        <v>99</v>
      </c>
      <c r="B101" t="s">
        <v>218</v>
      </c>
      <c r="C101" s="4" t="s">
        <v>87</v>
      </c>
      <c r="D101" s="4">
        <v>2375000000</v>
      </c>
      <c r="E101" s="1" t="s">
        <v>11</v>
      </c>
      <c r="F101" s="1">
        <v>47362</v>
      </c>
      <c r="G101">
        <v>10.75</v>
      </c>
      <c r="H101" t="s">
        <v>9</v>
      </c>
      <c r="L101" t="s">
        <v>1168</v>
      </c>
      <c r="M101" t="s">
        <v>10</v>
      </c>
      <c r="N101" t="s">
        <v>36</v>
      </c>
      <c r="O101" t="s">
        <v>3118</v>
      </c>
      <c r="P101" t="s">
        <v>2640</v>
      </c>
      <c r="Q101" t="s">
        <v>3119</v>
      </c>
      <c r="R101" t="s">
        <v>219</v>
      </c>
      <c r="S101">
        <v>21801955.943389799</v>
      </c>
      <c r="T101">
        <v>51</v>
      </c>
      <c r="U101" t="s">
        <v>1169</v>
      </c>
      <c r="W101" t="s">
        <v>88</v>
      </c>
      <c r="X101" t="str">
        <f t="shared" si="1"/>
        <v>YX230220@TRAC Corp</v>
      </c>
      <c r="Y101">
        <f>_xlfn.IFNA(_xll.BDP(X101,"INTERVAL_SUM", "MARKET_DATA_OVERRIDE=px_volume", "CALC_INTERVAL=5D"), "")</f>
        <v>33381</v>
      </c>
      <c r="Z101" cm="1">
        <f t="array" ref="Z101">_xll.BDP(B101, "CF_ACT_CASH_PAID_FOR_INT_DEBT")</f>
        <v>173</v>
      </c>
      <c r="AA101" t="str" cm="1">
        <f t="array" ref="AA101">_xll.BDP(B101, "TYPE_OF_BOND")</f>
        <v>#N/A Field Not Applicable</v>
      </c>
    </row>
    <row r="102" spans="1:27" x14ac:dyDescent="0.25">
      <c r="A102">
        <v>100</v>
      </c>
      <c r="B102" t="s">
        <v>220</v>
      </c>
      <c r="C102" s="4" t="s">
        <v>87</v>
      </c>
      <c r="D102" s="4">
        <v>466562500</v>
      </c>
      <c r="E102" s="1" t="s">
        <v>11</v>
      </c>
      <c r="F102" s="1">
        <v>47463</v>
      </c>
      <c r="H102" t="s">
        <v>13</v>
      </c>
      <c r="L102" t="s">
        <v>1175</v>
      </c>
      <c r="M102" t="s">
        <v>19</v>
      </c>
      <c r="N102" t="s">
        <v>36</v>
      </c>
      <c r="O102" t="s">
        <v>3118</v>
      </c>
      <c r="P102" t="s">
        <v>2640</v>
      </c>
      <c r="Q102" t="s">
        <v>3119</v>
      </c>
      <c r="R102" t="s">
        <v>221</v>
      </c>
      <c r="V102" t="s">
        <v>227</v>
      </c>
      <c r="W102" t="s">
        <v>88</v>
      </c>
      <c r="X102" t="str">
        <f t="shared" si="1"/>
        <v>BL537552@TRAC Corp</v>
      </c>
      <c r="Y102" t="str">
        <f>_xlfn.IFNA(_xll.BDP(X102,"INTERVAL_SUM", "MARKET_DATA_OVERRIDE=px_volume", "CALC_INTERVAL=5D"), "")</f>
        <v>#N/A N/A</v>
      </c>
      <c r="Z102" t="str" cm="1">
        <f t="array" ref="Z102">_xll.BDP(B102, "CF_ACT_CASH_PAID_FOR_INT_DEBT")</f>
        <v>#N/A N/A</v>
      </c>
      <c r="AA102" t="str" cm="1">
        <f t="array" ref="AA102">_xll.BDP(B102, "TYPE_OF_BOND")</f>
        <v>#N/A Field Not Applicable</v>
      </c>
    </row>
    <row r="103" spans="1:27" x14ac:dyDescent="0.25">
      <c r="A103">
        <v>101</v>
      </c>
      <c r="B103" t="s">
        <v>222</v>
      </c>
      <c r="C103" s="4" t="s">
        <v>87</v>
      </c>
      <c r="D103" s="4">
        <v>1568000000</v>
      </c>
      <c r="E103" t="s">
        <v>11</v>
      </c>
      <c r="F103" s="1">
        <v>47371</v>
      </c>
      <c r="G103">
        <v>9.4114000000000004</v>
      </c>
      <c r="H103" t="s">
        <v>13</v>
      </c>
      <c r="I103" t="s">
        <v>2635</v>
      </c>
      <c r="J103">
        <v>575</v>
      </c>
      <c r="L103" t="s">
        <v>1168</v>
      </c>
      <c r="M103" t="s">
        <v>10</v>
      </c>
      <c r="N103" t="s">
        <v>36</v>
      </c>
      <c r="O103" t="s">
        <v>3118</v>
      </c>
      <c r="P103" t="s">
        <v>2640</v>
      </c>
      <c r="Q103" t="s">
        <v>3119</v>
      </c>
      <c r="R103" t="s">
        <v>223</v>
      </c>
      <c r="S103">
        <v>5000000</v>
      </c>
      <c r="T103">
        <v>29</v>
      </c>
      <c r="V103" t="s">
        <v>227</v>
      </c>
      <c r="W103" t="s">
        <v>88</v>
      </c>
      <c r="X103" t="str">
        <f t="shared" si="1"/>
        <v>BL466074@TRAC Corp</v>
      </c>
      <c r="Y103" t="str">
        <f>_xlfn.IFNA(_xll.BDP(X103,"INTERVAL_SUM", "MARKET_DATA_OVERRIDE=px_volume", "CALC_INTERVAL=5D"), "")</f>
        <v>#N/A N/A</v>
      </c>
      <c r="Z103" cm="1">
        <f t="array" ref="Z103">_xll.BDP(B103, "CF_ACT_CASH_PAID_FOR_INT_DEBT")</f>
        <v>173</v>
      </c>
      <c r="AA103" t="str" cm="1">
        <f t="array" ref="AA103">_xll.BDP(B103, "TYPE_OF_BOND")</f>
        <v>#N/A Field Not Applicable</v>
      </c>
    </row>
    <row r="104" spans="1:27" x14ac:dyDescent="0.25">
      <c r="A104">
        <v>102</v>
      </c>
      <c r="B104" t="s">
        <v>260</v>
      </c>
      <c r="C104" s="4" t="s">
        <v>261</v>
      </c>
      <c r="D104" s="4">
        <v>420000</v>
      </c>
      <c r="E104" t="s">
        <v>17</v>
      </c>
      <c r="F104" s="1">
        <v>46675</v>
      </c>
      <c r="G104">
        <v>6</v>
      </c>
      <c r="H104" t="s">
        <v>9</v>
      </c>
      <c r="K104">
        <v>7</v>
      </c>
      <c r="L104" t="s">
        <v>1168</v>
      </c>
      <c r="M104" t="s">
        <v>10</v>
      </c>
      <c r="N104" t="s">
        <v>14</v>
      </c>
      <c r="O104" t="s">
        <v>3120</v>
      </c>
      <c r="P104" t="s">
        <v>2637</v>
      </c>
      <c r="Q104" t="s">
        <v>3121</v>
      </c>
      <c r="R104" t="s">
        <v>262</v>
      </c>
      <c r="S104">
        <v>-9997</v>
      </c>
      <c r="W104" t="s">
        <v>263</v>
      </c>
      <c r="X104" t="str">
        <f t="shared" si="1"/>
        <v>ZO913021@TRAC Corp</v>
      </c>
      <c r="Y104" t="str">
        <f>_xlfn.IFNA(_xll.BDP(X104,"INTERVAL_SUM", "MARKET_DATA_OVERRIDE=px_volume", "CALC_INTERVAL=5D"), "")</f>
        <v>#N/A N/A</v>
      </c>
      <c r="Z104" cm="1">
        <f t="array" ref="Z104">_xll.BDP(B104, "CF_ACT_CASH_PAID_FOR_INT_DEBT")</f>
        <v>282.755</v>
      </c>
      <c r="AA104" t="str" cm="1">
        <f t="array" ref="AA104">_xll.BDP(B104, "TYPE_OF_BOND")</f>
        <v>Toggle</v>
      </c>
    </row>
    <row r="105" spans="1:27" x14ac:dyDescent="0.25">
      <c r="A105">
        <v>103</v>
      </c>
      <c r="B105" t="s">
        <v>264</v>
      </c>
      <c r="C105" s="4" t="s">
        <v>261</v>
      </c>
      <c r="D105" s="4">
        <v>758162074.77699995</v>
      </c>
      <c r="E105" t="s">
        <v>11</v>
      </c>
      <c r="F105" s="1">
        <v>47938</v>
      </c>
      <c r="G105">
        <v>6.75</v>
      </c>
      <c r="H105" t="s">
        <v>64</v>
      </c>
      <c r="K105">
        <v>0.75</v>
      </c>
      <c r="L105" t="s">
        <v>1168</v>
      </c>
      <c r="M105" t="s">
        <v>10</v>
      </c>
      <c r="N105" t="s">
        <v>14</v>
      </c>
      <c r="O105" t="s">
        <v>3120</v>
      </c>
      <c r="P105" t="s">
        <v>2641</v>
      </c>
      <c r="Q105" t="s">
        <v>3122</v>
      </c>
      <c r="R105" t="s">
        <v>265</v>
      </c>
      <c r="S105">
        <v>3314539.3049073298</v>
      </c>
      <c r="T105">
        <v>9</v>
      </c>
      <c r="U105" t="s">
        <v>1169</v>
      </c>
      <c r="W105" t="s">
        <v>263</v>
      </c>
      <c r="X105" t="str">
        <f t="shared" si="1"/>
        <v>YR114928@TRAC Corp</v>
      </c>
      <c r="Y105">
        <f>_xlfn.IFNA(_xll.BDP(X105,"INTERVAL_SUM", "MARKET_DATA_OVERRIDE=px_volume", "CALC_INTERVAL=5D"), "")</f>
        <v>40</v>
      </c>
      <c r="Z105" cm="1">
        <f t="array" ref="Z105">_xll.BDP(B105, "CF_ACT_CASH_PAID_FOR_INT_DEBT")</f>
        <v>282.755</v>
      </c>
      <c r="AA105" t="str" cm="1">
        <f t="array" ref="AA105">_xll.BDP(B105, "TYPE_OF_BOND")</f>
        <v>#N/A Field Not Applicable</v>
      </c>
    </row>
    <row r="106" spans="1:27" x14ac:dyDescent="0.25">
      <c r="A106">
        <v>104</v>
      </c>
      <c r="B106" t="s">
        <v>266</v>
      </c>
      <c r="C106" s="4" t="s">
        <v>261</v>
      </c>
      <c r="D106" s="4">
        <v>763074834</v>
      </c>
      <c r="E106" t="s">
        <v>11</v>
      </c>
      <c r="F106" s="1">
        <v>47848</v>
      </c>
      <c r="G106">
        <v>5.75</v>
      </c>
      <c r="H106" t="s">
        <v>9</v>
      </c>
      <c r="L106" t="s">
        <v>1168</v>
      </c>
      <c r="M106" t="s">
        <v>10</v>
      </c>
      <c r="N106" t="s">
        <v>14</v>
      </c>
      <c r="O106" t="s">
        <v>3120</v>
      </c>
      <c r="P106" t="s">
        <v>2641</v>
      </c>
      <c r="Q106" t="s">
        <v>3122</v>
      </c>
      <c r="R106" t="s">
        <v>267</v>
      </c>
      <c r="S106">
        <v>26364275.653874699</v>
      </c>
      <c r="T106">
        <v>26</v>
      </c>
      <c r="U106" t="s">
        <v>1169</v>
      </c>
      <c r="W106" t="s">
        <v>263</v>
      </c>
      <c r="X106" t="str">
        <f t="shared" si="1"/>
        <v>YR102316@TRAC Corp</v>
      </c>
      <c r="Y106">
        <f>_xlfn.IFNA(_xll.BDP(X106,"INTERVAL_SUM", "MARKET_DATA_OVERRIDE=px_volume", "CALC_INTERVAL=5D"), "")</f>
        <v>8220</v>
      </c>
      <c r="Z106" cm="1">
        <f t="array" ref="Z106">_xll.BDP(B106, "CF_ACT_CASH_PAID_FOR_INT_DEBT")</f>
        <v>282.755</v>
      </c>
      <c r="AA106" t="str" cm="1">
        <f t="array" ref="AA106">_xll.BDP(B106, "TYPE_OF_BOND")</f>
        <v>#N/A Field Not Applicable</v>
      </c>
    </row>
    <row r="107" spans="1:27" x14ac:dyDescent="0.25">
      <c r="A107">
        <v>105</v>
      </c>
      <c r="B107" t="s">
        <v>268</v>
      </c>
      <c r="C107" s="4" t="s">
        <v>261</v>
      </c>
      <c r="D107" s="4">
        <v>976647420.38999999</v>
      </c>
      <c r="E107" t="s">
        <v>11</v>
      </c>
      <c r="F107" s="1">
        <v>47938</v>
      </c>
      <c r="G107">
        <v>6.75</v>
      </c>
      <c r="H107" t="s">
        <v>64</v>
      </c>
      <c r="K107">
        <v>0.75</v>
      </c>
      <c r="L107" t="s">
        <v>1168</v>
      </c>
      <c r="M107" t="s">
        <v>10</v>
      </c>
      <c r="N107" t="s">
        <v>14</v>
      </c>
      <c r="O107" t="s">
        <v>3120</v>
      </c>
      <c r="P107" t="s">
        <v>2637</v>
      </c>
      <c r="Q107" t="s">
        <v>3121</v>
      </c>
      <c r="R107" t="s">
        <v>269</v>
      </c>
      <c r="S107">
        <v>13464734.9343089</v>
      </c>
      <c r="T107">
        <v>26</v>
      </c>
      <c r="U107" t="s">
        <v>1169</v>
      </c>
      <c r="W107" t="s">
        <v>263</v>
      </c>
      <c r="X107" t="str">
        <f t="shared" si="1"/>
        <v>YR101807@TRAC Corp</v>
      </c>
      <c r="Y107">
        <f>_xlfn.IFNA(_xll.BDP(X107,"INTERVAL_SUM", "MARKET_DATA_OVERRIDE=px_volume", "CALC_INTERVAL=5D"), "")</f>
        <v>250</v>
      </c>
      <c r="Z107" cm="1">
        <f t="array" ref="Z107">_xll.BDP(B107, "CF_ACT_CASH_PAID_FOR_INT_DEBT")</f>
        <v>282.755</v>
      </c>
      <c r="AA107" t="str" cm="1">
        <f t="array" ref="AA107">_xll.BDP(B107, "TYPE_OF_BOND")</f>
        <v>#N/A Field Not Applicable</v>
      </c>
    </row>
    <row r="108" spans="1:27" x14ac:dyDescent="0.25">
      <c r="A108">
        <v>106</v>
      </c>
      <c r="B108" t="s">
        <v>270</v>
      </c>
      <c r="C108" s="4" t="s">
        <v>261</v>
      </c>
      <c r="D108" s="4">
        <v>630561228.53400004</v>
      </c>
      <c r="E108" t="s">
        <v>11</v>
      </c>
      <c r="F108" s="1">
        <v>47848</v>
      </c>
      <c r="G108">
        <v>11.5</v>
      </c>
      <c r="H108" t="s">
        <v>64</v>
      </c>
      <c r="K108">
        <v>5</v>
      </c>
      <c r="L108" t="s">
        <v>1168</v>
      </c>
      <c r="M108" t="s">
        <v>10</v>
      </c>
      <c r="N108" t="s">
        <v>14</v>
      </c>
      <c r="O108" t="s">
        <v>3120</v>
      </c>
      <c r="P108" t="s">
        <v>2641</v>
      </c>
      <c r="Q108" t="s">
        <v>3122</v>
      </c>
      <c r="R108" t="s">
        <v>271</v>
      </c>
      <c r="S108">
        <v>4104121.5456183902</v>
      </c>
      <c r="T108">
        <v>28</v>
      </c>
      <c r="U108" t="s">
        <v>1169</v>
      </c>
      <c r="W108" t="s">
        <v>263</v>
      </c>
      <c r="X108" t="str">
        <f t="shared" si="1"/>
        <v>YR101437@TRAC Corp</v>
      </c>
      <c r="Y108">
        <f>_xlfn.IFNA(_xll.BDP(X108,"INTERVAL_SUM", "MARKET_DATA_OVERRIDE=px_volume", "CALC_INTERVAL=5D"), "")</f>
        <v>11175</v>
      </c>
      <c r="Z108" cm="1">
        <f t="array" ref="Z108">_xll.BDP(B108, "CF_ACT_CASH_PAID_FOR_INT_DEBT")</f>
        <v>282.755</v>
      </c>
      <c r="AA108" t="str" cm="1">
        <f t="array" ref="AA108">_xll.BDP(B108, "TYPE_OF_BOND")</f>
        <v>#N/A Field Not Applicable</v>
      </c>
    </row>
    <row r="109" spans="1:27" x14ac:dyDescent="0.25">
      <c r="A109">
        <v>107</v>
      </c>
      <c r="B109" t="s">
        <v>272</v>
      </c>
      <c r="C109" s="4" t="s">
        <v>261</v>
      </c>
      <c r="D109" s="4">
        <v>5814000</v>
      </c>
      <c r="E109" t="s">
        <v>11</v>
      </c>
      <c r="F109" s="1">
        <v>46997</v>
      </c>
      <c r="G109">
        <v>5.5</v>
      </c>
      <c r="H109" t="s">
        <v>9</v>
      </c>
      <c r="L109" t="s">
        <v>1168</v>
      </c>
      <c r="M109" t="s">
        <v>10</v>
      </c>
      <c r="N109" t="s">
        <v>14</v>
      </c>
      <c r="O109" t="s">
        <v>3120</v>
      </c>
      <c r="P109" t="s">
        <v>2641</v>
      </c>
      <c r="Q109" t="s">
        <v>3122</v>
      </c>
      <c r="R109" t="s">
        <v>273</v>
      </c>
      <c r="S109">
        <v>-9997</v>
      </c>
      <c r="U109" t="s">
        <v>1169</v>
      </c>
      <c r="W109" t="s">
        <v>263</v>
      </c>
      <c r="X109" t="str">
        <f t="shared" si="1"/>
        <v>BR041275@TRAC Corp</v>
      </c>
      <c r="Y109" t="str">
        <f>_xlfn.IFNA(_xll.BDP(X109,"INTERVAL_SUM", "MARKET_DATA_OVERRIDE=px_volume", "CALC_INTERVAL=5D"), "")</f>
        <v>#N/A N/A</v>
      </c>
      <c r="Z109" cm="1">
        <f t="array" ref="Z109">_xll.BDP(B109, "CF_ACT_CASH_PAID_FOR_INT_DEBT")</f>
        <v>282.755</v>
      </c>
      <c r="AA109" t="str" cm="1">
        <f t="array" ref="AA109">_xll.BDP(B109, "TYPE_OF_BOND")</f>
        <v>#N/A Field Not Applicable</v>
      </c>
    </row>
    <row r="110" spans="1:27" x14ac:dyDescent="0.25">
      <c r="A110">
        <v>108</v>
      </c>
      <c r="B110" t="s">
        <v>274</v>
      </c>
      <c r="C110" s="4" t="s">
        <v>261</v>
      </c>
      <c r="D110" s="4">
        <v>5310000</v>
      </c>
      <c r="E110" t="s">
        <v>17</v>
      </c>
      <c r="F110" s="1">
        <v>47058</v>
      </c>
      <c r="G110">
        <v>5.75</v>
      </c>
      <c r="H110" t="s">
        <v>9</v>
      </c>
      <c r="L110" t="s">
        <v>1168</v>
      </c>
      <c r="M110" t="s">
        <v>10</v>
      </c>
      <c r="N110" t="s">
        <v>14</v>
      </c>
      <c r="O110" t="s">
        <v>3120</v>
      </c>
      <c r="P110" t="s">
        <v>2641</v>
      </c>
      <c r="Q110" t="s">
        <v>3122</v>
      </c>
      <c r="R110" t="s">
        <v>275</v>
      </c>
      <c r="S110">
        <v>-9997</v>
      </c>
      <c r="U110" t="s">
        <v>1169</v>
      </c>
      <c r="W110" t="s">
        <v>263</v>
      </c>
      <c r="X110" t="str">
        <f t="shared" si="1"/>
        <v>BM122465@TRAC Corp</v>
      </c>
      <c r="Y110" t="str">
        <f>_xlfn.IFNA(_xll.BDP(X110,"INTERVAL_SUM", "MARKET_DATA_OVERRIDE=px_volume", "CALC_INTERVAL=5D"), "")</f>
        <v>#N/A N/A</v>
      </c>
      <c r="Z110" cm="1">
        <f t="array" ref="Z110">_xll.BDP(B110, "CF_ACT_CASH_PAID_FOR_INT_DEBT")</f>
        <v>282.755</v>
      </c>
      <c r="AA110" t="str" cm="1">
        <f t="array" ref="AA110">_xll.BDP(B110, "TYPE_OF_BOND")</f>
        <v>#N/A Field Not Applicable</v>
      </c>
    </row>
    <row r="111" spans="1:27" x14ac:dyDescent="0.25">
      <c r="A111">
        <v>109</v>
      </c>
      <c r="B111" t="s">
        <v>276</v>
      </c>
      <c r="C111" s="4" t="s">
        <v>261</v>
      </c>
      <c r="D111" s="4">
        <v>125000000</v>
      </c>
      <c r="E111" t="s">
        <v>80</v>
      </c>
      <c r="F111" s="1">
        <v>47483</v>
      </c>
      <c r="G111">
        <v>7.3939000000000004</v>
      </c>
      <c r="H111" t="s">
        <v>13</v>
      </c>
      <c r="I111" t="s">
        <v>2631</v>
      </c>
      <c r="J111">
        <v>375</v>
      </c>
      <c r="L111" t="s">
        <v>1168</v>
      </c>
      <c r="M111" t="s">
        <v>10</v>
      </c>
      <c r="N111" t="s">
        <v>14</v>
      </c>
      <c r="O111" t="s">
        <v>3120</v>
      </c>
      <c r="P111" t="s">
        <v>2641</v>
      </c>
      <c r="Q111" t="s">
        <v>3122</v>
      </c>
      <c r="R111" t="s">
        <v>277</v>
      </c>
      <c r="V111" t="s">
        <v>226</v>
      </c>
      <c r="W111" t="s">
        <v>263</v>
      </c>
      <c r="X111" t="str">
        <f t="shared" si="1"/>
        <v>BL499387@TRAC Corp</v>
      </c>
      <c r="Y111" t="str">
        <f>_xlfn.IFNA(_xll.BDP(X111,"INTERVAL_SUM", "MARKET_DATA_OVERRIDE=px_volume", "CALC_INTERVAL=5D"), "")</f>
        <v>#N/A N/A</v>
      </c>
      <c r="Z111" cm="1">
        <f t="array" ref="Z111">_xll.BDP(B111, "CF_ACT_CASH_PAID_FOR_INT_DEBT")</f>
        <v>282.755</v>
      </c>
      <c r="AA111" t="str" cm="1">
        <f t="array" ref="AA111">_xll.BDP(B111, "TYPE_OF_BOND")</f>
        <v>#N/A Field Not Applicable</v>
      </c>
    </row>
    <row r="112" spans="1:27" x14ac:dyDescent="0.25">
      <c r="A112">
        <v>110</v>
      </c>
      <c r="B112" t="s">
        <v>278</v>
      </c>
      <c r="C112" s="4" t="s">
        <v>261</v>
      </c>
      <c r="D112" s="4">
        <v>1129637427.05</v>
      </c>
      <c r="E112" t="s">
        <v>80</v>
      </c>
      <c r="F112" s="1">
        <v>47848</v>
      </c>
      <c r="G112">
        <v>8.5250000000000004</v>
      </c>
      <c r="H112" t="s">
        <v>13</v>
      </c>
      <c r="I112" t="s">
        <v>2635</v>
      </c>
      <c r="J112">
        <v>460</v>
      </c>
      <c r="L112" t="s">
        <v>1168</v>
      </c>
      <c r="M112" t="s">
        <v>10</v>
      </c>
      <c r="N112" t="s">
        <v>14</v>
      </c>
      <c r="O112" t="s">
        <v>3120</v>
      </c>
      <c r="P112" t="s">
        <v>2641</v>
      </c>
      <c r="Q112" t="s">
        <v>3122</v>
      </c>
      <c r="R112" t="s">
        <v>279</v>
      </c>
      <c r="S112">
        <v>3000000</v>
      </c>
      <c r="T112">
        <v>8</v>
      </c>
      <c r="V112" t="s">
        <v>227</v>
      </c>
      <c r="W112" t="s">
        <v>263</v>
      </c>
      <c r="X112" t="str">
        <f t="shared" si="1"/>
        <v>BL499386@TRAC Corp</v>
      </c>
      <c r="Y112" t="str">
        <f>_xlfn.IFNA(_xll.BDP(X112,"INTERVAL_SUM", "MARKET_DATA_OVERRIDE=px_volume", "CALC_INTERVAL=5D"), "")</f>
        <v>#N/A N/A</v>
      </c>
      <c r="Z112" cm="1">
        <f t="array" ref="Z112">_xll.BDP(B112, "CF_ACT_CASH_PAID_FOR_INT_DEBT")</f>
        <v>282.755</v>
      </c>
      <c r="AA112" t="str" cm="1">
        <f t="array" ref="AA112">_xll.BDP(B112, "TYPE_OF_BOND")</f>
        <v>#N/A Field Not Applicable</v>
      </c>
    </row>
    <row r="113" spans="1:27" x14ac:dyDescent="0.25">
      <c r="A113">
        <v>111</v>
      </c>
      <c r="B113" t="s">
        <v>280</v>
      </c>
      <c r="C113" s="4" t="s">
        <v>261</v>
      </c>
      <c r="D113" s="4">
        <v>320985876.64999998</v>
      </c>
      <c r="E113" t="s">
        <v>80</v>
      </c>
      <c r="F113" s="1">
        <v>47848</v>
      </c>
      <c r="G113">
        <v>7.4134000000000002</v>
      </c>
      <c r="H113" t="s">
        <v>13</v>
      </c>
      <c r="I113" t="s">
        <v>2635</v>
      </c>
      <c r="J113">
        <v>375</v>
      </c>
      <c r="L113" t="s">
        <v>1168</v>
      </c>
      <c r="M113" t="s">
        <v>10</v>
      </c>
      <c r="N113" t="s">
        <v>14</v>
      </c>
      <c r="O113" t="s">
        <v>3120</v>
      </c>
      <c r="P113" t="s">
        <v>2641</v>
      </c>
      <c r="Q113" t="s">
        <v>3122</v>
      </c>
      <c r="R113" t="s">
        <v>279</v>
      </c>
      <c r="S113">
        <v>3000000</v>
      </c>
      <c r="T113">
        <v>18</v>
      </c>
      <c r="V113" t="s">
        <v>227</v>
      </c>
      <c r="W113" t="s">
        <v>263</v>
      </c>
      <c r="X113" t="str">
        <f t="shared" si="1"/>
        <v>BL499385@TRAC Corp</v>
      </c>
      <c r="Y113" t="str">
        <f>_xlfn.IFNA(_xll.BDP(X113,"INTERVAL_SUM", "MARKET_DATA_OVERRIDE=px_volume", "CALC_INTERVAL=5D"), "")</f>
        <v>#N/A N/A</v>
      </c>
      <c r="Z113" cm="1">
        <f t="array" ref="Z113">_xll.BDP(B113, "CF_ACT_CASH_PAID_FOR_INT_DEBT")</f>
        <v>282.755</v>
      </c>
      <c r="AA113" t="str" cm="1">
        <f t="array" ref="AA113">_xll.BDP(B113, "TYPE_OF_BOND")</f>
        <v>#N/A Field Not Applicable</v>
      </c>
    </row>
    <row r="114" spans="1:27" x14ac:dyDescent="0.25">
      <c r="A114">
        <v>112</v>
      </c>
      <c r="B114" t="s">
        <v>281</v>
      </c>
      <c r="C114" s="4" t="s">
        <v>282</v>
      </c>
      <c r="D114" s="4">
        <v>9127000</v>
      </c>
      <c r="E114" t="s">
        <v>33</v>
      </c>
      <c r="F114" s="1">
        <v>47299</v>
      </c>
      <c r="G114">
        <v>9.1439000000000004</v>
      </c>
      <c r="H114" t="s">
        <v>13</v>
      </c>
      <c r="I114" t="s">
        <v>2631</v>
      </c>
      <c r="J114">
        <v>550</v>
      </c>
      <c r="L114" t="s">
        <v>1168</v>
      </c>
      <c r="M114" t="s">
        <v>10</v>
      </c>
      <c r="N114" t="s">
        <v>15</v>
      </c>
      <c r="O114" t="s">
        <v>3110</v>
      </c>
      <c r="P114" t="s">
        <v>2637</v>
      </c>
      <c r="Q114" t="s">
        <v>3123</v>
      </c>
      <c r="R114" t="s">
        <v>283</v>
      </c>
      <c r="V114" t="s">
        <v>227</v>
      </c>
      <c r="W114" t="s">
        <v>284</v>
      </c>
      <c r="X114" t="str">
        <f t="shared" si="1"/>
        <v>BL509098@TRAC Corp</v>
      </c>
      <c r="Y114" t="str">
        <f>_xlfn.IFNA(_xll.BDP(X114,"INTERVAL_SUM", "MARKET_DATA_OVERRIDE=px_volume", "CALC_INTERVAL=5D"), "")</f>
        <v>#N/A N/A</v>
      </c>
      <c r="Z114" t="str" cm="1">
        <f t="array" ref="Z114">_xll.BDP(B114, "CF_ACT_CASH_PAID_FOR_INT_DEBT")</f>
        <v>#N/A N/A</v>
      </c>
      <c r="AA114" t="str" cm="1">
        <f t="array" ref="AA114">_xll.BDP(B114, "TYPE_OF_BOND")</f>
        <v>#N/A Field Not Applicable</v>
      </c>
    </row>
    <row r="115" spans="1:27" x14ac:dyDescent="0.25">
      <c r="A115">
        <v>113</v>
      </c>
      <c r="B115" t="s">
        <v>285</v>
      </c>
      <c r="C115" s="4" t="s">
        <v>282</v>
      </c>
      <c r="D115" s="4">
        <v>925000000</v>
      </c>
      <c r="E115" s="1" t="s">
        <v>33</v>
      </c>
      <c r="F115" s="1">
        <v>48659</v>
      </c>
      <c r="G115">
        <v>8.6795000000000009</v>
      </c>
      <c r="H115" t="s">
        <v>13</v>
      </c>
      <c r="I115" t="s">
        <v>2631</v>
      </c>
      <c r="J115">
        <v>500</v>
      </c>
      <c r="L115" t="s">
        <v>1168</v>
      </c>
      <c r="M115" t="s">
        <v>10</v>
      </c>
      <c r="N115" t="s">
        <v>15</v>
      </c>
      <c r="O115" t="s">
        <v>3110</v>
      </c>
      <c r="P115" t="s">
        <v>2637</v>
      </c>
      <c r="Q115" t="s">
        <v>3123</v>
      </c>
      <c r="R115" t="s">
        <v>283</v>
      </c>
      <c r="S115">
        <v>1000000</v>
      </c>
      <c r="T115">
        <v>2</v>
      </c>
      <c r="V115" t="s">
        <v>227</v>
      </c>
      <c r="W115" t="s">
        <v>284</v>
      </c>
      <c r="X115" t="str">
        <f t="shared" si="1"/>
        <v>BL501722@TRAC Corp</v>
      </c>
      <c r="Y115" t="str">
        <f>_xlfn.IFNA(_xll.BDP(X115,"INTERVAL_SUM", "MARKET_DATA_OVERRIDE=px_volume", "CALC_INTERVAL=5D"), "")</f>
        <v>#N/A N/A</v>
      </c>
      <c r="Z115" t="str" cm="1">
        <f t="array" ref="Z115">_xll.BDP(B115, "CF_ACT_CASH_PAID_FOR_INT_DEBT")</f>
        <v>#N/A N/A</v>
      </c>
      <c r="AA115" t="str" cm="1">
        <f t="array" ref="AA115">_xll.BDP(B115, "TYPE_OF_BOND")</f>
        <v>#N/A Field Not Applicable</v>
      </c>
    </row>
    <row r="116" spans="1:27" x14ac:dyDescent="0.25">
      <c r="A116">
        <v>114</v>
      </c>
      <c r="B116" t="s">
        <v>286</v>
      </c>
      <c r="C116" s="4" t="s">
        <v>282</v>
      </c>
      <c r="D116" s="4">
        <v>3284187500</v>
      </c>
      <c r="E116" t="s">
        <v>11</v>
      </c>
      <c r="F116" s="1">
        <v>48295</v>
      </c>
      <c r="G116">
        <v>6.9295</v>
      </c>
      <c r="H116" t="s">
        <v>13</v>
      </c>
      <c r="I116" t="s">
        <v>2631</v>
      </c>
      <c r="J116">
        <v>325</v>
      </c>
      <c r="L116" t="s">
        <v>1168</v>
      </c>
      <c r="M116" t="s">
        <v>10</v>
      </c>
      <c r="N116" t="s">
        <v>15</v>
      </c>
      <c r="O116" t="s">
        <v>3110</v>
      </c>
      <c r="P116" t="s">
        <v>2637</v>
      </c>
      <c r="Q116" t="s">
        <v>3123</v>
      </c>
      <c r="R116" t="s">
        <v>287</v>
      </c>
      <c r="S116">
        <v>3000000</v>
      </c>
      <c r="T116">
        <v>6</v>
      </c>
      <c r="V116" t="s">
        <v>227</v>
      </c>
      <c r="W116" t="s">
        <v>284</v>
      </c>
      <c r="X116" t="str">
        <f t="shared" si="1"/>
        <v>BL501720@TRAC Corp</v>
      </c>
      <c r="Y116" t="str">
        <f>_xlfn.IFNA(_xll.BDP(X116,"INTERVAL_SUM", "MARKET_DATA_OVERRIDE=px_volume", "CALC_INTERVAL=5D"), "")</f>
        <v>#N/A N/A</v>
      </c>
      <c r="Z116" t="str" cm="1">
        <f t="array" ref="Z116">_xll.BDP(B116, "CF_ACT_CASH_PAID_FOR_INT_DEBT")</f>
        <v>#N/A N/A</v>
      </c>
      <c r="AA116" t="str" cm="1">
        <f t="array" ref="AA116">_xll.BDP(B116, "TYPE_OF_BOND")</f>
        <v>#N/A Field Not Applicable</v>
      </c>
    </row>
    <row r="117" spans="1:27" x14ac:dyDescent="0.25">
      <c r="A117">
        <v>115</v>
      </c>
      <c r="B117" t="s">
        <v>335</v>
      </c>
      <c r="C117" s="4" t="s">
        <v>336</v>
      </c>
      <c r="D117" s="4">
        <v>950000000</v>
      </c>
      <c r="E117" t="s">
        <v>12</v>
      </c>
      <c r="F117" s="1">
        <v>48014</v>
      </c>
      <c r="G117">
        <v>9.5</v>
      </c>
      <c r="H117" t="s">
        <v>9</v>
      </c>
      <c r="L117" t="s">
        <v>1168</v>
      </c>
      <c r="M117" t="s">
        <v>10</v>
      </c>
      <c r="N117" t="s">
        <v>36</v>
      </c>
      <c r="O117" t="s">
        <v>3118</v>
      </c>
      <c r="P117" t="s">
        <v>2640</v>
      </c>
      <c r="Q117" t="s">
        <v>3126</v>
      </c>
      <c r="R117" t="s">
        <v>337</v>
      </c>
      <c r="S117">
        <v>13537454.0902442</v>
      </c>
      <c r="T117">
        <v>33</v>
      </c>
      <c r="U117" t="s">
        <v>1169</v>
      </c>
      <c r="W117" t="s">
        <v>338</v>
      </c>
      <c r="X117" t="str">
        <f t="shared" si="1"/>
        <v>YM781929@TRAC Corp</v>
      </c>
      <c r="Y117">
        <f>_xlfn.IFNA(_xll.BDP(X117,"INTERVAL_SUM", "MARKET_DATA_OVERRIDE=px_volume", "CALC_INTERVAL=5D"), "")</f>
        <v>13451</v>
      </c>
      <c r="Z117" t="str" cm="1">
        <f t="array" ref="Z117">_xll.BDP(B117, "CF_ACT_CASH_PAID_FOR_INT_DEBT")</f>
        <v>#N/A N/A</v>
      </c>
      <c r="AA117" t="str" cm="1">
        <f t="array" ref="AA117">_xll.BDP(B117, "TYPE_OF_BOND")</f>
        <v>#N/A Field Not Applicable</v>
      </c>
    </row>
    <row r="118" spans="1:27" x14ac:dyDescent="0.25">
      <c r="A118">
        <v>116</v>
      </c>
      <c r="B118" t="s">
        <v>339</v>
      </c>
      <c r="C118" s="4" t="s">
        <v>336</v>
      </c>
      <c r="D118" s="4">
        <v>726026000</v>
      </c>
      <c r="E118" t="s">
        <v>17</v>
      </c>
      <c r="F118" s="1">
        <v>47133</v>
      </c>
      <c r="G118">
        <v>6.25</v>
      </c>
      <c r="H118" t="s">
        <v>9</v>
      </c>
      <c r="L118" t="s">
        <v>1168</v>
      </c>
      <c r="M118" t="s">
        <v>10</v>
      </c>
      <c r="N118" t="s">
        <v>36</v>
      </c>
      <c r="O118" t="s">
        <v>3118</v>
      </c>
      <c r="P118" t="s">
        <v>2640</v>
      </c>
      <c r="Q118" t="s">
        <v>3126</v>
      </c>
      <c r="R118" t="s">
        <v>340</v>
      </c>
      <c r="S118">
        <v>21483225.903615501</v>
      </c>
      <c r="T118">
        <v>22</v>
      </c>
      <c r="U118" t="s">
        <v>1169</v>
      </c>
      <c r="W118" t="s">
        <v>338</v>
      </c>
      <c r="X118" t="str">
        <f t="shared" si="1"/>
        <v>BM933315@TRAC Corp</v>
      </c>
      <c r="Y118">
        <f>_xlfn.IFNA(_xll.BDP(X118,"INTERVAL_SUM", "MARKET_DATA_OVERRIDE=px_volume", "CALC_INTERVAL=5D"), "")</f>
        <v>8582</v>
      </c>
      <c r="Z118" t="str" cm="1">
        <f t="array" ref="Z118">_xll.BDP(B118, "CF_ACT_CASH_PAID_FOR_INT_DEBT")</f>
        <v>#N/A N/A</v>
      </c>
      <c r="AA118" t="str" cm="1">
        <f t="array" ref="AA118">_xll.BDP(B118, "TYPE_OF_BOND")</f>
        <v>#N/A Field Not Applicable</v>
      </c>
    </row>
    <row r="119" spans="1:27" x14ac:dyDescent="0.25">
      <c r="A119">
        <v>117</v>
      </c>
      <c r="B119" t="s">
        <v>341</v>
      </c>
      <c r="C119" s="4" t="s">
        <v>336</v>
      </c>
      <c r="D119" s="4">
        <v>496250000</v>
      </c>
      <c r="E119" t="s">
        <v>11</v>
      </c>
      <c r="F119" s="1">
        <v>48005</v>
      </c>
      <c r="G119">
        <v>8.6753</v>
      </c>
      <c r="H119" t="s">
        <v>13</v>
      </c>
      <c r="I119" t="s">
        <v>2631</v>
      </c>
      <c r="J119">
        <v>500</v>
      </c>
      <c r="L119" t="s">
        <v>1168</v>
      </c>
      <c r="M119" t="s">
        <v>10</v>
      </c>
      <c r="N119" t="s">
        <v>36</v>
      </c>
      <c r="O119" t="s">
        <v>3118</v>
      </c>
      <c r="P119" t="s">
        <v>2640</v>
      </c>
      <c r="Q119" t="s">
        <v>3126</v>
      </c>
      <c r="R119" t="s">
        <v>342</v>
      </c>
      <c r="S119">
        <v>5000000</v>
      </c>
      <c r="T119">
        <v>28</v>
      </c>
      <c r="V119" t="s">
        <v>227</v>
      </c>
      <c r="W119" t="s">
        <v>338</v>
      </c>
      <c r="X119" t="str">
        <f t="shared" si="1"/>
        <v>BL517842@TRAC Corp</v>
      </c>
      <c r="Y119" t="str">
        <f>_xlfn.IFNA(_xll.BDP(X119,"INTERVAL_SUM", "MARKET_DATA_OVERRIDE=px_volume", "CALC_INTERVAL=5D"), "")</f>
        <v>#N/A N/A</v>
      </c>
      <c r="Z119" t="str" cm="1">
        <f t="array" ref="Z119">_xll.BDP(B119, "CF_ACT_CASH_PAID_FOR_INT_DEBT")</f>
        <v>#N/A N/A</v>
      </c>
      <c r="AA119" t="str" cm="1">
        <f t="array" ref="AA119">_xll.BDP(B119, "TYPE_OF_BOND")</f>
        <v>#N/A Field Not Applicable</v>
      </c>
    </row>
    <row r="120" spans="1:27" x14ac:dyDescent="0.25">
      <c r="A120">
        <v>118</v>
      </c>
      <c r="B120" t="s">
        <v>343</v>
      </c>
      <c r="C120" s="4" t="s">
        <v>336</v>
      </c>
      <c r="D120" s="4">
        <v>2107000000</v>
      </c>
      <c r="E120" t="s">
        <v>11</v>
      </c>
      <c r="F120" s="1">
        <v>48005</v>
      </c>
      <c r="G120">
        <v>7.5141</v>
      </c>
      <c r="H120" t="s">
        <v>13</v>
      </c>
      <c r="I120" t="s">
        <v>2631</v>
      </c>
      <c r="J120">
        <v>375</v>
      </c>
      <c r="L120" t="s">
        <v>1168</v>
      </c>
      <c r="M120" t="s">
        <v>10</v>
      </c>
      <c r="N120" t="s">
        <v>36</v>
      </c>
      <c r="O120" t="s">
        <v>3118</v>
      </c>
      <c r="P120" t="s">
        <v>2640</v>
      </c>
      <c r="Q120" t="s">
        <v>3126</v>
      </c>
      <c r="R120" t="s">
        <v>342</v>
      </c>
      <c r="S120">
        <v>3000000</v>
      </c>
      <c r="T120">
        <v>22</v>
      </c>
      <c r="V120" t="s">
        <v>227</v>
      </c>
      <c r="W120" t="s">
        <v>338</v>
      </c>
      <c r="X120" t="str">
        <f t="shared" si="1"/>
        <v>BL467110@TRAC Corp</v>
      </c>
      <c r="Y120" t="str">
        <f>_xlfn.IFNA(_xll.BDP(X120,"INTERVAL_SUM", "MARKET_DATA_OVERRIDE=px_volume", "CALC_INTERVAL=5D"), "")</f>
        <v>#N/A N/A</v>
      </c>
      <c r="Z120" t="str" cm="1">
        <f t="array" ref="Z120">_xll.BDP(B120, "CF_ACT_CASH_PAID_FOR_INT_DEBT")</f>
        <v>#N/A N/A</v>
      </c>
      <c r="AA120" t="str" cm="1">
        <f t="array" ref="AA120">_xll.BDP(B120, "TYPE_OF_BOND")</f>
        <v>#N/A Field Not Applicable</v>
      </c>
    </row>
    <row r="121" spans="1:27" x14ac:dyDescent="0.25">
      <c r="A121">
        <v>119</v>
      </c>
      <c r="B121" t="s">
        <v>355</v>
      </c>
      <c r="C121" s="4" t="s">
        <v>356</v>
      </c>
      <c r="D121" s="4">
        <v>318699000</v>
      </c>
      <c r="E121" t="s">
        <v>17</v>
      </c>
      <c r="F121" s="1">
        <v>47133</v>
      </c>
      <c r="G121">
        <v>6.125</v>
      </c>
      <c r="H121" t="s">
        <v>9</v>
      </c>
      <c r="L121" t="s">
        <v>1168</v>
      </c>
      <c r="M121" t="s">
        <v>10</v>
      </c>
      <c r="N121" t="s">
        <v>36</v>
      </c>
      <c r="O121" t="s">
        <v>3154</v>
      </c>
      <c r="P121" t="s">
        <v>2645</v>
      </c>
      <c r="Q121" t="s">
        <v>3151</v>
      </c>
      <c r="R121" t="s">
        <v>357</v>
      </c>
      <c r="S121">
        <v>8391494.65439572</v>
      </c>
      <c r="T121">
        <v>4</v>
      </c>
      <c r="U121" t="s">
        <v>1169</v>
      </c>
      <c r="W121" t="s">
        <v>358</v>
      </c>
      <c r="X121" t="str">
        <f t="shared" si="1"/>
        <v>ZO420004@TRAC Corp</v>
      </c>
      <c r="Y121" t="str">
        <f>_xlfn.IFNA(_xll.BDP(X121,"INTERVAL_SUM", "MARKET_DATA_OVERRIDE=px_volume", "CALC_INTERVAL=5D"), "")</f>
        <v>#N/A N/A</v>
      </c>
      <c r="Z121" cm="1">
        <f t="array" ref="Z121">_xll.BDP(B121, "CF_ACT_CASH_PAID_FOR_INT_DEBT")</f>
        <v>383.34</v>
      </c>
      <c r="AA121" t="str" cm="1">
        <f t="array" ref="AA121">_xll.BDP(B121, "TYPE_OF_BOND")</f>
        <v>#N/A Field Not Applicable</v>
      </c>
    </row>
    <row r="122" spans="1:27" x14ac:dyDescent="0.25">
      <c r="A122">
        <v>120</v>
      </c>
      <c r="B122" t="s">
        <v>359</v>
      </c>
      <c r="C122" s="4" t="s">
        <v>356</v>
      </c>
      <c r="D122" s="4">
        <v>500000000</v>
      </c>
      <c r="E122" t="s">
        <v>11</v>
      </c>
      <c r="F122" s="1">
        <v>47345</v>
      </c>
      <c r="G122">
        <v>9.5</v>
      </c>
      <c r="H122" t="s">
        <v>9</v>
      </c>
      <c r="L122" t="s">
        <v>1168</v>
      </c>
      <c r="M122" t="s">
        <v>10</v>
      </c>
      <c r="N122" t="s">
        <v>36</v>
      </c>
      <c r="O122" t="s">
        <v>3154</v>
      </c>
      <c r="P122" t="s">
        <v>2645</v>
      </c>
      <c r="Q122" t="s">
        <v>3151</v>
      </c>
      <c r="R122" t="s">
        <v>360</v>
      </c>
      <c r="S122">
        <v>8672154.0822104607</v>
      </c>
      <c r="T122">
        <v>8</v>
      </c>
      <c r="U122" t="s">
        <v>1169</v>
      </c>
      <c r="W122" t="s">
        <v>358</v>
      </c>
      <c r="X122" t="str">
        <f t="shared" si="1"/>
        <v>YW742881@TRAC Corp</v>
      </c>
      <c r="Y122" t="str">
        <f>_xlfn.IFNA(_xll.BDP(X122,"INTERVAL_SUM", "MARKET_DATA_OVERRIDE=px_volume", "CALC_INTERVAL=5D"), "")</f>
        <v>#N/A N/A</v>
      </c>
      <c r="Z122" cm="1">
        <f t="array" ref="Z122">_xll.BDP(B122, "CF_ACT_CASH_PAID_FOR_INT_DEBT")</f>
        <v>383.34</v>
      </c>
      <c r="AA122" t="str" cm="1">
        <f t="array" ref="AA122">_xll.BDP(B122, "TYPE_OF_BOND")</f>
        <v>#N/A Field Not Applicable</v>
      </c>
    </row>
    <row r="123" spans="1:27" x14ac:dyDescent="0.25">
      <c r="A123">
        <v>121</v>
      </c>
      <c r="B123" t="s">
        <v>361</v>
      </c>
      <c r="C123" s="4" t="s">
        <v>356</v>
      </c>
      <c r="D123" s="4">
        <v>220394093.67968801</v>
      </c>
      <c r="E123" t="s">
        <v>8</v>
      </c>
      <c r="F123" s="1">
        <v>41258</v>
      </c>
      <c r="G123">
        <v>15</v>
      </c>
      <c r="H123" t="s">
        <v>34</v>
      </c>
      <c r="L123" t="s">
        <v>1168</v>
      </c>
      <c r="M123" t="s">
        <v>10</v>
      </c>
      <c r="N123" t="s">
        <v>36</v>
      </c>
      <c r="O123" t="s">
        <v>3154</v>
      </c>
      <c r="P123" t="s">
        <v>2645</v>
      </c>
      <c r="Q123" t="s">
        <v>3151</v>
      </c>
      <c r="R123" t="s">
        <v>362</v>
      </c>
      <c r="S123">
        <v>-9997</v>
      </c>
      <c r="U123" t="s">
        <v>1169</v>
      </c>
      <c r="W123" t="s">
        <v>358</v>
      </c>
      <c r="X123" t="str">
        <f t="shared" si="1"/>
        <v>EH595161@TRAC Corp</v>
      </c>
      <c r="Y123" t="str">
        <f>_xlfn.IFNA(_xll.BDP(X123,"INTERVAL_SUM", "MARKET_DATA_OVERRIDE=px_volume", "CALC_INTERVAL=5D"), "")</f>
        <v>#N/A N/A</v>
      </c>
      <c r="Z123" cm="1">
        <f t="array" ref="Z123">_xll.BDP(B123, "CF_ACT_CASH_PAID_FOR_INT_DEBT")</f>
        <v>383.34</v>
      </c>
      <c r="AA123" t="str" cm="1">
        <f t="array" ref="AA123">_xll.BDP(B123, "TYPE_OF_BOND")</f>
        <v>PIK</v>
      </c>
    </row>
    <row r="124" spans="1:27" x14ac:dyDescent="0.25">
      <c r="A124">
        <v>122</v>
      </c>
      <c r="B124" t="s">
        <v>363</v>
      </c>
      <c r="C124" s="4" t="s">
        <v>356</v>
      </c>
      <c r="D124" s="4">
        <v>710000000</v>
      </c>
      <c r="E124" t="s">
        <v>12</v>
      </c>
      <c r="F124" s="1">
        <v>46966</v>
      </c>
      <c r="G124">
        <v>8.75</v>
      </c>
      <c r="H124" t="s">
        <v>9</v>
      </c>
      <c r="L124" t="s">
        <v>1168</v>
      </c>
      <c r="M124" t="s">
        <v>10</v>
      </c>
      <c r="N124" t="s">
        <v>36</v>
      </c>
      <c r="O124" t="s">
        <v>3154</v>
      </c>
      <c r="P124" t="s">
        <v>2645</v>
      </c>
      <c r="Q124" t="s">
        <v>3151</v>
      </c>
      <c r="R124" t="s">
        <v>364</v>
      </c>
      <c r="S124">
        <v>8407187.7047186308</v>
      </c>
      <c r="T124">
        <v>13</v>
      </c>
      <c r="U124" t="s">
        <v>1169</v>
      </c>
      <c r="W124" t="s">
        <v>358</v>
      </c>
      <c r="X124" t="str">
        <f t="shared" si="1"/>
        <v>BX836295@TRAC Corp</v>
      </c>
      <c r="Y124">
        <f>_xlfn.IFNA(_xll.BDP(X124,"INTERVAL_SUM", "MARKET_DATA_OVERRIDE=px_volume", "CALC_INTERVAL=5D"), "")</f>
        <v>600</v>
      </c>
      <c r="Z124" cm="1">
        <f t="array" ref="Z124">_xll.BDP(B124, "CF_ACT_CASH_PAID_FOR_INT_DEBT")</f>
        <v>383.34</v>
      </c>
      <c r="AA124" t="str" cm="1">
        <f t="array" ref="AA124">_xll.BDP(B124, "TYPE_OF_BOND")</f>
        <v>#N/A Field Not Applicable</v>
      </c>
    </row>
    <row r="125" spans="1:27" x14ac:dyDescent="0.25">
      <c r="A125">
        <v>123</v>
      </c>
      <c r="B125" t="s">
        <v>365</v>
      </c>
      <c r="C125" s="4" t="s">
        <v>356</v>
      </c>
      <c r="D125" s="4">
        <v>491250000</v>
      </c>
      <c r="E125" t="s">
        <v>11</v>
      </c>
      <c r="F125" s="1">
        <v>47983</v>
      </c>
      <c r="G125">
        <v>8.2764000000000006</v>
      </c>
      <c r="H125" t="s">
        <v>13</v>
      </c>
      <c r="I125" t="s">
        <v>2631</v>
      </c>
      <c r="J125">
        <v>450</v>
      </c>
      <c r="L125" t="s">
        <v>1168</v>
      </c>
      <c r="M125" t="s">
        <v>10</v>
      </c>
      <c r="N125" t="s">
        <v>36</v>
      </c>
      <c r="O125" t="s">
        <v>3154</v>
      </c>
      <c r="P125" t="s">
        <v>2645</v>
      </c>
      <c r="Q125" t="s">
        <v>3151</v>
      </c>
      <c r="R125" t="s">
        <v>366</v>
      </c>
      <c r="S125">
        <v>3000000</v>
      </c>
      <c r="T125">
        <v>4</v>
      </c>
      <c r="V125" t="s">
        <v>227</v>
      </c>
      <c r="W125" t="s">
        <v>358</v>
      </c>
      <c r="X125" t="str">
        <f t="shared" si="1"/>
        <v>BL464910@TRAC Corp</v>
      </c>
      <c r="Y125" t="str">
        <f>_xlfn.IFNA(_xll.BDP(X125,"INTERVAL_SUM", "MARKET_DATA_OVERRIDE=px_volume", "CALC_INTERVAL=5D"), "")</f>
        <v>#N/A N/A</v>
      </c>
      <c r="Z125" cm="1">
        <f t="array" ref="Z125">_xll.BDP(B125, "CF_ACT_CASH_PAID_FOR_INT_DEBT")</f>
        <v>383.34</v>
      </c>
      <c r="AA125" t="str" cm="1">
        <f t="array" ref="AA125">_xll.BDP(B125, "TYPE_OF_BOND")</f>
        <v>#N/A Field Not Applicable</v>
      </c>
    </row>
    <row r="126" spans="1:27" x14ac:dyDescent="0.25">
      <c r="A126">
        <v>124</v>
      </c>
      <c r="B126" t="s">
        <v>367</v>
      </c>
      <c r="C126" s="4" t="s">
        <v>356</v>
      </c>
      <c r="D126" s="4">
        <v>95000000</v>
      </c>
      <c r="E126" t="s">
        <v>11</v>
      </c>
      <c r="F126" s="1">
        <v>47253</v>
      </c>
      <c r="G126">
        <v>5.9295</v>
      </c>
      <c r="H126" t="s">
        <v>13</v>
      </c>
      <c r="I126" t="s">
        <v>2631</v>
      </c>
      <c r="J126">
        <v>225</v>
      </c>
      <c r="L126" t="s">
        <v>1168</v>
      </c>
      <c r="M126" t="s">
        <v>10</v>
      </c>
      <c r="N126" t="s">
        <v>36</v>
      </c>
      <c r="O126" t="s">
        <v>3154</v>
      </c>
      <c r="P126" t="s">
        <v>2645</v>
      </c>
      <c r="Q126" t="s">
        <v>3151</v>
      </c>
      <c r="R126" t="s">
        <v>368</v>
      </c>
      <c r="V126" t="s">
        <v>226</v>
      </c>
      <c r="W126" t="s">
        <v>358</v>
      </c>
      <c r="X126" t="str">
        <f t="shared" si="1"/>
        <v>BL399498@TRAC Corp</v>
      </c>
      <c r="Y126" t="str">
        <f>_xlfn.IFNA(_xll.BDP(X126,"INTERVAL_SUM", "MARKET_DATA_OVERRIDE=px_volume", "CALC_INTERVAL=5D"), "")</f>
        <v>#N/A N/A</v>
      </c>
      <c r="Z126" cm="1">
        <f t="array" ref="Z126">_xll.BDP(B126, "CF_ACT_CASH_PAID_FOR_INT_DEBT")</f>
        <v>383.34</v>
      </c>
      <c r="AA126" t="str" cm="1">
        <f t="array" ref="AA126">_xll.BDP(B126, "TYPE_OF_BOND")</f>
        <v>#N/A Field Not Applicable</v>
      </c>
    </row>
    <row r="127" spans="1:27" x14ac:dyDescent="0.25">
      <c r="A127">
        <v>125</v>
      </c>
      <c r="B127" t="s">
        <v>369</v>
      </c>
      <c r="C127" s="4" t="s">
        <v>356</v>
      </c>
      <c r="D127" s="4">
        <v>289500000</v>
      </c>
      <c r="E127" t="s">
        <v>11</v>
      </c>
      <c r="F127" s="1">
        <v>46966</v>
      </c>
      <c r="G127">
        <v>9.3045000000000009</v>
      </c>
      <c r="H127" t="s">
        <v>13</v>
      </c>
      <c r="I127" t="s">
        <v>2631</v>
      </c>
      <c r="J127">
        <v>562.5</v>
      </c>
      <c r="L127" t="s">
        <v>1168</v>
      </c>
      <c r="M127" t="s">
        <v>10</v>
      </c>
      <c r="N127" t="s">
        <v>36</v>
      </c>
      <c r="O127" t="s">
        <v>3154</v>
      </c>
      <c r="P127" t="s">
        <v>2645</v>
      </c>
      <c r="Q127" t="s">
        <v>3151</v>
      </c>
      <c r="R127" t="s">
        <v>370</v>
      </c>
      <c r="S127">
        <v>3005155.4571670699</v>
      </c>
      <c r="T127">
        <v>6</v>
      </c>
      <c r="V127" t="s">
        <v>227</v>
      </c>
      <c r="W127" t="s">
        <v>358</v>
      </c>
      <c r="X127" t="str">
        <f t="shared" si="1"/>
        <v>BL397114@TRAC Corp</v>
      </c>
      <c r="Y127" t="str">
        <f>_xlfn.IFNA(_xll.BDP(X127,"INTERVAL_SUM", "MARKET_DATA_OVERRIDE=px_volume", "CALC_INTERVAL=5D"), "")</f>
        <v>#N/A N/A</v>
      </c>
      <c r="Z127" cm="1">
        <f t="array" ref="Z127">_xll.BDP(B127, "CF_ACT_CASH_PAID_FOR_INT_DEBT")</f>
        <v>383.34</v>
      </c>
      <c r="AA127" t="str" cm="1">
        <f t="array" ref="AA127">_xll.BDP(B127, "TYPE_OF_BOND")</f>
        <v>#N/A Field Not Applicable</v>
      </c>
    </row>
    <row r="128" spans="1:27" x14ac:dyDescent="0.25">
      <c r="A128">
        <v>126</v>
      </c>
      <c r="B128" t="s">
        <v>371</v>
      </c>
      <c r="C128" s="4" t="s">
        <v>356</v>
      </c>
      <c r="D128" s="4">
        <v>2463500000</v>
      </c>
      <c r="E128" t="s">
        <v>11</v>
      </c>
      <c r="F128" s="1">
        <v>46855</v>
      </c>
      <c r="G128">
        <v>7.0263999999999998</v>
      </c>
      <c r="H128" t="s">
        <v>13</v>
      </c>
      <c r="I128" t="s">
        <v>2631</v>
      </c>
      <c r="J128">
        <v>325</v>
      </c>
      <c r="L128" t="s">
        <v>1168</v>
      </c>
      <c r="M128" t="s">
        <v>10</v>
      </c>
      <c r="N128" t="s">
        <v>36</v>
      </c>
      <c r="O128" t="s">
        <v>3154</v>
      </c>
      <c r="P128" t="s">
        <v>2645</v>
      </c>
      <c r="Q128" t="s">
        <v>3151</v>
      </c>
      <c r="R128" t="s">
        <v>372</v>
      </c>
      <c r="S128">
        <v>5000000</v>
      </c>
      <c r="T128">
        <v>12</v>
      </c>
      <c r="V128" t="s">
        <v>227</v>
      </c>
      <c r="W128" t="s">
        <v>358</v>
      </c>
      <c r="X128" t="str">
        <f t="shared" si="1"/>
        <v>BL358031@TRAC Corp</v>
      </c>
      <c r="Y128" t="str">
        <f>_xlfn.IFNA(_xll.BDP(X128,"INTERVAL_SUM", "MARKET_DATA_OVERRIDE=px_volume", "CALC_INTERVAL=5D"), "")</f>
        <v>#N/A N/A</v>
      </c>
      <c r="Z128" cm="1">
        <f t="array" ref="Z128">_xll.BDP(B128, "CF_ACT_CASH_PAID_FOR_INT_DEBT")</f>
        <v>383.34</v>
      </c>
      <c r="AA128" t="str" cm="1">
        <f t="array" ref="AA128">_xll.BDP(B128, "TYPE_OF_BOND")</f>
        <v>#N/A Field Not Applicable</v>
      </c>
    </row>
    <row r="129" spans="1:27" x14ac:dyDescent="0.25">
      <c r="A129">
        <v>127</v>
      </c>
      <c r="B129" t="s">
        <v>373</v>
      </c>
      <c r="C129" s="4" t="s">
        <v>356</v>
      </c>
      <c r="D129" s="4">
        <v>25000000</v>
      </c>
      <c r="E129" t="s">
        <v>11</v>
      </c>
      <c r="F129" s="1">
        <v>47253</v>
      </c>
      <c r="G129">
        <v>6.7526000000000002</v>
      </c>
      <c r="H129" t="s">
        <v>13</v>
      </c>
      <c r="I129" t="s">
        <v>2631</v>
      </c>
      <c r="J129">
        <v>300</v>
      </c>
      <c r="L129" t="s">
        <v>1168</v>
      </c>
      <c r="M129" t="s">
        <v>10</v>
      </c>
      <c r="N129" t="s">
        <v>36</v>
      </c>
      <c r="O129" t="s">
        <v>3154</v>
      </c>
      <c r="P129" t="s">
        <v>2645</v>
      </c>
      <c r="Q129" t="s">
        <v>3151</v>
      </c>
      <c r="R129" t="s">
        <v>374</v>
      </c>
      <c r="V129" t="s">
        <v>226</v>
      </c>
      <c r="W129" t="s">
        <v>358</v>
      </c>
      <c r="X129" t="str">
        <f t="shared" si="1"/>
        <v>BL265852@TRAC Corp</v>
      </c>
      <c r="Y129" t="str">
        <f>_xlfn.IFNA(_xll.BDP(X129,"INTERVAL_SUM", "MARKET_DATA_OVERRIDE=px_volume", "CALC_INTERVAL=5D"), "")</f>
        <v>#N/A N/A</v>
      </c>
      <c r="Z129" cm="1">
        <f t="array" ref="Z129">_xll.BDP(B129, "CF_ACT_CASH_PAID_FOR_INT_DEBT")</f>
        <v>383.34</v>
      </c>
      <c r="AA129" t="str" cm="1">
        <f t="array" ref="AA129">_xll.BDP(B129, "TYPE_OF_BOND")</f>
        <v>#N/A Field Not Applicable</v>
      </c>
    </row>
    <row r="130" spans="1:27" x14ac:dyDescent="0.25">
      <c r="A130">
        <v>128</v>
      </c>
      <c r="B130" t="s">
        <v>288</v>
      </c>
      <c r="C130" s="4" t="s">
        <v>289</v>
      </c>
      <c r="D130" s="4">
        <v>296452231.71200001</v>
      </c>
      <c r="E130" t="s">
        <v>33</v>
      </c>
      <c r="F130" s="1">
        <v>47314</v>
      </c>
      <c r="G130">
        <v>8</v>
      </c>
      <c r="H130" t="s">
        <v>64</v>
      </c>
      <c r="L130" t="s">
        <v>1168</v>
      </c>
      <c r="M130" t="s">
        <v>10</v>
      </c>
      <c r="N130" t="s">
        <v>36</v>
      </c>
      <c r="O130" t="s">
        <v>3118</v>
      </c>
      <c r="P130" t="s">
        <v>2639</v>
      </c>
      <c r="Q130" t="s">
        <v>3142</v>
      </c>
      <c r="R130" t="s">
        <v>290</v>
      </c>
      <c r="S130">
        <v>5514650.2546383003</v>
      </c>
      <c r="T130">
        <v>4</v>
      </c>
      <c r="U130" t="s">
        <v>1169</v>
      </c>
      <c r="W130" t="s">
        <v>291</v>
      </c>
      <c r="X130" t="str">
        <f t="shared" si="1"/>
        <v>YX935116@TRAC Corp</v>
      </c>
      <c r="Y130" t="str">
        <f>_xlfn.IFNA(_xll.BDP(X130,"INTERVAL_SUM", "MARKET_DATA_OVERRIDE=px_volume", "CALC_INTERVAL=5D"), "")</f>
        <v>#N/A N/A</v>
      </c>
      <c r="Z130" cm="1">
        <f t="array" ref="Z130">_xll.BDP(B130, "CF_ACT_CASH_PAID_FOR_INT_DEBT")</f>
        <v>1004</v>
      </c>
      <c r="AA130" t="str" cm="1">
        <f t="array" ref="AA130">_xll.BDP(B130, "TYPE_OF_BOND")</f>
        <v>Convertible</v>
      </c>
    </row>
    <row r="131" spans="1:27" x14ac:dyDescent="0.25">
      <c r="A131">
        <v>129</v>
      </c>
      <c r="B131" t="s">
        <v>292</v>
      </c>
      <c r="C131" s="4" t="s">
        <v>289</v>
      </c>
      <c r="D131" s="4">
        <v>1250000000</v>
      </c>
      <c r="E131" t="s">
        <v>11</v>
      </c>
      <c r="F131" s="1">
        <v>47314</v>
      </c>
      <c r="G131">
        <v>12.625</v>
      </c>
      <c r="H131" t="s">
        <v>9</v>
      </c>
      <c r="L131" t="s">
        <v>1168</v>
      </c>
      <c r="M131" t="s">
        <v>10</v>
      </c>
      <c r="N131" t="s">
        <v>36</v>
      </c>
      <c r="O131" t="s">
        <v>3118</v>
      </c>
      <c r="P131" t="s">
        <v>2639</v>
      </c>
      <c r="Q131" t="s">
        <v>3142</v>
      </c>
      <c r="R131" t="s">
        <v>293</v>
      </c>
      <c r="S131">
        <v>4296884.8514846303</v>
      </c>
      <c r="T131">
        <v>22</v>
      </c>
      <c r="U131" t="s">
        <v>1169</v>
      </c>
      <c r="W131" t="s">
        <v>291</v>
      </c>
      <c r="X131" t="str">
        <f t="shared" ref="X131:X194" si="2">SUBSTITUTE(B131," Corp","@TRAC Corp")</f>
        <v>YX902430@TRAC Corp</v>
      </c>
      <c r="Y131">
        <f>_xlfn.IFNA(_xll.BDP(X131,"INTERVAL_SUM", "MARKET_DATA_OVERRIDE=px_volume", "CALC_INTERVAL=5D"), "")</f>
        <v>63473</v>
      </c>
      <c r="Z131" cm="1">
        <f t="array" ref="Z131">_xll.BDP(B131, "CF_ACT_CASH_PAID_FOR_INT_DEBT")</f>
        <v>1004</v>
      </c>
      <c r="AA131" t="str" cm="1">
        <f t="array" ref="AA131">_xll.BDP(B131, "TYPE_OF_BOND")</f>
        <v>#N/A Field Not Applicable</v>
      </c>
    </row>
    <row r="132" spans="1:27" x14ac:dyDescent="0.25">
      <c r="A132">
        <v>130</v>
      </c>
      <c r="B132" t="s">
        <v>294</v>
      </c>
      <c r="C132" s="4" t="s">
        <v>289</v>
      </c>
      <c r="D132" s="4">
        <v>425000000</v>
      </c>
      <c r="E132" t="s">
        <v>17</v>
      </c>
      <c r="F132" s="1">
        <v>47757</v>
      </c>
      <c r="G132">
        <v>5.5</v>
      </c>
      <c r="H132" t="s">
        <v>9</v>
      </c>
      <c r="L132" t="s">
        <v>1168</v>
      </c>
      <c r="M132" t="s">
        <v>10</v>
      </c>
      <c r="N132" t="s">
        <v>36</v>
      </c>
      <c r="O132" t="s">
        <v>3118</v>
      </c>
      <c r="P132" t="s">
        <v>2639</v>
      </c>
      <c r="Q132" t="s">
        <v>3142</v>
      </c>
      <c r="R132" t="s">
        <v>295</v>
      </c>
      <c r="S132">
        <v>4676785.6985945301</v>
      </c>
      <c r="T132">
        <v>6</v>
      </c>
      <c r="W132" t="s">
        <v>291</v>
      </c>
      <c r="X132" t="str">
        <f t="shared" si="2"/>
        <v>YK424444@TRAC Corp</v>
      </c>
      <c r="Y132">
        <f>_xlfn.IFNA(_xll.BDP(X132,"INTERVAL_SUM", "MARKET_DATA_OVERRIDE=px_volume", "CALC_INTERVAL=5D"), "")</f>
        <v>7395</v>
      </c>
      <c r="Z132" cm="1">
        <f t="array" ref="Z132">_xll.BDP(B132, "CF_ACT_CASH_PAID_FOR_INT_DEBT")</f>
        <v>1004</v>
      </c>
      <c r="AA132" t="str" cm="1">
        <f t="array" ref="AA132">_xll.BDP(B132, "TYPE_OF_BOND")</f>
        <v>Convertible</v>
      </c>
    </row>
    <row r="133" spans="1:27" x14ac:dyDescent="0.25">
      <c r="A133">
        <v>131</v>
      </c>
      <c r="B133" t="s">
        <v>296</v>
      </c>
      <c r="C133" s="4" t="s">
        <v>289</v>
      </c>
      <c r="D133" s="4">
        <v>800000000</v>
      </c>
      <c r="E133" t="s">
        <v>17</v>
      </c>
      <c r="F133" s="1">
        <v>45580</v>
      </c>
      <c r="G133">
        <v>5.5</v>
      </c>
      <c r="H133" t="s">
        <v>34</v>
      </c>
      <c r="L133" t="s">
        <v>1168</v>
      </c>
      <c r="M133" t="s">
        <v>10</v>
      </c>
      <c r="N133" t="s">
        <v>36</v>
      </c>
      <c r="O133" t="s">
        <v>3118</v>
      </c>
      <c r="P133" t="s">
        <v>2639</v>
      </c>
      <c r="Q133" t="s">
        <v>3142</v>
      </c>
      <c r="R133" t="s">
        <v>297</v>
      </c>
      <c r="S133">
        <v>-9997</v>
      </c>
      <c r="U133" t="s">
        <v>1169</v>
      </c>
      <c r="W133" t="s">
        <v>291</v>
      </c>
      <c r="X133" t="str">
        <f t="shared" si="2"/>
        <v>QZ510662@TRAC Corp</v>
      </c>
      <c r="Y133" t="str">
        <f>_xlfn.IFNA(_xll.BDP(X133,"INTERVAL_SUM", "MARKET_DATA_OVERRIDE=px_volume", "CALC_INTERVAL=5D"), "")</f>
        <v>#N/A N/A</v>
      </c>
      <c r="Z133" cm="1">
        <f t="array" ref="Z133">_xll.BDP(B133, "CF_ACT_CASH_PAID_FOR_INT_DEBT")</f>
        <v>1004</v>
      </c>
      <c r="AA133" t="str" cm="1">
        <f t="array" ref="AA133">_xll.BDP(B133, "TYPE_OF_BOND")</f>
        <v>#N/A Field Not Applicable</v>
      </c>
    </row>
    <row r="134" spans="1:27" x14ac:dyDescent="0.25">
      <c r="A134">
        <v>132</v>
      </c>
      <c r="B134" t="s">
        <v>3143</v>
      </c>
      <c r="C134" s="4" t="s">
        <v>289</v>
      </c>
      <c r="D134" s="4">
        <v>350000000</v>
      </c>
      <c r="E134" t="s">
        <v>11</v>
      </c>
      <c r="F134" s="1">
        <v>47665</v>
      </c>
      <c r="G134">
        <v>6.75</v>
      </c>
      <c r="H134" t="s">
        <v>64</v>
      </c>
      <c r="K134">
        <v>6.75</v>
      </c>
      <c r="L134" t="s">
        <v>1168</v>
      </c>
      <c r="M134" t="s">
        <v>10</v>
      </c>
      <c r="N134" t="s">
        <v>36</v>
      </c>
      <c r="O134" t="s">
        <v>3118</v>
      </c>
      <c r="P134" t="s">
        <v>2639</v>
      </c>
      <c r="Q134" t="s">
        <v>3142</v>
      </c>
      <c r="R134" t="s">
        <v>3144</v>
      </c>
      <c r="S134">
        <v>3712189.5834100102</v>
      </c>
      <c r="T134">
        <v>7</v>
      </c>
      <c r="W134" t="s">
        <v>291</v>
      </c>
      <c r="X134" t="str">
        <f t="shared" si="2"/>
        <v>DM426863@TRAC Corp</v>
      </c>
      <c r="Y134">
        <f>_xlfn.IFNA(_xll.BDP(X134,"INTERVAL_SUM", "MARKET_DATA_OVERRIDE=px_volume", "CALC_INTERVAL=5D"), "")</f>
        <v>5000</v>
      </c>
      <c r="Z134" cm="1">
        <f t="array" ref="Z134">_xll.BDP(B134, "CF_ACT_CASH_PAID_FOR_INT_DEBT")</f>
        <v>1004</v>
      </c>
      <c r="AA134" t="str" cm="1">
        <f t="array" ref="AA134">_xll.BDP(B134, "TYPE_OF_BOND")</f>
        <v>PIK</v>
      </c>
    </row>
    <row r="135" spans="1:27" x14ac:dyDescent="0.25">
      <c r="A135">
        <v>133</v>
      </c>
      <c r="B135" t="s">
        <v>298</v>
      </c>
      <c r="C135" s="4" t="s">
        <v>289</v>
      </c>
      <c r="D135" s="4">
        <v>1000000000</v>
      </c>
      <c r="E135" t="s">
        <v>17</v>
      </c>
      <c r="F135" s="1">
        <v>47453</v>
      </c>
      <c r="G135">
        <v>5</v>
      </c>
      <c r="H135" t="s">
        <v>9</v>
      </c>
      <c r="L135" t="s">
        <v>1168</v>
      </c>
      <c r="M135" t="s">
        <v>10</v>
      </c>
      <c r="N135" t="s">
        <v>36</v>
      </c>
      <c r="O135" t="s">
        <v>3118</v>
      </c>
      <c r="P135" t="s">
        <v>2639</v>
      </c>
      <c r="Q135" t="s">
        <v>3142</v>
      </c>
      <c r="R135" t="s">
        <v>299</v>
      </c>
      <c r="S135">
        <v>6306115.8207927505</v>
      </c>
      <c r="T135">
        <v>7</v>
      </c>
      <c r="U135" t="s">
        <v>1169</v>
      </c>
      <c r="W135" t="s">
        <v>291</v>
      </c>
      <c r="X135" t="str">
        <f t="shared" si="2"/>
        <v>BS528223@TRAC Corp</v>
      </c>
      <c r="Y135">
        <f>_xlfn.IFNA(_xll.BDP(X135,"INTERVAL_SUM", "MARKET_DATA_OVERRIDE=px_volume", "CALC_INTERVAL=5D"), "")</f>
        <v>7200</v>
      </c>
      <c r="Z135" cm="1">
        <f t="array" ref="Z135">_xll.BDP(B135, "CF_ACT_CASH_PAID_FOR_INT_DEBT")</f>
        <v>1004</v>
      </c>
      <c r="AA135" t="str" cm="1">
        <f t="array" ref="AA135">_xll.BDP(B135, "TYPE_OF_BOND")</f>
        <v>#N/A Field Not Applicable</v>
      </c>
    </row>
    <row r="136" spans="1:27" x14ac:dyDescent="0.25">
      <c r="A136">
        <v>134</v>
      </c>
      <c r="B136" t="s">
        <v>300</v>
      </c>
      <c r="C136" s="4" t="s">
        <v>289</v>
      </c>
      <c r="D136" s="4">
        <v>200000000</v>
      </c>
      <c r="E136" t="s">
        <v>17</v>
      </c>
      <c r="F136" s="1">
        <v>46357</v>
      </c>
      <c r="G136">
        <v>4.625</v>
      </c>
      <c r="H136" t="s">
        <v>9</v>
      </c>
      <c r="L136" t="s">
        <v>1168</v>
      </c>
      <c r="M136" t="s">
        <v>10</v>
      </c>
      <c r="N136" t="s">
        <v>36</v>
      </c>
      <c r="O136" t="s">
        <v>3118</v>
      </c>
      <c r="P136" t="s">
        <v>2639</v>
      </c>
      <c r="Q136" t="s">
        <v>3142</v>
      </c>
      <c r="R136" t="s">
        <v>301</v>
      </c>
      <c r="S136">
        <v>2950459.76703062</v>
      </c>
      <c r="T136">
        <v>17</v>
      </c>
      <c r="U136" t="s">
        <v>1169</v>
      </c>
      <c r="W136" t="s">
        <v>291</v>
      </c>
      <c r="X136" t="str">
        <f t="shared" si="2"/>
        <v>BS528221@TRAC Corp</v>
      </c>
      <c r="Y136">
        <f>_xlfn.IFNA(_xll.BDP(X136,"INTERVAL_SUM", "MARKET_DATA_OVERRIDE=px_volume", "CALC_INTERVAL=5D"), "")</f>
        <v>7500</v>
      </c>
      <c r="Z136" cm="1">
        <f t="array" ref="Z136">_xll.BDP(B136, "CF_ACT_CASH_PAID_FOR_INT_DEBT")</f>
        <v>1004</v>
      </c>
      <c r="AA136" t="str" cm="1">
        <f t="array" ref="AA136">_xll.BDP(B136, "TYPE_OF_BOND")</f>
        <v>#N/A Field Not Applicable</v>
      </c>
    </row>
    <row r="137" spans="1:27" x14ac:dyDescent="0.25">
      <c r="A137">
        <v>135</v>
      </c>
      <c r="B137" t="s">
        <v>302</v>
      </c>
      <c r="C137" s="4" t="s">
        <v>289</v>
      </c>
      <c r="D137" s="4">
        <v>500000000</v>
      </c>
      <c r="E137" t="s">
        <v>17</v>
      </c>
      <c r="F137" s="1">
        <v>46235</v>
      </c>
      <c r="G137">
        <v>7.125</v>
      </c>
      <c r="H137" t="s">
        <v>34</v>
      </c>
      <c r="L137" t="s">
        <v>1168</v>
      </c>
      <c r="M137" t="s">
        <v>10</v>
      </c>
      <c r="N137" t="s">
        <v>36</v>
      </c>
      <c r="O137" t="s">
        <v>3118</v>
      </c>
      <c r="P137" t="s">
        <v>2639</v>
      </c>
      <c r="Q137" t="s">
        <v>3142</v>
      </c>
      <c r="R137" t="s">
        <v>303</v>
      </c>
      <c r="S137">
        <v>-9997</v>
      </c>
      <c r="U137" t="s">
        <v>1169</v>
      </c>
      <c r="W137" t="s">
        <v>291</v>
      </c>
      <c r="X137" t="str">
        <f t="shared" si="2"/>
        <v>AZ718262@TRAC Corp</v>
      </c>
      <c r="Y137" t="str">
        <f>_xlfn.IFNA(_xll.BDP(X137,"INTERVAL_SUM", "MARKET_DATA_OVERRIDE=px_volume", "CALC_INTERVAL=5D"), "")</f>
        <v>#N/A N/A</v>
      </c>
      <c r="Z137" cm="1">
        <f t="array" ref="Z137">_xll.BDP(B137, "CF_ACT_CASH_PAID_FOR_INT_DEBT")</f>
        <v>1004</v>
      </c>
      <c r="AA137" t="str" cm="1">
        <f t="array" ref="AA137">_xll.BDP(B137, "TYPE_OF_BOND")</f>
        <v>#N/A Field Not Applicable</v>
      </c>
    </row>
    <row r="138" spans="1:27" x14ac:dyDescent="0.25">
      <c r="A138">
        <v>136</v>
      </c>
      <c r="B138" t="s">
        <v>304</v>
      </c>
      <c r="C138" s="4" t="s">
        <v>289</v>
      </c>
      <c r="D138" s="4">
        <v>487250000</v>
      </c>
      <c r="E138" t="s">
        <v>11</v>
      </c>
      <c r="F138" s="1">
        <v>46934</v>
      </c>
      <c r="G138">
        <v>7.7610999999999999</v>
      </c>
      <c r="H138" t="s">
        <v>13</v>
      </c>
      <c r="I138" t="s">
        <v>2635</v>
      </c>
      <c r="J138">
        <v>375</v>
      </c>
      <c r="L138" t="s">
        <v>1168</v>
      </c>
      <c r="M138" t="s">
        <v>10</v>
      </c>
      <c r="N138" t="s">
        <v>36</v>
      </c>
      <c r="O138" t="s">
        <v>3118</v>
      </c>
      <c r="P138" t="s">
        <v>2639</v>
      </c>
      <c r="Q138" t="s">
        <v>3142</v>
      </c>
      <c r="R138" t="s">
        <v>305</v>
      </c>
      <c r="S138">
        <v>3000000</v>
      </c>
      <c r="T138">
        <v>7</v>
      </c>
      <c r="V138" t="s">
        <v>227</v>
      </c>
      <c r="W138" t="s">
        <v>291</v>
      </c>
      <c r="X138" t="str">
        <f t="shared" si="2"/>
        <v>BL446806@TRAC Corp</v>
      </c>
      <c r="Y138" t="str">
        <f>_xlfn.IFNA(_xll.BDP(X138,"INTERVAL_SUM", "MARKET_DATA_OVERRIDE=px_volume", "CALC_INTERVAL=5D"), "")</f>
        <v>#N/A N/A</v>
      </c>
      <c r="Z138" cm="1">
        <f t="array" ref="Z138">_xll.BDP(B138, "CF_ACT_CASH_PAID_FOR_INT_DEBT")</f>
        <v>1004</v>
      </c>
      <c r="AA138" t="str" cm="1">
        <f t="array" ref="AA138">_xll.BDP(B138, "TYPE_OF_BOND")</f>
        <v>#N/A Field Not Applicable</v>
      </c>
    </row>
    <row r="139" spans="1:27" x14ac:dyDescent="0.25">
      <c r="A139">
        <v>137</v>
      </c>
      <c r="B139" t="s">
        <v>306</v>
      </c>
      <c r="C139" s="4" t="s">
        <v>289</v>
      </c>
      <c r="D139" s="4">
        <v>244387500</v>
      </c>
      <c r="E139" t="s">
        <v>11</v>
      </c>
      <c r="F139" s="1">
        <v>46934</v>
      </c>
      <c r="G139">
        <v>7.4249999999999998</v>
      </c>
      <c r="H139" t="s">
        <v>13</v>
      </c>
      <c r="I139" t="s">
        <v>2635</v>
      </c>
      <c r="J139">
        <v>350</v>
      </c>
      <c r="L139" t="s">
        <v>1168</v>
      </c>
      <c r="M139" t="s">
        <v>10</v>
      </c>
      <c r="N139" t="s">
        <v>36</v>
      </c>
      <c r="O139" t="s">
        <v>3118</v>
      </c>
      <c r="P139" t="s">
        <v>2639</v>
      </c>
      <c r="Q139" t="s">
        <v>3142</v>
      </c>
      <c r="R139" t="s">
        <v>307</v>
      </c>
      <c r="S139">
        <v>3000000</v>
      </c>
      <c r="T139">
        <v>6</v>
      </c>
      <c r="V139" t="s">
        <v>227</v>
      </c>
      <c r="W139" t="s">
        <v>291</v>
      </c>
      <c r="X139" t="str">
        <f t="shared" si="2"/>
        <v>BL363872@TRAC Corp</v>
      </c>
      <c r="Y139" t="str">
        <f>_xlfn.IFNA(_xll.BDP(X139,"INTERVAL_SUM", "MARKET_DATA_OVERRIDE=px_volume", "CALC_INTERVAL=5D"), "")</f>
        <v>#N/A N/A</v>
      </c>
      <c r="Z139" cm="1">
        <f t="array" ref="Z139">_xll.BDP(B139, "CF_ACT_CASH_PAID_FOR_INT_DEBT")</f>
        <v>1004</v>
      </c>
      <c r="AA139" t="str" cm="1">
        <f t="array" ref="AA139">_xll.BDP(B139, "TYPE_OF_BOND")</f>
        <v>#N/A Field Not Applicable</v>
      </c>
    </row>
    <row r="140" spans="1:27" x14ac:dyDescent="0.25">
      <c r="A140">
        <v>138</v>
      </c>
      <c r="B140" t="s">
        <v>308</v>
      </c>
      <c r="C140" s="4" t="s">
        <v>289</v>
      </c>
      <c r="D140" s="4">
        <v>1235250000</v>
      </c>
      <c r="E140" t="s">
        <v>11</v>
      </c>
      <c r="F140" s="1">
        <v>46934</v>
      </c>
      <c r="G140">
        <v>7.4249999999999998</v>
      </c>
      <c r="H140" t="s">
        <v>13</v>
      </c>
      <c r="I140" t="s">
        <v>2635</v>
      </c>
      <c r="J140">
        <v>350</v>
      </c>
      <c r="L140" t="s">
        <v>1168</v>
      </c>
      <c r="M140" t="s">
        <v>10</v>
      </c>
      <c r="N140" t="s">
        <v>36</v>
      </c>
      <c r="O140" t="s">
        <v>3118</v>
      </c>
      <c r="P140" t="s">
        <v>2639</v>
      </c>
      <c r="Q140" t="s">
        <v>3142</v>
      </c>
      <c r="R140" t="s">
        <v>309</v>
      </c>
      <c r="S140">
        <v>3000000</v>
      </c>
      <c r="T140">
        <v>5</v>
      </c>
      <c r="V140" t="s">
        <v>227</v>
      </c>
      <c r="W140" t="s">
        <v>291</v>
      </c>
      <c r="X140" t="str">
        <f t="shared" si="2"/>
        <v>BL363870@TRAC Corp</v>
      </c>
      <c r="Y140" t="str">
        <f>_xlfn.IFNA(_xll.BDP(X140,"INTERVAL_SUM", "MARKET_DATA_OVERRIDE=px_volume", "CALC_INTERVAL=5D"), "")</f>
        <v>#N/A N/A</v>
      </c>
      <c r="Z140" cm="1">
        <f t="array" ref="Z140">_xll.BDP(B140, "CF_ACT_CASH_PAID_FOR_INT_DEBT")</f>
        <v>1004</v>
      </c>
      <c r="AA140" t="str" cm="1">
        <f t="array" ref="AA140">_xll.BDP(B140, "TYPE_OF_BOND")</f>
        <v>#N/A Field Not Applicable</v>
      </c>
    </row>
    <row r="141" spans="1:27" x14ac:dyDescent="0.25">
      <c r="A141">
        <v>139</v>
      </c>
      <c r="B141" t="s">
        <v>375</v>
      </c>
      <c r="C141" s="4" t="s">
        <v>376</v>
      </c>
      <c r="D141" s="4">
        <v>3529050000</v>
      </c>
      <c r="E141" t="s">
        <v>11</v>
      </c>
      <c r="F141" s="1">
        <v>47784</v>
      </c>
      <c r="G141">
        <v>6.8860999999999999</v>
      </c>
      <c r="H141" t="s">
        <v>13</v>
      </c>
      <c r="I141" t="s">
        <v>2635</v>
      </c>
      <c r="J141">
        <v>325</v>
      </c>
      <c r="L141" t="s">
        <v>1168</v>
      </c>
      <c r="M141" t="s">
        <v>10</v>
      </c>
      <c r="N141" t="s">
        <v>15</v>
      </c>
      <c r="O141" t="s">
        <v>3110</v>
      </c>
      <c r="P141" t="s">
        <v>2637</v>
      </c>
      <c r="Q141" t="s">
        <v>3111</v>
      </c>
      <c r="R141" t="s">
        <v>377</v>
      </c>
      <c r="S141">
        <v>3000000</v>
      </c>
      <c r="T141">
        <v>10</v>
      </c>
      <c r="V141" t="s">
        <v>227</v>
      </c>
      <c r="W141" t="s">
        <v>378</v>
      </c>
      <c r="X141" t="str">
        <f t="shared" si="2"/>
        <v>BL481360@TRAC Corp</v>
      </c>
      <c r="Y141" t="str">
        <f>_xlfn.IFNA(_xll.BDP(X141,"INTERVAL_SUM", "MARKET_DATA_OVERRIDE=px_volume", "CALC_INTERVAL=5D"), "")</f>
        <v>#N/A N/A</v>
      </c>
      <c r="Z141" t="str" cm="1">
        <f t="array" ref="Z141">_xll.BDP(B141, "CF_ACT_CASH_PAID_FOR_INT_DEBT")</f>
        <v>#N/A N/A</v>
      </c>
      <c r="AA141" t="str" cm="1">
        <f t="array" ref="AA141">_xll.BDP(B141, "TYPE_OF_BOND")</f>
        <v>#N/A Field Not Applicable</v>
      </c>
    </row>
    <row r="142" spans="1:27" x14ac:dyDescent="0.25">
      <c r="A142">
        <v>140</v>
      </c>
      <c r="B142" t="s">
        <v>379</v>
      </c>
      <c r="C142" s="4" t="s">
        <v>376</v>
      </c>
      <c r="D142" s="4">
        <v>505000000</v>
      </c>
      <c r="E142" t="s">
        <v>33</v>
      </c>
      <c r="F142" s="1">
        <v>48708</v>
      </c>
      <c r="G142">
        <v>8.6495999999999995</v>
      </c>
      <c r="H142" t="s">
        <v>13</v>
      </c>
      <c r="I142" t="s">
        <v>2635</v>
      </c>
      <c r="J142">
        <v>500</v>
      </c>
      <c r="L142" t="s">
        <v>1168</v>
      </c>
      <c r="M142" t="s">
        <v>10</v>
      </c>
      <c r="N142" t="s">
        <v>15</v>
      </c>
      <c r="O142" t="s">
        <v>3110</v>
      </c>
      <c r="P142" t="s">
        <v>2637</v>
      </c>
      <c r="Q142" t="s">
        <v>3111</v>
      </c>
      <c r="R142" t="s">
        <v>380</v>
      </c>
      <c r="S142">
        <v>2000000</v>
      </c>
      <c r="T142">
        <v>2</v>
      </c>
      <c r="V142" t="s">
        <v>227</v>
      </c>
      <c r="W142" t="s">
        <v>378</v>
      </c>
      <c r="X142" t="str">
        <f t="shared" si="2"/>
        <v>BL480631@TRAC Corp</v>
      </c>
      <c r="Y142" t="str">
        <f>_xlfn.IFNA(_xll.BDP(X142,"INTERVAL_SUM", "MARKET_DATA_OVERRIDE=px_volume", "CALC_INTERVAL=5D"), "")</f>
        <v>#N/A N/A</v>
      </c>
      <c r="Z142" t="str" cm="1">
        <f t="array" ref="Z142">_xll.BDP(B142, "CF_ACT_CASH_PAID_FOR_INT_DEBT")</f>
        <v>#N/A N/A</v>
      </c>
      <c r="AA142" t="str" cm="1">
        <f t="array" ref="AA142">_xll.BDP(B142, "TYPE_OF_BOND")</f>
        <v>#N/A Field Not Applicable</v>
      </c>
    </row>
    <row r="143" spans="1:27" x14ac:dyDescent="0.25">
      <c r="A143">
        <v>141</v>
      </c>
      <c r="B143" t="s">
        <v>400</v>
      </c>
      <c r="C143" s="4" t="s">
        <v>397</v>
      </c>
      <c r="D143" s="4">
        <v>2500000000</v>
      </c>
      <c r="E143" t="s">
        <v>33</v>
      </c>
      <c r="F143" s="1">
        <v>47273</v>
      </c>
      <c r="G143">
        <v>12.664099999999999</v>
      </c>
      <c r="H143" t="s">
        <v>13</v>
      </c>
      <c r="I143" t="s">
        <v>2631</v>
      </c>
      <c r="J143">
        <v>900</v>
      </c>
      <c r="L143" t="s">
        <v>1168</v>
      </c>
      <c r="M143" t="s">
        <v>10</v>
      </c>
      <c r="N143" t="s">
        <v>15</v>
      </c>
      <c r="O143" t="s">
        <v>3110</v>
      </c>
      <c r="P143" t="s">
        <v>2646</v>
      </c>
      <c r="Q143" t="s">
        <v>3128</v>
      </c>
      <c r="R143" t="s">
        <v>398</v>
      </c>
      <c r="V143" t="s">
        <v>227</v>
      </c>
      <c r="W143" t="s">
        <v>399</v>
      </c>
      <c r="X143" t="str">
        <f t="shared" si="2"/>
        <v>BL362738@TRAC Corp</v>
      </c>
      <c r="Y143" t="str">
        <f>_xlfn.IFNA(_xll.BDP(X143,"INTERVAL_SUM", "MARKET_DATA_OVERRIDE=px_volume", "CALC_INTERVAL=5D"), "")</f>
        <v>#N/A N/A</v>
      </c>
      <c r="Z143" t="str" cm="1">
        <f t="array" ref="Z143">_xll.BDP(B143, "CF_ACT_CASH_PAID_FOR_INT_DEBT")</f>
        <v>#N/A N/A</v>
      </c>
      <c r="AA143" t="str" cm="1">
        <f t="array" ref="AA143">_xll.BDP(B143, "TYPE_OF_BOND")</f>
        <v>#N/A Field Not Applicable</v>
      </c>
    </row>
    <row r="144" spans="1:27" x14ac:dyDescent="0.25">
      <c r="A144">
        <v>142</v>
      </c>
      <c r="B144" t="s">
        <v>401</v>
      </c>
      <c r="C144" s="4" t="s">
        <v>397</v>
      </c>
      <c r="D144" s="4">
        <v>285000000</v>
      </c>
      <c r="E144" t="s">
        <v>11</v>
      </c>
      <c r="F144" s="1">
        <v>46909</v>
      </c>
      <c r="G144">
        <v>8.9808000000000003</v>
      </c>
      <c r="H144" t="s">
        <v>13</v>
      </c>
      <c r="I144" t="s">
        <v>2647</v>
      </c>
      <c r="J144">
        <v>525</v>
      </c>
      <c r="L144" t="s">
        <v>1177</v>
      </c>
      <c r="M144" t="s">
        <v>10</v>
      </c>
      <c r="N144" t="s">
        <v>15</v>
      </c>
      <c r="O144" t="s">
        <v>3110</v>
      </c>
      <c r="P144" t="s">
        <v>2637</v>
      </c>
      <c r="Q144" t="s">
        <v>3111</v>
      </c>
      <c r="R144" t="s">
        <v>402</v>
      </c>
      <c r="S144">
        <v>5000000</v>
      </c>
      <c r="T144">
        <v>15</v>
      </c>
      <c r="V144" t="s">
        <v>227</v>
      </c>
      <c r="W144" t="s">
        <v>399</v>
      </c>
      <c r="X144" t="str">
        <f t="shared" si="2"/>
        <v>BL362614@TRAC Corp</v>
      </c>
      <c r="Y144" t="str">
        <f>_xlfn.IFNA(_xll.BDP(X144,"INTERVAL_SUM", "MARKET_DATA_OVERRIDE=px_volume", "CALC_INTERVAL=5D"), "")</f>
        <v>#N/A N/A</v>
      </c>
      <c r="Z144" t="str" cm="1">
        <f t="array" ref="Z144">_xll.BDP(B144, "CF_ACT_CASH_PAID_FOR_INT_DEBT")</f>
        <v>#N/A N/A</v>
      </c>
      <c r="AA144" t="str" cm="1">
        <f t="array" ref="AA144">_xll.BDP(B144, "TYPE_OF_BOND")</f>
        <v>#N/A Field Not Applicable</v>
      </c>
    </row>
    <row r="145" spans="1:27" x14ac:dyDescent="0.25">
      <c r="A145">
        <v>143</v>
      </c>
      <c r="B145" t="s">
        <v>403</v>
      </c>
      <c r="C145" s="4" t="s">
        <v>397</v>
      </c>
      <c r="D145" s="4">
        <v>1140000000</v>
      </c>
      <c r="E145" t="s">
        <v>11</v>
      </c>
      <c r="F145" s="1">
        <v>46909</v>
      </c>
      <c r="G145">
        <v>6.2759999999999998</v>
      </c>
      <c r="H145" t="s">
        <v>13</v>
      </c>
      <c r="I145" t="s">
        <v>2636</v>
      </c>
      <c r="J145">
        <v>400</v>
      </c>
      <c r="L145" t="s">
        <v>1171</v>
      </c>
      <c r="M145" t="s">
        <v>10</v>
      </c>
      <c r="N145" t="s">
        <v>15</v>
      </c>
      <c r="O145" t="s">
        <v>3110</v>
      </c>
      <c r="P145" t="s">
        <v>2637</v>
      </c>
      <c r="Q145" t="s">
        <v>3111</v>
      </c>
      <c r="R145" t="s">
        <v>404</v>
      </c>
      <c r="S145">
        <v>5000000</v>
      </c>
      <c r="T145">
        <v>19</v>
      </c>
      <c r="V145" t="s">
        <v>227</v>
      </c>
      <c r="W145" t="s">
        <v>399</v>
      </c>
      <c r="X145" t="str">
        <f t="shared" si="2"/>
        <v>BL362613@TRAC Corp</v>
      </c>
      <c r="Y145" t="str">
        <f>_xlfn.IFNA(_xll.BDP(X145,"INTERVAL_SUM", "MARKET_DATA_OVERRIDE=px_volume", "CALC_INTERVAL=5D"), "")</f>
        <v>#N/A N/A</v>
      </c>
      <c r="Z145" t="str" cm="1">
        <f t="array" ref="Z145">_xll.BDP(B145, "CF_ACT_CASH_PAID_FOR_INT_DEBT")</f>
        <v>#N/A N/A</v>
      </c>
      <c r="AA145" t="str" cm="1">
        <f t="array" ref="AA145">_xll.BDP(B145, "TYPE_OF_BOND")</f>
        <v>#N/A Field Not Applicable</v>
      </c>
    </row>
    <row r="146" spans="1:27" x14ac:dyDescent="0.25">
      <c r="A146">
        <v>144</v>
      </c>
      <c r="B146" t="s">
        <v>405</v>
      </c>
      <c r="C146" s="4" t="s">
        <v>397</v>
      </c>
      <c r="D146" s="4">
        <v>3211000000</v>
      </c>
      <c r="E146" t="s">
        <v>11</v>
      </c>
      <c r="F146" s="1">
        <v>46909</v>
      </c>
      <c r="G146">
        <v>7.9256000000000002</v>
      </c>
      <c r="H146" t="s">
        <v>13</v>
      </c>
      <c r="I146" t="s">
        <v>2635</v>
      </c>
      <c r="J146">
        <v>400</v>
      </c>
      <c r="L146" t="s">
        <v>1168</v>
      </c>
      <c r="M146" t="s">
        <v>10</v>
      </c>
      <c r="N146" t="s">
        <v>15</v>
      </c>
      <c r="O146" t="s">
        <v>3110</v>
      </c>
      <c r="P146" t="s">
        <v>2637</v>
      </c>
      <c r="Q146" t="s">
        <v>3111</v>
      </c>
      <c r="R146" t="s">
        <v>406</v>
      </c>
      <c r="S146">
        <v>5000000</v>
      </c>
      <c r="T146">
        <v>20</v>
      </c>
      <c r="V146" t="s">
        <v>227</v>
      </c>
      <c r="W146" t="s">
        <v>399</v>
      </c>
      <c r="X146" t="str">
        <f t="shared" si="2"/>
        <v>BL362567@TRAC Corp</v>
      </c>
      <c r="Y146" t="str">
        <f>_xlfn.IFNA(_xll.BDP(X146,"INTERVAL_SUM", "MARKET_DATA_OVERRIDE=px_volume", "CALC_INTERVAL=5D"), "")</f>
        <v>#N/A N/A</v>
      </c>
      <c r="Z146" t="str" cm="1">
        <f t="array" ref="Z146">_xll.BDP(B146, "CF_ACT_CASH_PAID_FOR_INT_DEBT")</f>
        <v>#N/A N/A</v>
      </c>
      <c r="AA146" t="str" cm="1">
        <f t="array" ref="AA146">_xll.BDP(B146, "TYPE_OF_BOND")</f>
        <v>#N/A Field Not Applicable</v>
      </c>
    </row>
    <row r="147" spans="1:27" x14ac:dyDescent="0.25">
      <c r="A147">
        <v>145</v>
      </c>
      <c r="B147" t="s">
        <v>407</v>
      </c>
      <c r="C147" s="4" t="s">
        <v>397</v>
      </c>
      <c r="D147" s="4">
        <v>2975002.02</v>
      </c>
      <c r="E147" t="s">
        <v>331</v>
      </c>
      <c r="F147" s="1"/>
      <c r="G147">
        <v>4</v>
      </c>
      <c r="H147" t="s">
        <v>9</v>
      </c>
      <c r="L147" t="s">
        <v>1168</v>
      </c>
      <c r="M147" t="s">
        <v>10</v>
      </c>
      <c r="N147" t="s">
        <v>15</v>
      </c>
      <c r="O147" t="s">
        <v>3110</v>
      </c>
      <c r="P147" t="s">
        <v>2637</v>
      </c>
      <c r="Q147" t="s">
        <v>3111</v>
      </c>
      <c r="R147" t="s">
        <v>408</v>
      </c>
      <c r="S147">
        <v>28196.9031531531</v>
      </c>
      <c r="T147">
        <v>2</v>
      </c>
      <c r="U147" t="s">
        <v>1178</v>
      </c>
      <c r="W147" t="s">
        <v>399</v>
      </c>
      <c r="X147" t="str">
        <f t="shared" si="2"/>
        <v>EP035230 Pfd</v>
      </c>
      <c r="Y147" t="str">
        <f>_xlfn.IFNA(_xll.BDP(X147,"INTERVAL_SUM", "MARKET_DATA_OVERRIDE=px_volume", "CALC_INTERVAL=5D"), "")</f>
        <v>#N/A N/A</v>
      </c>
      <c r="Z147" cm="1">
        <f t="array" ref="Z147">_xll.BDP(B147, "CF_ACT_CASH_PAID_FOR_INT_DEBT")</f>
        <v>2.3E-2</v>
      </c>
      <c r="AA147" t="str" cm="1">
        <f t="array" ref="AA147">_xll.BDP(B147, "TYPE_OF_BOND")</f>
        <v>#N/A Field Not Applicable</v>
      </c>
    </row>
    <row r="148" spans="1:27" x14ac:dyDescent="0.25">
      <c r="A148">
        <v>146</v>
      </c>
      <c r="B148" t="s">
        <v>409</v>
      </c>
      <c r="C148" s="4" t="s">
        <v>397</v>
      </c>
      <c r="D148" s="4">
        <v>5921672.4000000004</v>
      </c>
      <c r="E148" s="1" t="s">
        <v>331</v>
      </c>
      <c r="F148" s="1"/>
      <c r="G148">
        <v>4</v>
      </c>
      <c r="H148" t="s">
        <v>9</v>
      </c>
      <c r="L148" t="s">
        <v>1168</v>
      </c>
      <c r="M148" t="s">
        <v>10</v>
      </c>
      <c r="N148" t="s">
        <v>15</v>
      </c>
      <c r="O148" t="s">
        <v>3110</v>
      </c>
      <c r="P148" t="s">
        <v>2637</v>
      </c>
      <c r="Q148" t="s">
        <v>3111</v>
      </c>
      <c r="R148" t="s">
        <v>408</v>
      </c>
      <c r="S148">
        <v>225525.87632275099</v>
      </c>
      <c r="T148">
        <v>85</v>
      </c>
      <c r="U148" t="s">
        <v>1179</v>
      </c>
      <c r="W148" t="s">
        <v>399</v>
      </c>
      <c r="X148" t="str">
        <f t="shared" si="2"/>
        <v>EP035226 Pfd</v>
      </c>
      <c r="Y148" t="str">
        <f>_xlfn.IFNA(_xll.BDP(X148,"INTERVAL_SUM", "MARKET_DATA_OVERRIDE=px_volume", "CALC_INTERVAL=5D"), "")</f>
        <v>#N/A N/A</v>
      </c>
      <c r="Z148" cm="1">
        <f t="array" ref="Z148">_xll.BDP(B148, "CF_ACT_CASH_PAID_FOR_INT_DEBT")</f>
        <v>2.3E-2</v>
      </c>
      <c r="AA148" t="str" cm="1">
        <f t="array" ref="AA148">_xll.BDP(B148, "TYPE_OF_BOND")</f>
        <v>#N/A Field Not Applicable</v>
      </c>
    </row>
    <row r="149" spans="1:27" x14ac:dyDescent="0.25">
      <c r="A149">
        <v>147</v>
      </c>
      <c r="B149" t="s">
        <v>410</v>
      </c>
      <c r="C149" s="4" t="s">
        <v>397</v>
      </c>
      <c r="D149" s="4">
        <v>5000001.84</v>
      </c>
      <c r="E149" s="1" t="s">
        <v>331</v>
      </c>
      <c r="F149" s="1"/>
      <c r="G149">
        <v>4</v>
      </c>
      <c r="H149" t="s">
        <v>9</v>
      </c>
      <c r="L149" t="s">
        <v>1168</v>
      </c>
      <c r="M149" t="s">
        <v>10</v>
      </c>
      <c r="N149" t="s">
        <v>15</v>
      </c>
      <c r="O149" t="s">
        <v>3110</v>
      </c>
      <c r="P149" t="s">
        <v>2637</v>
      </c>
      <c r="Q149" t="s">
        <v>3111</v>
      </c>
      <c r="R149" t="s">
        <v>408</v>
      </c>
      <c r="S149">
        <v>216367.46510152199</v>
      </c>
      <c r="T149">
        <v>85</v>
      </c>
      <c r="U149" t="s">
        <v>1180</v>
      </c>
      <c r="W149" t="s">
        <v>399</v>
      </c>
      <c r="X149" t="str">
        <f t="shared" si="2"/>
        <v>EP035221 Pfd</v>
      </c>
      <c r="Y149" t="str">
        <f>_xlfn.IFNA(_xll.BDP(X149,"INTERVAL_SUM", "MARKET_DATA_OVERRIDE=px_volume", "CALC_INTERVAL=5D"), "")</f>
        <v>#N/A N/A</v>
      </c>
      <c r="Z149" cm="1">
        <f t="array" ref="Z149">_xll.BDP(B149, "CF_ACT_CASH_PAID_FOR_INT_DEBT")</f>
        <v>2.3E-2</v>
      </c>
      <c r="AA149" t="str" cm="1">
        <f t="array" ref="AA149">_xll.BDP(B149, "TYPE_OF_BOND")</f>
        <v>#N/A Field Not Applicable</v>
      </c>
    </row>
    <row r="150" spans="1:27" x14ac:dyDescent="0.25">
      <c r="A150">
        <v>148</v>
      </c>
      <c r="B150" t="s">
        <v>411</v>
      </c>
      <c r="C150" s="4" t="s">
        <v>397</v>
      </c>
      <c r="D150" s="4">
        <v>5715000</v>
      </c>
      <c r="E150" t="s">
        <v>331</v>
      </c>
      <c r="F150" s="1"/>
      <c r="G150">
        <v>4</v>
      </c>
      <c r="H150" t="s">
        <v>9</v>
      </c>
      <c r="L150" t="s">
        <v>1168</v>
      </c>
      <c r="M150" t="s">
        <v>10</v>
      </c>
      <c r="N150" t="s">
        <v>15</v>
      </c>
      <c r="O150" t="s">
        <v>3110</v>
      </c>
      <c r="P150" t="s">
        <v>2637</v>
      </c>
      <c r="Q150" t="s">
        <v>3111</v>
      </c>
      <c r="R150" t="s">
        <v>408</v>
      </c>
      <c r="S150">
        <v>24117.691929133802</v>
      </c>
      <c r="T150">
        <v>65</v>
      </c>
      <c r="U150" t="s">
        <v>1181</v>
      </c>
      <c r="W150" t="s">
        <v>399</v>
      </c>
      <c r="X150" t="str">
        <f t="shared" si="2"/>
        <v>EP035143 Pfd</v>
      </c>
      <c r="Y150" t="str">
        <f>_xlfn.IFNA(_xll.BDP(X150,"INTERVAL_SUM", "MARKET_DATA_OVERRIDE=px_volume", "CALC_INTERVAL=5D"), "")</f>
        <v>#N/A N/A</v>
      </c>
      <c r="Z150" cm="1">
        <f t="array" ref="Z150">_xll.BDP(B150, "CF_ACT_CASH_PAID_FOR_INT_DEBT")</f>
        <v>2.3E-2</v>
      </c>
      <c r="AA150" t="str" cm="1">
        <f t="array" ref="AA150">_xll.BDP(B150, "TYPE_OF_BOND")</f>
        <v>#N/A Field Not Applicable</v>
      </c>
    </row>
    <row r="151" spans="1:27" x14ac:dyDescent="0.25">
      <c r="A151">
        <v>149</v>
      </c>
      <c r="B151" t="s">
        <v>1033</v>
      </c>
      <c r="C151" s="4" t="s">
        <v>1034</v>
      </c>
      <c r="D151" s="4">
        <v>2464000</v>
      </c>
      <c r="E151" t="s">
        <v>11</v>
      </c>
      <c r="F151" s="1">
        <v>46522</v>
      </c>
      <c r="G151">
        <v>5.25</v>
      </c>
      <c r="H151" t="s">
        <v>9</v>
      </c>
      <c r="L151" t="s">
        <v>1168</v>
      </c>
      <c r="M151" t="s">
        <v>10</v>
      </c>
      <c r="N151" t="s">
        <v>537</v>
      </c>
      <c r="O151" t="s">
        <v>3129</v>
      </c>
      <c r="P151" t="s">
        <v>2648</v>
      </c>
      <c r="Q151" t="s">
        <v>2648</v>
      </c>
      <c r="R151" t="s">
        <v>1035</v>
      </c>
      <c r="S151">
        <v>-9997</v>
      </c>
      <c r="U151" t="s">
        <v>1169</v>
      </c>
      <c r="W151" t="s">
        <v>1036</v>
      </c>
      <c r="X151" t="str">
        <f t="shared" si="2"/>
        <v>ZQ966000@TRAC Corp</v>
      </c>
      <c r="Y151" t="str">
        <f>_xlfn.IFNA(_xll.BDP(X151,"INTERVAL_SUM", "MARKET_DATA_OVERRIDE=px_volume", "CALC_INTERVAL=5D"), "")</f>
        <v>#N/A N/A</v>
      </c>
      <c r="Z151" cm="1">
        <f t="array" ref="Z151">_xll.BDP(B151, "CF_ACT_CASH_PAID_FOR_INT_DEBT")</f>
        <v>494</v>
      </c>
      <c r="AA151" t="str" cm="1">
        <f t="array" ref="AA151">_xll.BDP(B151, "TYPE_OF_BOND")</f>
        <v>#N/A Field Not Applicable</v>
      </c>
    </row>
    <row r="152" spans="1:27" x14ac:dyDescent="0.25">
      <c r="A152">
        <v>150</v>
      </c>
      <c r="B152" t="s">
        <v>1037</v>
      </c>
      <c r="C152" s="4" t="s">
        <v>1034</v>
      </c>
      <c r="D152" s="4">
        <v>183000000</v>
      </c>
      <c r="E152" t="s">
        <v>17</v>
      </c>
      <c r="F152" s="1">
        <v>46798</v>
      </c>
      <c r="G152">
        <v>5.75</v>
      </c>
      <c r="H152" t="s">
        <v>9</v>
      </c>
      <c r="L152" t="s">
        <v>1168</v>
      </c>
      <c r="M152" t="s">
        <v>10</v>
      </c>
      <c r="N152" t="s">
        <v>313</v>
      </c>
      <c r="O152" t="s">
        <v>3130</v>
      </c>
      <c r="P152" t="s">
        <v>2649</v>
      </c>
      <c r="Q152" t="s">
        <v>3131</v>
      </c>
      <c r="R152" t="s">
        <v>1038</v>
      </c>
      <c r="S152">
        <v>11993044.2435937</v>
      </c>
      <c r="T152">
        <v>46</v>
      </c>
      <c r="U152" t="s">
        <v>1169</v>
      </c>
      <c r="W152" t="s">
        <v>1036</v>
      </c>
      <c r="X152" t="str">
        <f t="shared" si="2"/>
        <v>ZP332848@TRAC Corp</v>
      </c>
      <c r="Y152">
        <f>_xlfn.IFNA(_xll.BDP(X152,"INTERVAL_SUM", "MARKET_DATA_OVERRIDE=px_volume", "CALC_INTERVAL=5D"), "")</f>
        <v>10</v>
      </c>
      <c r="Z152" cm="1">
        <f t="array" ref="Z152">_xll.BDP(B152, "CF_ACT_CASH_PAID_FOR_INT_DEBT")</f>
        <v>142</v>
      </c>
      <c r="AA152" t="str" cm="1">
        <f t="array" ref="AA152">_xll.BDP(B152, "TYPE_OF_BOND")</f>
        <v>#N/A Field Not Applicable</v>
      </c>
    </row>
    <row r="153" spans="1:27" x14ac:dyDescent="0.25">
      <c r="A153">
        <v>151</v>
      </c>
      <c r="B153" t="s">
        <v>1039</v>
      </c>
      <c r="C153" s="4" t="s">
        <v>1034</v>
      </c>
      <c r="D153" s="4">
        <v>3578000</v>
      </c>
      <c r="E153" t="s">
        <v>11</v>
      </c>
      <c r="F153" s="1">
        <v>47133</v>
      </c>
      <c r="G153">
        <v>9.75</v>
      </c>
      <c r="H153" t="s">
        <v>9</v>
      </c>
      <c r="L153" t="s">
        <v>1168</v>
      </c>
      <c r="M153" t="s">
        <v>10</v>
      </c>
      <c r="N153" t="s">
        <v>537</v>
      </c>
      <c r="O153" t="s">
        <v>3129</v>
      </c>
      <c r="P153" t="s">
        <v>2648</v>
      </c>
      <c r="Q153" t="s">
        <v>2648</v>
      </c>
      <c r="R153" t="s">
        <v>1040</v>
      </c>
      <c r="S153">
        <v>-9997</v>
      </c>
      <c r="U153" t="s">
        <v>1169</v>
      </c>
      <c r="W153" t="s">
        <v>1036</v>
      </c>
      <c r="X153" t="str">
        <f t="shared" si="2"/>
        <v>ZG724986@TRAC Corp</v>
      </c>
      <c r="Y153">
        <f>_xlfn.IFNA(_xll.BDP(X153,"INTERVAL_SUM", "MARKET_DATA_OVERRIDE=px_volume", "CALC_INTERVAL=5D"), "")</f>
        <v>1000</v>
      </c>
      <c r="Z153" cm="1">
        <f t="array" ref="Z153">_xll.BDP(B153, "CF_ACT_CASH_PAID_FOR_INT_DEBT")</f>
        <v>494</v>
      </c>
      <c r="AA153" t="str" cm="1">
        <f t="array" ref="AA153">_xll.BDP(B153, "TYPE_OF_BOND")</f>
        <v>#N/A Field Not Applicable</v>
      </c>
    </row>
    <row r="154" spans="1:27" x14ac:dyDescent="0.25">
      <c r="A154">
        <v>152</v>
      </c>
      <c r="B154" t="s">
        <v>1041</v>
      </c>
      <c r="C154" s="4" t="s">
        <v>1034</v>
      </c>
      <c r="D154" s="4">
        <v>949000</v>
      </c>
      <c r="E154" t="s">
        <v>11</v>
      </c>
      <c r="F154" s="1">
        <v>47649</v>
      </c>
      <c r="G154">
        <v>9</v>
      </c>
      <c r="H154" t="s">
        <v>9</v>
      </c>
      <c r="L154" t="s">
        <v>1168</v>
      </c>
      <c r="M154" t="s">
        <v>10</v>
      </c>
      <c r="N154" t="s">
        <v>537</v>
      </c>
      <c r="O154" t="s">
        <v>3129</v>
      </c>
      <c r="P154" t="s">
        <v>2648</v>
      </c>
      <c r="Q154" t="s">
        <v>2648</v>
      </c>
      <c r="R154" t="s">
        <v>1042</v>
      </c>
      <c r="S154">
        <v>-9997</v>
      </c>
      <c r="U154" t="s">
        <v>1169</v>
      </c>
      <c r="W154" t="s">
        <v>1036</v>
      </c>
      <c r="X154" t="str">
        <f t="shared" si="2"/>
        <v>YX076979@TRAC Corp</v>
      </c>
      <c r="Y154" t="str">
        <f>_xlfn.IFNA(_xll.BDP(X154,"INTERVAL_SUM", "MARKET_DATA_OVERRIDE=px_volume", "CALC_INTERVAL=5D"), "")</f>
        <v>#N/A N/A</v>
      </c>
      <c r="Z154" cm="1">
        <f t="array" ref="Z154">_xll.BDP(B154, "CF_ACT_CASH_PAID_FOR_INT_DEBT")</f>
        <v>494</v>
      </c>
      <c r="AA154" t="str" cm="1">
        <f t="array" ref="AA154">_xll.BDP(B154, "TYPE_OF_BOND")</f>
        <v>#N/A Field Not Applicable</v>
      </c>
    </row>
    <row r="155" spans="1:27" x14ac:dyDescent="0.25">
      <c r="A155">
        <v>153</v>
      </c>
      <c r="B155" t="s">
        <v>1043</v>
      </c>
      <c r="C155" s="4" t="s">
        <v>1034</v>
      </c>
      <c r="D155" s="4">
        <v>749051000</v>
      </c>
      <c r="E155" t="s">
        <v>11</v>
      </c>
      <c r="F155" s="1">
        <v>47649</v>
      </c>
      <c r="G155">
        <v>9</v>
      </c>
      <c r="H155" t="s">
        <v>9</v>
      </c>
      <c r="L155" t="s">
        <v>1168</v>
      </c>
      <c r="M155" t="s">
        <v>10</v>
      </c>
      <c r="N155" t="s">
        <v>537</v>
      </c>
      <c r="O155" t="s">
        <v>3129</v>
      </c>
      <c r="P155" t="s">
        <v>2648</v>
      </c>
      <c r="Q155" t="s">
        <v>2648</v>
      </c>
      <c r="R155" t="s">
        <v>1042</v>
      </c>
      <c r="S155">
        <v>8507949.9175118096</v>
      </c>
      <c r="T155">
        <v>51</v>
      </c>
      <c r="W155" t="s">
        <v>1036</v>
      </c>
      <c r="X155" t="str">
        <f t="shared" si="2"/>
        <v>YV615842@TRAC Corp</v>
      </c>
      <c r="Y155">
        <f>_xlfn.IFNA(_xll.BDP(X155,"INTERVAL_SUM", "MARKET_DATA_OVERRIDE=px_volume", "CALC_INTERVAL=5D"), "")</f>
        <v>7943</v>
      </c>
      <c r="Z155" cm="1">
        <f t="array" ref="Z155">_xll.BDP(B155, "CF_ACT_CASH_PAID_FOR_INT_DEBT")</f>
        <v>494</v>
      </c>
      <c r="AA155" t="str" cm="1">
        <f t="array" ref="AA155">_xll.BDP(B155, "TYPE_OF_BOND")</f>
        <v>#N/A Field Not Applicable</v>
      </c>
    </row>
    <row r="156" spans="1:27" x14ac:dyDescent="0.25">
      <c r="A156">
        <v>154</v>
      </c>
      <c r="B156" t="s">
        <v>1044</v>
      </c>
      <c r="C156" s="4" t="s">
        <v>1034</v>
      </c>
      <c r="D156" s="4">
        <v>696422000</v>
      </c>
      <c r="E156" t="s">
        <v>11</v>
      </c>
      <c r="F156" s="1">
        <v>47133</v>
      </c>
      <c r="G156">
        <v>9.75</v>
      </c>
      <c r="H156" t="s">
        <v>9</v>
      </c>
      <c r="L156" t="s">
        <v>1168</v>
      </c>
      <c r="M156" t="s">
        <v>10</v>
      </c>
      <c r="N156" t="s">
        <v>537</v>
      </c>
      <c r="O156" t="s">
        <v>3129</v>
      </c>
      <c r="P156" t="s">
        <v>2648</v>
      </c>
      <c r="Q156" t="s">
        <v>2648</v>
      </c>
      <c r="R156" t="s">
        <v>1040</v>
      </c>
      <c r="S156">
        <v>12770592.1613768</v>
      </c>
      <c r="T156">
        <v>50</v>
      </c>
      <c r="W156" t="s">
        <v>1036</v>
      </c>
      <c r="X156" t="str">
        <f t="shared" si="2"/>
        <v>YV615837@TRAC Corp</v>
      </c>
      <c r="Y156">
        <f>_xlfn.IFNA(_xll.BDP(X156,"INTERVAL_SUM", "MARKET_DATA_OVERRIDE=px_volume", "CALC_INTERVAL=5D"), "")</f>
        <v>10146</v>
      </c>
      <c r="Z156" cm="1">
        <f t="array" ref="Z156">_xll.BDP(B156, "CF_ACT_CASH_PAID_FOR_INT_DEBT")</f>
        <v>494</v>
      </c>
      <c r="AA156" t="str" cm="1">
        <f t="array" ref="AA156">_xll.BDP(B156, "TYPE_OF_BOND")</f>
        <v>#N/A Field Not Applicable</v>
      </c>
    </row>
    <row r="157" spans="1:27" x14ac:dyDescent="0.25">
      <c r="A157">
        <v>155</v>
      </c>
      <c r="B157" t="s">
        <v>1045</v>
      </c>
      <c r="C157" s="4" t="s">
        <v>1034</v>
      </c>
      <c r="D157" s="4">
        <v>1000000000</v>
      </c>
      <c r="E157" s="1" t="s">
        <v>12</v>
      </c>
      <c r="F157" s="1">
        <v>47437</v>
      </c>
      <c r="G157">
        <v>10</v>
      </c>
      <c r="H157" t="s">
        <v>9</v>
      </c>
      <c r="L157" t="s">
        <v>1168</v>
      </c>
      <c r="M157" t="s">
        <v>10</v>
      </c>
      <c r="N157" t="s">
        <v>537</v>
      </c>
      <c r="O157" t="s">
        <v>3129</v>
      </c>
      <c r="P157" t="s">
        <v>2648</v>
      </c>
      <c r="Q157" t="s">
        <v>2648</v>
      </c>
      <c r="R157" t="s">
        <v>1046</v>
      </c>
      <c r="S157">
        <v>14609511.106163301</v>
      </c>
      <c r="T157">
        <v>44</v>
      </c>
      <c r="U157" t="s">
        <v>1169</v>
      </c>
      <c r="W157" t="s">
        <v>1036</v>
      </c>
      <c r="X157" t="str">
        <f t="shared" si="2"/>
        <v>YT233207@TRAC Corp</v>
      </c>
      <c r="Y157">
        <f>_xlfn.IFNA(_xll.BDP(X157,"INTERVAL_SUM", "MARKET_DATA_OVERRIDE=px_volume", "CALC_INTERVAL=5D"), "")</f>
        <v>13978</v>
      </c>
      <c r="Z157" cm="1">
        <f t="array" ref="Z157">_xll.BDP(B157, "CF_ACT_CASH_PAID_FOR_INT_DEBT")</f>
        <v>494</v>
      </c>
      <c r="AA157" t="str" cm="1">
        <f t="array" ref="AA157">_xll.BDP(B157, "TYPE_OF_BOND")</f>
        <v>#N/A Field Not Applicable</v>
      </c>
    </row>
    <row r="158" spans="1:27" x14ac:dyDescent="0.25">
      <c r="A158">
        <v>156</v>
      </c>
      <c r="B158" t="s">
        <v>1047</v>
      </c>
      <c r="C158" s="4" t="s">
        <v>1034</v>
      </c>
      <c r="D158" s="4">
        <v>400000000</v>
      </c>
      <c r="E158" s="1" t="s">
        <v>17</v>
      </c>
      <c r="F158" s="1">
        <v>48990</v>
      </c>
      <c r="G158">
        <v>7.875</v>
      </c>
      <c r="H158" t="s">
        <v>9</v>
      </c>
      <c r="L158" t="s">
        <v>1168</v>
      </c>
      <c r="M158" t="s">
        <v>10</v>
      </c>
      <c r="N158" t="s">
        <v>313</v>
      </c>
      <c r="O158" t="s">
        <v>3130</v>
      </c>
      <c r="P158" t="s">
        <v>2649</v>
      </c>
      <c r="Q158" t="s">
        <v>3131</v>
      </c>
      <c r="R158" t="s">
        <v>1048</v>
      </c>
      <c r="S158">
        <v>8838040.2318182904</v>
      </c>
      <c r="T158">
        <v>33</v>
      </c>
      <c r="U158" t="s">
        <v>1169</v>
      </c>
      <c r="W158" t="s">
        <v>1036</v>
      </c>
      <c r="X158" t="str">
        <f t="shared" si="2"/>
        <v>YI544487@TRAC Corp</v>
      </c>
      <c r="Y158">
        <f>_xlfn.IFNA(_xll.BDP(X158,"INTERVAL_SUM", "MARKET_DATA_OVERRIDE=px_volume", "CALC_INTERVAL=5D"), "")</f>
        <v>14815</v>
      </c>
      <c r="Z158" cm="1">
        <f t="array" ref="Z158">_xll.BDP(B158, "CF_ACT_CASH_PAID_FOR_INT_DEBT")</f>
        <v>142</v>
      </c>
      <c r="AA158" t="str" cm="1">
        <f t="array" ref="AA158">_xll.BDP(B158, "TYPE_OF_BOND")</f>
        <v>#N/A Field Not Applicable</v>
      </c>
    </row>
    <row r="159" spans="1:27" x14ac:dyDescent="0.25">
      <c r="A159">
        <v>157</v>
      </c>
      <c r="B159" t="s">
        <v>1049</v>
      </c>
      <c r="C159" s="4" t="s">
        <v>1034</v>
      </c>
      <c r="D159" s="4">
        <v>600000000</v>
      </c>
      <c r="E159" s="1" t="s">
        <v>17</v>
      </c>
      <c r="F159" s="1">
        <v>47894</v>
      </c>
      <c r="G159">
        <v>7.5</v>
      </c>
      <c r="H159" t="s">
        <v>9</v>
      </c>
      <c r="L159" t="s">
        <v>1168</v>
      </c>
      <c r="M159" t="s">
        <v>10</v>
      </c>
      <c r="N159" t="s">
        <v>313</v>
      </c>
      <c r="O159" t="s">
        <v>3130</v>
      </c>
      <c r="P159" t="s">
        <v>2649</v>
      </c>
      <c r="Q159" t="s">
        <v>3131</v>
      </c>
      <c r="R159" t="s">
        <v>1050</v>
      </c>
      <c r="S159">
        <v>10479308.607369799</v>
      </c>
      <c r="T159">
        <v>40</v>
      </c>
      <c r="U159" t="s">
        <v>1169</v>
      </c>
      <c r="W159" t="s">
        <v>1036</v>
      </c>
      <c r="X159" t="str">
        <f t="shared" si="2"/>
        <v>YI544479@TRAC Corp</v>
      </c>
      <c r="Y159">
        <f>_xlfn.IFNA(_xll.BDP(X159,"INTERVAL_SUM", "MARKET_DATA_OVERRIDE=px_volume", "CALC_INTERVAL=5D"), "")</f>
        <v>22506</v>
      </c>
      <c r="Z159" cm="1">
        <f t="array" ref="Z159">_xll.BDP(B159, "CF_ACT_CASH_PAID_FOR_INT_DEBT")</f>
        <v>142</v>
      </c>
      <c r="AA159" t="str" cm="1">
        <f t="array" ref="AA159">_xll.BDP(B159, "TYPE_OF_BOND")</f>
        <v>#N/A Field Not Applicable</v>
      </c>
    </row>
    <row r="160" spans="1:27" x14ac:dyDescent="0.25">
      <c r="A160">
        <v>158</v>
      </c>
      <c r="B160" t="s">
        <v>1051</v>
      </c>
      <c r="C160" s="4" t="s">
        <v>1034</v>
      </c>
      <c r="D160" s="4">
        <v>181426000</v>
      </c>
      <c r="E160" s="1" t="s">
        <v>17</v>
      </c>
      <c r="F160" s="1">
        <v>43952</v>
      </c>
      <c r="G160">
        <v>4.5</v>
      </c>
      <c r="H160" t="s">
        <v>34</v>
      </c>
      <c r="L160" t="s">
        <v>1168</v>
      </c>
      <c r="M160" t="s">
        <v>10</v>
      </c>
      <c r="N160" t="s">
        <v>14</v>
      </c>
      <c r="O160" t="s">
        <v>2650</v>
      </c>
      <c r="P160" t="s">
        <v>2650</v>
      </c>
      <c r="Q160" t="s">
        <v>3132</v>
      </c>
      <c r="R160" t="s">
        <v>1052</v>
      </c>
      <c r="S160">
        <v>-9997</v>
      </c>
      <c r="W160" t="s">
        <v>1036</v>
      </c>
      <c r="X160" t="str">
        <f t="shared" si="2"/>
        <v>EJ680021@TRAC Corp</v>
      </c>
      <c r="Y160" t="str">
        <f>_xlfn.IFNA(_xll.BDP(X160,"INTERVAL_SUM", "MARKET_DATA_OVERRIDE=px_volume", "CALC_INTERVAL=5D"), "")</f>
        <v>#N/A N/A</v>
      </c>
      <c r="Z160" cm="1">
        <f t="array" ref="Z160">_xll.BDP(B160, "CF_ACT_CASH_PAID_FOR_INT_DEBT")</f>
        <v>494</v>
      </c>
      <c r="AA160" t="str" cm="1">
        <f t="array" ref="AA160">_xll.BDP(B160, "TYPE_OF_BOND")</f>
        <v>Convertible</v>
      </c>
    </row>
    <row r="161" spans="1:27" x14ac:dyDescent="0.25">
      <c r="A161">
        <v>159</v>
      </c>
      <c r="B161" t="s">
        <v>1053</v>
      </c>
      <c r="C161" s="4" t="s">
        <v>1034</v>
      </c>
      <c r="D161" s="4">
        <v>657830000</v>
      </c>
      <c r="E161" s="1" t="s">
        <v>11</v>
      </c>
      <c r="F161" s="1">
        <v>47150</v>
      </c>
      <c r="G161">
        <v>4.375</v>
      </c>
      <c r="H161" t="s">
        <v>9</v>
      </c>
      <c r="L161" t="s">
        <v>1168</v>
      </c>
      <c r="M161" t="s">
        <v>10</v>
      </c>
      <c r="N161" t="s">
        <v>537</v>
      </c>
      <c r="O161" t="s">
        <v>3129</v>
      </c>
      <c r="P161" t="s">
        <v>2648</v>
      </c>
      <c r="Q161" t="s">
        <v>2648</v>
      </c>
      <c r="R161" t="s">
        <v>1054</v>
      </c>
      <c r="S161">
        <v>10877769.851913201</v>
      </c>
      <c r="T161">
        <v>35</v>
      </c>
      <c r="W161" t="s">
        <v>1036</v>
      </c>
      <c r="X161" t="str">
        <f t="shared" si="2"/>
        <v>BP951342@TRAC Corp</v>
      </c>
      <c r="Y161">
        <f>_xlfn.IFNA(_xll.BDP(X161,"INTERVAL_SUM", "MARKET_DATA_OVERRIDE=px_volume", "CALC_INTERVAL=5D"), "")</f>
        <v>12516</v>
      </c>
      <c r="Z161" cm="1">
        <f t="array" ref="Z161">_xll.BDP(B161, "CF_ACT_CASH_PAID_FOR_INT_DEBT")</f>
        <v>494</v>
      </c>
      <c r="AA161" t="str" cm="1">
        <f t="array" ref="AA161">_xll.BDP(B161, "TYPE_OF_BOND")</f>
        <v>#N/A Field Not Applicable</v>
      </c>
    </row>
    <row r="162" spans="1:27" x14ac:dyDescent="0.25">
      <c r="A162">
        <v>160</v>
      </c>
      <c r="B162" t="s">
        <v>1055</v>
      </c>
      <c r="C162" s="4" t="s">
        <v>1034</v>
      </c>
      <c r="D162" s="4">
        <v>220000</v>
      </c>
      <c r="E162" s="1" t="s">
        <v>11</v>
      </c>
      <c r="F162" s="1">
        <v>47150</v>
      </c>
      <c r="G162">
        <v>4.375</v>
      </c>
      <c r="H162" t="s">
        <v>9</v>
      </c>
      <c r="L162" t="s">
        <v>1168</v>
      </c>
      <c r="M162" t="s">
        <v>10</v>
      </c>
      <c r="N162" t="s">
        <v>537</v>
      </c>
      <c r="O162" t="s">
        <v>3129</v>
      </c>
      <c r="P162" t="s">
        <v>2648</v>
      </c>
      <c r="Q162" t="s">
        <v>2648</v>
      </c>
      <c r="R162" t="s">
        <v>1054</v>
      </c>
      <c r="S162">
        <v>-9997</v>
      </c>
      <c r="U162" t="s">
        <v>1169</v>
      </c>
      <c r="W162" t="s">
        <v>1036</v>
      </c>
      <c r="X162" t="str">
        <f t="shared" si="2"/>
        <v>BN303176@TRAC Corp</v>
      </c>
      <c r="Y162" t="str">
        <f>_xlfn.IFNA(_xll.BDP(X162,"INTERVAL_SUM", "MARKET_DATA_OVERRIDE=px_volume", "CALC_INTERVAL=5D"), "")</f>
        <v>#N/A N/A</v>
      </c>
      <c r="Z162" cm="1">
        <f t="array" ref="Z162">_xll.BDP(B162, "CF_ACT_CASH_PAID_FOR_INT_DEBT")</f>
        <v>494</v>
      </c>
      <c r="AA162" t="str" cm="1">
        <f t="array" ref="AA162">_xll.BDP(B162, "TYPE_OF_BOND")</f>
        <v>#N/A Field Not Applicable</v>
      </c>
    </row>
    <row r="163" spans="1:27" x14ac:dyDescent="0.25">
      <c r="A163">
        <v>161</v>
      </c>
      <c r="B163" t="s">
        <v>1056</v>
      </c>
      <c r="C163" s="4" t="s">
        <v>1034</v>
      </c>
      <c r="D163" s="4">
        <v>1451346000</v>
      </c>
      <c r="E163" s="1" t="s">
        <v>11</v>
      </c>
      <c r="F163" s="1">
        <v>46522</v>
      </c>
      <c r="G163">
        <v>5.25</v>
      </c>
      <c r="H163" t="s">
        <v>9</v>
      </c>
      <c r="L163" t="s">
        <v>1168</v>
      </c>
      <c r="M163" t="s">
        <v>10</v>
      </c>
      <c r="N163" t="s">
        <v>537</v>
      </c>
      <c r="O163" t="s">
        <v>3129</v>
      </c>
      <c r="P163" t="s">
        <v>2648</v>
      </c>
      <c r="Q163" t="s">
        <v>2648</v>
      </c>
      <c r="R163" t="s">
        <v>1035</v>
      </c>
      <c r="S163">
        <v>13401274.373235</v>
      </c>
      <c r="T163">
        <v>60</v>
      </c>
      <c r="W163" t="s">
        <v>1036</v>
      </c>
      <c r="X163" t="str">
        <f t="shared" si="2"/>
        <v>BG089824@TRAC Corp</v>
      </c>
      <c r="Y163">
        <f>_xlfn.IFNA(_xll.BDP(X163,"INTERVAL_SUM", "MARKET_DATA_OVERRIDE=px_volume", "CALC_INTERVAL=5D"), "")</f>
        <v>9643</v>
      </c>
      <c r="Z163" cm="1">
        <f t="array" ref="Z163">_xll.BDP(B163, "CF_ACT_CASH_PAID_FOR_INT_DEBT")</f>
        <v>494</v>
      </c>
      <c r="AA163" t="str" cm="1">
        <f t="array" ref="AA163">_xll.BDP(B163, "TYPE_OF_BOND")</f>
        <v>#N/A Field Not Applicable</v>
      </c>
    </row>
    <row r="164" spans="1:27" x14ac:dyDescent="0.25">
      <c r="A164">
        <v>162</v>
      </c>
      <c r="B164" t="s">
        <v>29</v>
      </c>
      <c r="C164" s="4" t="s">
        <v>18</v>
      </c>
      <c r="D164" s="4">
        <v>336635000</v>
      </c>
      <c r="E164" s="1" t="s">
        <v>17</v>
      </c>
      <c r="F164" s="1">
        <v>47268</v>
      </c>
      <c r="G164">
        <v>7.25</v>
      </c>
      <c r="H164" t="s">
        <v>9</v>
      </c>
      <c r="L164" t="s">
        <v>1168</v>
      </c>
      <c r="M164" t="s">
        <v>19</v>
      </c>
      <c r="N164" t="s">
        <v>14</v>
      </c>
      <c r="O164" t="s">
        <v>2650</v>
      </c>
      <c r="P164" t="s">
        <v>2650</v>
      </c>
      <c r="Q164" t="s">
        <v>3132</v>
      </c>
      <c r="R164" t="s">
        <v>30</v>
      </c>
      <c r="S164">
        <v>1995006.32513953</v>
      </c>
      <c r="T164">
        <v>16</v>
      </c>
      <c r="U164" t="s">
        <v>1169</v>
      </c>
      <c r="W164" t="s">
        <v>77</v>
      </c>
      <c r="X164" t="str">
        <f t="shared" si="2"/>
        <v>ZS571082@TRAC Corp</v>
      </c>
      <c r="Y164">
        <f>_xlfn.IFNA(_xll.BDP(X164,"INTERVAL_SUM", "MARKET_DATA_OVERRIDE=px_volume", "CALC_INTERVAL=5D"), "")</f>
        <v>1176</v>
      </c>
      <c r="Z164" cm="1">
        <f t="array" ref="Z164">_xll.BDP(B164, "CF_ACT_CASH_PAID_FOR_INT_DEBT")</f>
        <v>1810</v>
      </c>
      <c r="AA164" t="str" cm="1">
        <f t="array" ref="AA164">_xll.BDP(B164, "TYPE_OF_BOND")</f>
        <v>#N/A Field Not Applicable</v>
      </c>
    </row>
    <row r="165" spans="1:27" x14ac:dyDescent="0.25">
      <c r="A165">
        <v>163</v>
      </c>
      <c r="B165" t="s">
        <v>135</v>
      </c>
      <c r="C165" s="4" t="s">
        <v>18</v>
      </c>
      <c r="D165" s="4">
        <v>171736500</v>
      </c>
      <c r="E165" s="1" t="s">
        <v>17</v>
      </c>
      <c r="F165" s="1">
        <v>46767</v>
      </c>
      <c r="G165">
        <v>7</v>
      </c>
      <c r="H165" t="s">
        <v>9</v>
      </c>
      <c r="L165" t="s">
        <v>1168</v>
      </c>
      <c r="M165" t="s">
        <v>19</v>
      </c>
      <c r="N165" t="s">
        <v>14</v>
      </c>
      <c r="O165" t="s">
        <v>2650</v>
      </c>
      <c r="P165" t="s">
        <v>2650</v>
      </c>
      <c r="Q165" t="s">
        <v>3132</v>
      </c>
      <c r="R165" t="s">
        <v>136</v>
      </c>
      <c r="S165">
        <v>2942728.2194541702</v>
      </c>
      <c r="T165">
        <v>25</v>
      </c>
      <c r="U165" t="s">
        <v>1169</v>
      </c>
      <c r="W165" t="s">
        <v>77</v>
      </c>
      <c r="X165" t="str">
        <f t="shared" si="2"/>
        <v>ZS569563@TRAC Corp</v>
      </c>
      <c r="Y165" t="str">
        <f>_xlfn.IFNA(_xll.BDP(X165,"INTERVAL_SUM", "MARKET_DATA_OVERRIDE=px_volume", "CALC_INTERVAL=5D"), "")</f>
        <v>#N/A N/A</v>
      </c>
      <c r="Z165" cm="1">
        <f t="array" ref="Z165">_xll.BDP(B165, "CF_ACT_CASH_PAID_FOR_INT_DEBT")</f>
        <v>1810</v>
      </c>
      <c r="AA165" t="str" cm="1">
        <f t="array" ref="AA165">_xll.BDP(B165, "TYPE_OF_BOND")</f>
        <v>#N/A Field Not Applicable</v>
      </c>
    </row>
    <row r="166" spans="1:27" x14ac:dyDescent="0.25">
      <c r="A166">
        <v>164</v>
      </c>
      <c r="B166" t="s">
        <v>22</v>
      </c>
      <c r="C166" s="4" t="s">
        <v>18</v>
      </c>
      <c r="D166" s="4">
        <v>778684000</v>
      </c>
      <c r="E166" s="1" t="s">
        <v>17</v>
      </c>
      <c r="F166" s="1">
        <v>47513</v>
      </c>
      <c r="G166">
        <v>5.25</v>
      </c>
      <c r="H166" t="s">
        <v>9</v>
      </c>
      <c r="L166" t="s">
        <v>1168</v>
      </c>
      <c r="M166" t="s">
        <v>19</v>
      </c>
      <c r="N166" t="s">
        <v>14</v>
      </c>
      <c r="O166" t="s">
        <v>2650</v>
      </c>
      <c r="P166" t="s">
        <v>2650</v>
      </c>
      <c r="Q166" t="s">
        <v>3132</v>
      </c>
      <c r="R166" t="s">
        <v>23</v>
      </c>
      <c r="S166">
        <v>2811321.3037102502</v>
      </c>
      <c r="T166">
        <v>19</v>
      </c>
      <c r="U166" t="s">
        <v>1169</v>
      </c>
      <c r="W166" t="s">
        <v>77</v>
      </c>
      <c r="X166" t="str">
        <f t="shared" si="2"/>
        <v>ZP111307@TRAC Corp</v>
      </c>
      <c r="Y166">
        <f>_xlfn.IFNA(_xll.BDP(X166,"INTERVAL_SUM", "MARKET_DATA_OVERRIDE=px_volume", "CALC_INTERVAL=5D"), "")</f>
        <v>1061</v>
      </c>
      <c r="Z166" cm="1">
        <f t="array" ref="Z166">_xll.BDP(B166, "CF_ACT_CASH_PAID_FOR_INT_DEBT")</f>
        <v>1810</v>
      </c>
      <c r="AA166" t="str" cm="1">
        <f t="array" ref="AA166">_xll.BDP(B166, "TYPE_OF_BOND")</f>
        <v>#N/A Field Not Applicable</v>
      </c>
    </row>
    <row r="167" spans="1:27" x14ac:dyDescent="0.25">
      <c r="A167">
        <v>165</v>
      </c>
      <c r="B167" t="s">
        <v>20</v>
      </c>
      <c r="C167" s="4" t="s">
        <v>18</v>
      </c>
      <c r="D167" s="4">
        <v>433173000</v>
      </c>
      <c r="E167" s="1" t="s">
        <v>17</v>
      </c>
      <c r="F167" s="1">
        <v>46782</v>
      </c>
      <c r="G167">
        <v>5</v>
      </c>
      <c r="H167" t="s">
        <v>9</v>
      </c>
      <c r="L167" t="s">
        <v>1168</v>
      </c>
      <c r="M167" t="s">
        <v>19</v>
      </c>
      <c r="N167" t="s">
        <v>14</v>
      </c>
      <c r="O167" t="s">
        <v>2650</v>
      </c>
      <c r="P167" t="s">
        <v>2650</v>
      </c>
      <c r="Q167" t="s">
        <v>3132</v>
      </c>
      <c r="R167" t="s">
        <v>21</v>
      </c>
      <c r="S167">
        <v>6840132.4120230395</v>
      </c>
      <c r="T167">
        <v>34</v>
      </c>
      <c r="U167" t="s">
        <v>1169</v>
      </c>
      <c r="W167" t="s">
        <v>77</v>
      </c>
      <c r="X167" t="str">
        <f t="shared" si="2"/>
        <v>ZP111305@TRAC Corp</v>
      </c>
      <c r="Y167">
        <f>_xlfn.IFNA(_xll.BDP(X167,"INTERVAL_SUM", "MARKET_DATA_OVERRIDE=px_volume", "CALC_INTERVAL=5D"), "")</f>
        <v>1832</v>
      </c>
      <c r="Z167" cm="1">
        <f t="array" ref="Z167">_xll.BDP(B167, "CF_ACT_CASH_PAID_FOR_INT_DEBT")</f>
        <v>1810</v>
      </c>
      <c r="AA167" t="str" cm="1">
        <f t="array" ref="AA167">_xll.BDP(B167, "TYPE_OF_BOND")</f>
        <v>#N/A Field Not Applicable</v>
      </c>
    </row>
    <row r="168" spans="1:27" x14ac:dyDescent="0.25">
      <c r="A168">
        <v>166</v>
      </c>
      <c r="B168" t="s">
        <v>137</v>
      </c>
      <c r="C168" s="4" t="s">
        <v>18</v>
      </c>
      <c r="D168" s="4">
        <v>1400000000</v>
      </c>
      <c r="E168" t="s">
        <v>11</v>
      </c>
      <c r="F168" s="1">
        <v>47027</v>
      </c>
      <c r="G168">
        <v>8.375</v>
      </c>
      <c r="H168" t="s">
        <v>9</v>
      </c>
      <c r="L168" t="s">
        <v>1168</v>
      </c>
      <c r="M168" t="s">
        <v>19</v>
      </c>
      <c r="N168" t="s">
        <v>14</v>
      </c>
      <c r="O168" t="s">
        <v>3133</v>
      </c>
      <c r="P168" t="s">
        <v>2651</v>
      </c>
      <c r="Q168" t="s">
        <v>3134</v>
      </c>
      <c r="R168" t="s">
        <v>138</v>
      </c>
      <c r="S168">
        <v>13214622.9026681</v>
      </c>
      <c r="T168">
        <v>61</v>
      </c>
      <c r="U168" t="s">
        <v>1169</v>
      </c>
      <c r="W168" t="s">
        <v>77</v>
      </c>
      <c r="X168" t="str">
        <f t="shared" si="2"/>
        <v>ZI849723@TRAC Corp</v>
      </c>
      <c r="Y168">
        <f>_xlfn.IFNA(_xll.BDP(X168,"INTERVAL_SUM", "MARKET_DATA_OVERRIDE=px_volume", "CALC_INTERVAL=5D"), "")</f>
        <v>3008</v>
      </c>
      <c r="Z168" t="str" cm="1">
        <f t="array" ref="Z168">_xll.BDP(B168, "CF_ACT_CASH_PAID_FOR_INT_DEBT")</f>
        <v>#N/A N/A</v>
      </c>
      <c r="AA168" t="str" cm="1">
        <f t="array" ref="AA168">_xll.BDP(B168, "TYPE_OF_BOND")</f>
        <v>#N/A Field Not Applicable</v>
      </c>
    </row>
    <row r="169" spans="1:27" x14ac:dyDescent="0.25">
      <c r="A169">
        <v>167</v>
      </c>
      <c r="B169" t="s">
        <v>139</v>
      </c>
      <c r="C169" s="4" t="s">
        <v>18</v>
      </c>
      <c r="D169" s="4">
        <v>6000000000</v>
      </c>
      <c r="E169" t="s">
        <v>11</v>
      </c>
      <c r="F169" s="1">
        <v>48319</v>
      </c>
      <c r="G169">
        <v>10</v>
      </c>
      <c r="H169" t="s">
        <v>9</v>
      </c>
      <c r="L169" t="s">
        <v>1168</v>
      </c>
      <c r="M169" t="s">
        <v>19</v>
      </c>
      <c r="N169" t="s">
        <v>14</v>
      </c>
      <c r="O169" t="s">
        <v>2650</v>
      </c>
      <c r="P169" t="s">
        <v>2650</v>
      </c>
      <c r="Q169" t="s">
        <v>3132</v>
      </c>
      <c r="R169" t="s">
        <v>140</v>
      </c>
      <c r="S169">
        <v>53639834.6436086</v>
      </c>
      <c r="T169">
        <v>85</v>
      </c>
      <c r="U169" t="s">
        <v>1169</v>
      </c>
      <c r="W169" t="s">
        <v>77</v>
      </c>
      <c r="X169" t="str">
        <f t="shared" si="2"/>
        <v>YQ571022@TRAC Corp</v>
      </c>
      <c r="Y169">
        <f>_xlfn.IFNA(_xll.BDP(X169,"INTERVAL_SUM", "MARKET_DATA_OVERRIDE=px_volume", "CALC_INTERVAL=5D"), "")</f>
        <v>25242</v>
      </c>
      <c r="Z169" cm="1">
        <f t="array" ref="Z169">_xll.BDP(B169, "CF_ACT_CASH_PAID_FOR_INT_DEBT")</f>
        <v>1810</v>
      </c>
      <c r="AA169" t="str" cm="1">
        <f t="array" ref="AA169">_xll.BDP(B169, "TYPE_OF_BOND")</f>
        <v>#N/A Field Not Applicable</v>
      </c>
    </row>
    <row r="170" spans="1:27" x14ac:dyDescent="0.25">
      <c r="A170">
        <v>168</v>
      </c>
      <c r="B170" t="s">
        <v>141</v>
      </c>
      <c r="C170" s="4" t="s">
        <v>18</v>
      </c>
      <c r="D170" s="4">
        <v>675000000</v>
      </c>
      <c r="E170" t="s">
        <v>12</v>
      </c>
      <c r="F170" s="1">
        <v>47863</v>
      </c>
      <c r="G170">
        <v>6.306</v>
      </c>
      <c r="H170" t="s">
        <v>13</v>
      </c>
      <c r="I170" t="s">
        <v>2636</v>
      </c>
      <c r="L170" t="s">
        <v>1171</v>
      </c>
      <c r="M170" t="s">
        <v>28</v>
      </c>
      <c r="N170" t="s">
        <v>14</v>
      </c>
      <c r="O170" t="s">
        <v>3133</v>
      </c>
      <c r="P170" t="s">
        <v>2651</v>
      </c>
      <c r="Q170" t="s">
        <v>3134</v>
      </c>
      <c r="R170" t="s">
        <v>142</v>
      </c>
      <c r="S170">
        <v>43894043.374961898</v>
      </c>
      <c r="T170">
        <v>77</v>
      </c>
      <c r="U170" t="s">
        <v>1172</v>
      </c>
      <c r="W170" t="s">
        <v>77</v>
      </c>
      <c r="X170" t="str">
        <f t="shared" si="2"/>
        <v>YN304569@TRAC Corp</v>
      </c>
      <c r="Y170" t="str">
        <f>_xlfn.IFNA(_xll.BDP(X170,"INTERVAL_SUM", "MARKET_DATA_OVERRIDE=px_volume", "CALC_INTERVAL=5D"), "")</f>
        <v>#N/A N/A</v>
      </c>
      <c r="Z170" t="str" cm="1">
        <f t="array" ref="Z170">_xll.BDP(B170, "CF_ACT_CASH_PAID_FOR_INT_DEBT")</f>
        <v>#N/A N/A</v>
      </c>
      <c r="AA170" t="str" cm="1">
        <f t="array" ref="AA170">_xll.BDP(B170, "TYPE_OF_BOND")</f>
        <v>#N/A Field Not Applicable</v>
      </c>
    </row>
    <row r="171" spans="1:27" x14ac:dyDescent="0.25">
      <c r="A171">
        <v>169</v>
      </c>
      <c r="B171" t="s">
        <v>143</v>
      </c>
      <c r="C171" s="4" t="s">
        <v>18</v>
      </c>
      <c r="D171" s="4">
        <v>54000</v>
      </c>
      <c r="E171" t="s">
        <v>17</v>
      </c>
      <c r="F171" s="1">
        <v>46246</v>
      </c>
      <c r="G171">
        <v>6.56</v>
      </c>
      <c r="H171" t="s">
        <v>9</v>
      </c>
      <c r="L171" t="s">
        <v>1168</v>
      </c>
      <c r="M171" t="s">
        <v>10</v>
      </c>
      <c r="N171" t="s">
        <v>14</v>
      </c>
      <c r="O171" t="s">
        <v>3133</v>
      </c>
      <c r="P171" t="s">
        <v>2651</v>
      </c>
      <c r="Q171" t="s">
        <v>3134</v>
      </c>
      <c r="R171" t="s">
        <v>144</v>
      </c>
      <c r="S171">
        <v>-9997</v>
      </c>
      <c r="U171" t="s">
        <v>1174</v>
      </c>
      <c r="W171" t="s">
        <v>77</v>
      </c>
      <c r="X171" t="str">
        <f t="shared" si="2"/>
        <v>MM119712@TRAC Corp</v>
      </c>
      <c r="Y171" t="str">
        <f>_xlfn.IFNA(_xll.BDP(X171,"INTERVAL_SUM", "MARKET_DATA_OVERRIDE=px_volume", "CALC_INTERVAL=5D"), "")</f>
        <v>#N/A N/A</v>
      </c>
      <c r="Z171" cm="1">
        <f t="array" ref="Z171">_xll.BDP(B171, "CF_ACT_CASH_PAID_FOR_INT_DEBT")</f>
        <v>1810</v>
      </c>
      <c r="AA171" t="str" cm="1">
        <f t="array" ref="AA171">_xll.BDP(B171, "TYPE_OF_BOND")</f>
        <v>#N/A Field Not Applicable</v>
      </c>
    </row>
    <row r="172" spans="1:27" x14ac:dyDescent="0.25">
      <c r="A172">
        <v>170</v>
      </c>
      <c r="B172" t="s">
        <v>145</v>
      </c>
      <c r="C172" s="4" t="s">
        <v>18</v>
      </c>
      <c r="D172" s="4">
        <v>11749000</v>
      </c>
      <c r="E172" t="s">
        <v>17</v>
      </c>
      <c r="F172" s="1">
        <v>46966</v>
      </c>
      <c r="G172">
        <v>7.125</v>
      </c>
      <c r="H172" t="s">
        <v>9</v>
      </c>
      <c r="L172" t="s">
        <v>1168</v>
      </c>
      <c r="M172" t="s">
        <v>10</v>
      </c>
      <c r="N172" t="s">
        <v>14</v>
      </c>
      <c r="O172" t="s">
        <v>3133</v>
      </c>
      <c r="P172" t="s">
        <v>2651</v>
      </c>
      <c r="Q172" t="s">
        <v>3134</v>
      </c>
      <c r="R172" t="s">
        <v>146</v>
      </c>
      <c r="S172">
        <v>-9997</v>
      </c>
      <c r="W172" t="s">
        <v>77</v>
      </c>
      <c r="X172" t="str">
        <f t="shared" si="2"/>
        <v>EC013419@TRAC Corp</v>
      </c>
      <c r="Y172">
        <f>_xlfn.IFNA(_xll.BDP(X172,"INTERVAL_SUM", "MARKET_DATA_OVERRIDE=px_volume", "CALC_INTERVAL=5D"), "")</f>
        <v>20</v>
      </c>
      <c r="Z172" cm="1">
        <f t="array" ref="Z172">_xll.BDP(B172, "CF_ACT_CASH_PAID_FOR_INT_DEBT")</f>
        <v>1810</v>
      </c>
      <c r="AA172" t="str" cm="1">
        <f t="array" ref="AA172">_xll.BDP(B172, "TYPE_OF_BOND")</f>
        <v>#N/A Field Not Applicable</v>
      </c>
    </row>
    <row r="173" spans="1:27" x14ac:dyDescent="0.25">
      <c r="A173">
        <v>171</v>
      </c>
      <c r="B173" t="s">
        <v>147</v>
      </c>
      <c r="C173" s="4" t="s">
        <v>18</v>
      </c>
      <c r="D173" s="4">
        <v>888261000</v>
      </c>
      <c r="E173" t="s">
        <v>11</v>
      </c>
      <c r="F173" s="1">
        <v>47026</v>
      </c>
      <c r="G173">
        <v>11</v>
      </c>
      <c r="H173" t="s">
        <v>9</v>
      </c>
      <c r="L173" t="s">
        <v>1168</v>
      </c>
      <c r="M173" t="s">
        <v>19</v>
      </c>
      <c r="N173" t="s">
        <v>14</v>
      </c>
      <c r="O173" t="s">
        <v>2650</v>
      </c>
      <c r="P173" t="s">
        <v>2650</v>
      </c>
      <c r="Q173" t="s">
        <v>3132</v>
      </c>
      <c r="R173" t="s">
        <v>148</v>
      </c>
      <c r="S173">
        <v>7668802.6551577998</v>
      </c>
      <c r="T173">
        <v>40</v>
      </c>
      <c r="U173" t="s">
        <v>1169</v>
      </c>
      <c r="W173" t="s">
        <v>77</v>
      </c>
      <c r="X173" t="str">
        <f t="shared" si="2"/>
        <v>BZ116312@TRAC Corp</v>
      </c>
      <c r="Y173">
        <f>_xlfn.IFNA(_xll.BDP(X173,"INTERVAL_SUM", "MARKET_DATA_OVERRIDE=px_volume", "CALC_INTERVAL=5D"), "")</f>
        <v>5920</v>
      </c>
      <c r="Z173" cm="1">
        <f t="array" ref="Z173">_xll.BDP(B173, "CF_ACT_CASH_PAID_FOR_INT_DEBT")</f>
        <v>1810</v>
      </c>
      <c r="AA173" t="str" cm="1">
        <f t="array" ref="AA173">_xll.BDP(B173, "TYPE_OF_BOND")</f>
        <v>#N/A Field Not Applicable</v>
      </c>
    </row>
    <row r="174" spans="1:27" x14ac:dyDescent="0.25">
      <c r="A174">
        <v>172</v>
      </c>
      <c r="B174" t="s">
        <v>149</v>
      </c>
      <c r="C174" s="4" t="s">
        <v>18</v>
      </c>
      <c r="D174" s="4">
        <v>351533000</v>
      </c>
      <c r="E174" t="s">
        <v>33</v>
      </c>
      <c r="F174" s="1">
        <v>47771</v>
      </c>
      <c r="G174">
        <v>14</v>
      </c>
      <c r="H174" t="s">
        <v>9</v>
      </c>
      <c r="L174" t="s">
        <v>1168</v>
      </c>
      <c r="M174" t="s">
        <v>19</v>
      </c>
      <c r="N174" t="s">
        <v>14</v>
      </c>
      <c r="O174" t="s">
        <v>2650</v>
      </c>
      <c r="P174" t="s">
        <v>2650</v>
      </c>
      <c r="Q174" t="s">
        <v>3132</v>
      </c>
      <c r="R174" t="s">
        <v>150</v>
      </c>
      <c r="S174">
        <v>1738792.598675</v>
      </c>
      <c r="T174">
        <v>15</v>
      </c>
      <c r="U174" t="s">
        <v>1169</v>
      </c>
      <c r="W174" t="s">
        <v>77</v>
      </c>
      <c r="X174" t="str">
        <f t="shared" si="2"/>
        <v>BZ116281@TRAC Corp</v>
      </c>
      <c r="Y174">
        <f>_xlfn.IFNA(_xll.BDP(X174,"INTERVAL_SUM", "MARKET_DATA_OVERRIDE=px_volume", "CALC_INTERVAL=5D"), "")</f>
        <v>548</v>
      </c>
      <c r="Z174" cm="1">
        <f t="array" ref="Z174">_xll.BDP(B174, "CF_ACT_CASH_PAID_FOR_INT_DEBT")</f>
        <v>1810</v>
      </c>
      <c r="AA174" t="str" cm="1">
        <f t="array" ref="AA174">_xll.BDP(B174, "TYPE_OF_BOND")</f>
        <v>#N/A Field Not Applicable</v>
      </c>
    </row>
    <row r="175" spans="1:27" x14ac:dyDescent="0.25">
      <c r="A175">
        <v>173</v>
      </c>
      <c r="B175" t="s">
        <v>151</v>
      </c>
      <c r="C175" s="4" t="s">
        <v>18</v>
      </c>
      <c r="D175" s="4">
        <v>802569000</v>
      </c>
      <c r="E175" t="s">
        <v>11</v>
      </c>
      <c r="F175" s="1">
        <v>46905</v>
      </c>
      <c r="G175">
        <v>4.875</v>
      </c>
      <c r="H175" t="s">
        <v>9</v>
      </c>
      <c r="L175" t="s">
        <v>1168</v>
      </c>
      <c r="M175" t="s">
        <v>19</v>
      </c>
      <c r="N175" t="s">
        <v>14</v>
      </c>
      <c r="O175" t="s">
        <v>2650</v>
      </c>
      <c r="P175" t="s">
        <v>2650</v>
      </c>
      <c r="Q175" t="s">
        <v>3132</v>
      </c>
      <c r="R175" t="s">
        <v>152</v>
      </c>
      <c r="S175">
        <v>6890676.1718247104</v>
      </c>
      <c r="T175">
        <v>35</v>
      </c>
      <c r="U175" t="s">
        <v>1169</v>
      </c>
      <c r="W175" t="s">
        <v>77</v>
      </c>
      <c r="X175" t="str">
        <f t="shared" si="2"/>
        <v>BP751726@TRAC Corp</v>
      </c>
      <c r="Y175">
        <f>_xlfn.IFNA(_xll.BDP(X175,"INTERVAL_SUM", "MARKET_DATA_OVERRIDE=px_volume", "CALC_INTERVAL=5D"), "")</f>
        <v>4874</v>
      </c>
      <c r="Z175" cm="1">
        <f t="array" ref="Z175">_xll.BDP(B175, "CF_ACT_CASH_PAID_FOR_INT_DEBT")</f>
        <v>1810</v>
      </c>
      <c r="AA175" t="str" cm="1">
        <f t="array" ref="AA175">_xll.BDP(B175, "TYPE_OF_BOND")</f>
        <v>#N/A Field Not Applicable</v>
      </c>
    </row>
    <row r="176" spans="1:27" x14ac:dyDescent="0.25">
      <c r="A176">
        <v>174</v>
      </c>
      <c r="B176" t="s">
        <v>26</v>
      </c>
      <c r="C176" s="4" t="s">
        <v>18</v>
      </c>
      <c r="D176" s="4">
        <v>462689000</v>
      </c>
      <c r="E176" t="s">
        <v>17</v>
      </c>
      <c r="F176" s="1">
        <v>47894</v>
      </c>
      <c r="G176">
        <v>5.25</v>
      </c>
      <c r="H176" t="s">
        <v>9</v>
      </c>
      <c r="L176" t="s">
        <v>1168</v>
      </c>
      <c r="M176" t="s">
        <v>19</v>
      </c>
      <c r="N176" t="s">
        <v>14</v>
      </c>
      <c r="O176" t="s">
        <v>2650</v>
      </c>
      <c r="P176" t="s">
        <v>2650</v>
      </c>
      <c r="Q176" t="s">
        <v>3132</v>
      </c>
      <c r="R176" t="s">
        <v>27</v>
      </c>
      <c r="S176">
        <v>9096482.1920610908</v>
      </c>
      <c r="T176">
        <v>19</v>
      </c>
      <c r="U176" t="s">
        <v>1169</v>
      </c>
      <c r="W176" t="s">
        <v>77</v>
      </c>
      <c r="X176" t="str">
        <f t="shared" si="2"/>
        <v>BM627976@TRAC Corp</v>
      </c>
      <c r="Y176">
        <f>_xlfn.IFNA(_xll.BDP(X176,"INTERVAL_SUM", "MARKET_DATA_OVERRIDE=px_volume", "CALC_INTERVAL=5D"), "")</f>
        <v>2350</v>
      </c>
      <c r="Z176" cm="1">
        <f t="array" ref="Z176">_xll.BDP(B176, "CF_ACT_CASH_PAID_FOR_INT_DEBT")</f>
        <v>1810</v>
      </c>
      <c r="AA176" t="str" cm="1">
        <f t="array" ref="AA176">_xll.BDP(B176, "TYPE_OF_BOND")</f>
        <v>#N/A Field Not Applicable</v>
      </c>
    </row>
    <row r="177" spans="1:27" x14ac:dyDescent="0.25">
      <c r="A177">
        <v>175</v>
      </c>
      <c r="B177" t="s">
        <v>31</v>
      </c>
      <c r="C177" s="4" t="s">
        <v>18</v>
      </c>
      <c r="D177" s="4">
        <v>451933000</v>
      </c>
      <c r="E177" t="s">
        <v>17</v>
      </c>
      <c r="F177" s="1">
        <v>47164</v>
      </c>
      <c r="G177">
        <v>5</v>
      </c>
      <c r="H177" t="s">
        <v>9</v>
      </c>
      <c r="L177" t="s">
        <v>1168</v>
      </c>
      <c r="M177" t="s">
        <v>19</v>
      </c>
      <c r="N177" t="s">
        <v>14</v>
      </c>
      <c r="O177" t="s">
        <v>2650</v>
      </c>
      <c r="P177" t="s">
        <v>2650</v>
      </c>
      <c r="Q177" t="s">
        <v>3132</v>
      </c>
      <c r="R177" t="s">
        <v>32</v>
      </c>
      <c r="S177">
        <v>2586610.46348962</v>
      </c>
      <c r="T177">
        <v>20</v>
      </c>
      <c r="U177" t="s">
        <v>1169</v>
      </c>
      <c r="W177" t="s">
        <v>77</v>
      </c>
      <c r="X177" t="str">
        <f t="shared" si="2"/>
        <v>BM627973@TRAC Corp</v>
      </c>
      <c r="Y177">
        <f>_xlfn.IFNA(_xll.BDP(X177,"INTERVAL_SUM", "MARKET_DATA_OVERRIDE=px_volume", "CALC_INTERVAL=5D"), "")</f>
        <v>290</v>
      </c>
      <c r="Z177" cm="1">
        <f t="array" ref="Z177">_xll.BDP(B177, "CF_ACT_CASH_PAID_FOR_INT_DEBT")</f>
        <v>1810</v>
      </c>
      <c r="AA177" t="str" cm="1">
        <f t="array" ref="AA177">_xll.BDP(B177, "TYPE_OF_BOND")</f>
        <v>#N/A Field Not Applicable</v>
      </c>
    </row>
    <row r="178" spans="1:27" x14ac:dyDescent="0.25">
      <c r="A178">
        <v>176</v>
      </c>
      <c r="B178" t="s">
        <v>24</v>
      </c>
      <c r="C178" s="4" t="s">
        <v>18</v>
      </c>
      <c r="D178" s="4">
        <v>820876000</v>
      </c>
      <c r="E178" t="s">
        <v>17</v>
      </c>
      <c r="F178" s="1">
        <v>47164</v>
      </c>
      <c r="G178">
        <v>6.25</v>
      </c>
      <c r="H178" t="s">
        <v>9</v>
      </c>
      <c r="L178" t="s">
        <v>1168</v>
      </c>
      <c r="M178" t="s">
        <v>19</v>
      </c>
      <c r="N178" t="s">
        <v>14</v>
      </c>
      <c r="O178" t="s">
        <v>2650</v>
      </c>
      <c r="P178" t="s">
        <v>2650</v>
      </c>
      <c r="Q178" t="s">
        <v>3132</v>
      </c>
      <c r="R178" t="s">
        <v>25</v>
      </c>
      <c r="S178">
        <v>12332241.4444301</v>
      </c>
      <c r="T178">
        <v>28</v>
      </c>
      <c r="U178" t="s">
        <v>1169</v>
      </c>
      <c r="W178" t="s">
        <v>77</v>
      </c>
      <c r="X178" t="str">
        <f t="shared" si="2"/>
        <v>BJ423011@TRAC Corp</v>
      </c>
      <c r="Y178">
        <f>_xlfn.IFNA(_xll.BDP(X178,"INTERVAL_SUM", "MARKET_DATA_OVERRIDE=px_volume", "CALC_INTERVAL=5D"), "")</f>
        <v>4258</v>
      </c>
      <c r="Z178" cm="1">
        <f t="array" ref="Z178">_xll.BDP(B178, "CF_ACT_CASH_PAID_FOR_INT_DEBT")</f>
        <v>1810</v>
      </c>
      <c r="AA178" t="str" cm="1">
        <f t="array" ref="AA178">_xll.BDP(B178, "TYPE_OF_BOND")</f>
        <v>#N/A Field Not Applicable</v>
      </c>
    </row>
    <row r="179" spans="1:27" x14ac:dyDescent="0.25">
      <c r="A179">
        <v>177</v>
      </c>
      <c r="B179" t="s">
        <v>153</v>
      </c>
      <c r="C179" s="4" t="s">
        <v>18</v>
      </c>
      <c r="D179" s="4">
        <v>642613000</v>
      </c>
      <c r="E179" t="s">
        <v>17</v>
      </c>
      <c r="F179" s="1">
        <v>46418</v>
      </c>
      <c r="G179">
        <v>8.5</v>
      </c>
      <c r="H179" t="s">
        <v>9</v>
      </c>
      <c r="L179" t="s">
        <v>1168</v>
      </c>
      <c r="M179" t="s">
        <v>10</v>
      </c>
      <c r="N179" t="s">
        <v>14</v>
      </c>
      <c r="O179" t="s">
        <v>2650</v>
      </c>
      <c r="P179" t="s">
        <v>2650</v>
      </c>
      <c r="Q179" t="s">
        <v>3132</v>
      </c>
      <c r="R179" t="s">
        <v>154</v>
      </c>
      <c r="S179">
        <v>11859521.355255701</v>
      </c>
      <c r="T179">
        <v>47</v>
      </c>
      <c r="U179" t="s">
        <v>1169</v>
      </c>
      <c r="W179" t="s">
        <v>77</v>
      </c>
      <c r="X179" t="str">
        <f t="shared" si="2"/>
        <v>AS706899@TRAC Corp</v>
      </c>
      <c r="Y179">
        <f>_xlfn.IFNA(_xll.BDP(X179,"INTERVAL_SUM", "MARKET_DATA_OVERRIDE=px_volume", "CALC_INTERVAL=5D"), "")</f>
        <v>1065</v>
      </c>
      <c r="Z179" cm="1">
        <f t="array" ref="Z179">_xll.BDP(B179, "CF_ACT_CASH_PAID_FOR_INT_DEBT")</f>
        <v>1810</v>
      </c>
      <c r="AA179" t="str" cm="1">
        <f t="array" ref="AA179">_xll.BDP(B179, "TYPE_OF_BOND")</f>
        <v>#N/A Field Not Applicable</v>
      </c>
    </row>
    <row r="180" spans="1:27" x14ac:dyDescent="0.25">
      <c r="A180">
        <v>178</v>
      </c>
      <c r="B180" t="s">
        <v>155</v>
      </c>
      <c r="C180" s="4" t="s">
        <v>18</v>
      </c>
      <c r="D180" s="4">
        <v>2795090625</v>
      </c>
      <c r="E180" t="s">
        <v>11</v>
      </c>
      <c r="F180" s="1">
        <v>47863</v>
      </c>
      <c r="G180">
        <v>7.4020000000000001</v>
      </c>
      <c r="H180" t="s">
        <v>13</v>
      </c>
      <c r="I180" t="s">
        <v>2631</v>
      </c>
      <c r="J180">
        <v>375</v>
      </c>
      <c r="L180" t="s">
        <v>1168</v>
      </c>
      <c r="M180" t="s">
        <v>19</v>
      </c>
      <c r="N180" t="s">
        <v>14</v>
      </c>
      <c r="O180" t="s">
        <v>3133</v>
      </c>
      <c r="P180" t="s">
        <v>2651</v>
      </c>
      <c r="Q180" t="s">
        <v>3134</v>
      </c>
      <c r="R180" t="s">
        <v>156</v>
      </c>
      <c r="S180">
        <v>10000000</v>
      </c>
      <c r="T180">
        <v>27</v>
      </c>
      <c r="V180" t="s">
        <v>227</v>
      </c>
      <c r="W180" t="s">
        <v>77</v>
      </c>
      <c r="X180" t="str">
        <f t="shared" si="2"/>
        <v>BL535517@TRAC Corp</v>
      </c>
      <c r="Y180" t="str">
        <f>_xlfn.IFNA(_xll.BDP(X180,"INTERVAL_SUM", "MARKET_DATA_OVERRIDE=px_volume", "CALC_INTERVAL=5D"), "")</f>
        <v>#N/A N/A</v>
      </c>
      <c r="Z180" t="str" cm="1">
        <f t="array" ref="Z180">_xll.BDP(B180, "CF_ACT_CASH_PAID_FOR_INT_DEBT")</f>
        <v>#N/A N/A</v>
      </c>
      <c r="AA180" t="str" cm="1">
        <f t="array" ref="AA180">_xll.BDP(B180, "TYPE_OF_BOND")</f>
        <v>#N/A Field Not Applicable</v>
      </c>
    </row>
    <row r="181" spans="1:27" x14ac:dyDescent="0.25">
      <c r="A181">
        <v>179</v>
      </c>
      <c r="B181" t="s">
        <v>157</v>
      </c>
      <c r="C181" s="4" t="s">
        <v>18</v>
      </c>
      <c r="D181" s="4">
        <v>3626422.62</v>
      </c>
      <c r="E181" t="s">
        <v>11</v>
      </c>
      <c r="F181" s="1">
        <v>47660</v>
      </c>
      <c r="G181">
        <v>7.8939000000000004</v>
      </c>
      <c r="H181" t="s">
        <v>13</v>
      </c>
      <c r="I181" t="s">
        <v>2631</v>
      </c>
      <c r="J181">
        <v>425</v>
      </c>
      <c r="L181" t="s">
        <v>1168</v>
      </c>
      <c r="N181" t="s">
        <v>14</v>
      </c>
      <c r="O181" t="s">
        <v>3133</v>
      </c>
      <c r="R181" t="s">
        <v>156</v>
      </c>
      <c r="V181" t="s">
        <v>227</v>
      </c>
      <c r="W181" t="s">
        <v>77</v>
      </c>
      <c r="X181" t="str">
        <f t="shared" si="2"/>
        <v>BL519999@TRAC Corp</v>
      </c>
      <c r="Y181" t="str">
        <f>_xlfn.IFNA(_xll.BDP(X181,"INTERVAL_SUM", "MARKET_DATA_OVERRIDE=px_volume", "CALC_INTERVAL=5D"), "")</f>
        <v>#N/A N/A</v>
      </c>
      <c r="Z181" t="str" cm="1">
        <f t="array" ref="Z181">_xll.BDP(B181, "CF_ACT_CASH_PAID_FOR_INT_DEBT")</f>
        <v>#N/A N/A</v>
      </c>
      <c r="AA181" t="str" cm="1">
        <f t="array" ref="AA181">_xll.BDP(B181, "TYPE_OF_BOND")</f>
        <v>#N/A Field Not Applicable</v>
      </c>
    </row>
    <row r="182" spans="1:27" x14ac:dyDescent="0.25">
      <c r="A182">
        <v>180</v>
      </c>
      <c r="B182" t="s">
        <v>158</v>
      </c>
      <c r="C182" s="4" t="s">
        <v>18</v>
      </c>
      <c r="D182" s="4">
        <v>2970000000</v>
      </c>
      <c r="E182" t="s">
        <v>11</v>
      </c>
      <c r="F182" s="1">
        <v>47764</v>
      </c>
      <c r="G182">
        <v>9.9169</v>
      </c>
      <c r="H182" t="s">
        <v>13</v>
      </c>
      <c r="I182" t="s">
        <v>2631</v>
      </c>
      <c r="J182">
        <v>625</v>
      </c>
      <c r="L182" t="s">
        <v>1168</v>
      </c>
      <c r="M182" t="s">
        <v>19</v>
      </c>
      <c r="N182" t="s">
        <v>14</v>
      </c>
      <c r="O182" t="s">
        <v>2650</v>
      </c>
      <c r="P182" t="s">
        <v>2650</v>
      </c>
      <c r="Q182" t="s">
        <v>3132</v>
      </c>
      <c r="R182" t="s">
        <v>159</v>
      </c>
      <c r="S182">
        <v>4341188.47070657</v>
      </c>
      <c r="T182">
        <v>22</v>
      </c>
      <c r="V182" t="s">
        <v>227</v>
      </c>
      <c r="W182" t="s">
        <v>77</v>
      </c>
      <c r="X182" t="str">
        <f t="shared" si="2"/>
        <v>BL504589@TRAC Corp</v>
      </c>
      <c r="Y182" t="str">
        <f>_xlfn.IFNA(_xll.BDP(X182,"INTERVAL_SUM", "MARKET_DATA_OVERRIDE=px_volume", "CALC_INTERVAL=5D"), "")</f>
        <v>#N/A N/A</v>
      </c>
      <c r="Z182" cm="1">
        <f t="array" ref="Z182">_xll.BDP(B182, "CF_ACT_CASH_PAID_FOR_INT_DEBT")</f>
        <v>1810</v>
      </c>
      <c r="AA182" t="str" cm="1">
        <f t="array" ref="AA182">_xll.BDP(B182, "TYPE_OF_BOND")</f>
        <v>#N/A Field Not Applicable</v>
      </c>
    </row>
    <row r="183" spans="1:27" x14ac:dyDescent="0.25">
      <c r="A183">
        <v>181</v>
      </c>
      <c r="B183" t="s">
        <v>160</v>
      </c>
      <c r="C183" s="4" t="s">
        <v>18</v>
      </c>
      <c r="D183" s="4">
        <v>150000000</v>
      </c>
      <c r="E183" t="s">
        <v>11</v>
      </c>
      <c r="F183" s="1">
        <v>47660</v>
      </c>
      <c r="G183">
        <v>6.4203999999999999</v>
      </c>
      <c r="H183" t="s">
        <v>13</v>
      </c>
      <c r="I183" t="s">
        <v>2631</v>
      </c>
      <c r="J183">
        <v>275</v>
      </c>
      <c r="L183" t="s">
        <v>1168</v>
      </c>
      <c r="M183" t="s">
        <v>19</v>
      </c>
      <c r="N183" t="s">
        <v>14</v>
      </c>
      <c r="O183" t="s">
        <v>3133</v>
      </c>
      <c r="P183" t="s">
        <v>2651</v>
      </c>
      <c r="Q183" t="s">
        <v>3134</v>
      </c>
      <c r="R183" t="s">
        <v>161</v>
      </c>
      <c r="V183" t="s">
        <v>226</v>
      </c>
      <c r="W183" t="s">
        <v>77</v>
      </c>
      <c r="X183" t="str">
        <f t="shared" si="2"/>
        <v>BL390605@TRAC Corp</v>
      </c>
      <c r="Y183" t="str">
        <f>_xlfn.IFNA(_xll.BDP(X183,"INTERVAL_SUM", "MARKET_DATA_OVERRIDE=px_volume", "CALC_INTERVAL=5D"), "")</f>
        <v>#N/A N/A</v>
      </c>
      <c r="Z183" t="str" cm="1">
        <f t="array" ref="Z183">_xll.BDP(B183, "CF_ACT_CASH_PAID_FOR_INT_DEBT")</f>
        <v>#N/A N/A</v>
      </c>
      <c r="AA183" t="str" cm="1">
        <f t="array" ref="AA183">_xll.BDP(B183, "TYPE_OF_BOND")</f>
        <v>#N/A Field Not Applicable</v>
      </c>
    </row>
    <row r="184" spans="1:27" x14ac:dyDescent="0.25">
      <c r="A184">
        <v>182</v>
      </c>
      <c r="B184" t="s">
        <v>381</v>
      </c>
      <c r="C184" s="4" t="s">
        <v>382</v>
      </c>
      <c r="D184" s="4">
        <v>445531800</v>
      </c>
      <c r="E184" t="s">
        <v>33</v>
      </c>
      <c r="F184" s="1">
        <v>48060</v>
      </c>
      <c r="G184">
        <v>6.25</v>
      </c>
      <c r="H184" t="s">
        <v>9</v>
      </c>
      <c r="L184" t="s">
        <v>1168</v>
      </c>
      <c r="M184" t="s">
        <v>10</v>
      </c>
      <c r="N184" t="s">
        <v>36</v>
      </c>
      <c r="O184" t="s">
        <v>3127</v>
      </c>
      <c r="P184" t="s">
        <v>2646</v>
      </c>
      <c r="Q184" t="s">
        <v>3128</v>
      </c>
      <c r="R184" t="s">
        <v>383</v>
      </c>
      <c r="S184">
        <v>16221851.2413329</v>
      </c>
      <c r="T184">
        <v>6</v>
      </c>
      <c r="U184" t="s">
        <v>1169</v>
      </c>
      <c r="W184" t="s">
        <v>384</v>
      </c>
      <c r="X184" t="str">
        <f t="shared" si="2"/>
        <v>DJ105934@TRAC Corp</v>
      </c>
      <c r="Y184" t="str">
        <f>_xlfn.IFNA(_xll.BDP(X184,"INTERVAL_SUM", "MARKET_DATA_OVERRIDE=px_volume", "CALC_INTERVAL=5D"), "")</f>
        <v>#N/A N/A</v>
      </c>
      <c r="Z184" cm="1">
        <f t="array" ref="Z184">_xll.BDP(B184, "CF_ACT_CASH_PAID_FOR_INT_DEBT")</f>
        <v>16.059000000000001</v>
      </c>
      <c r="AA184" t="str" cm="1">
        <f t="array" ref="AA184">_xll.BDP(B184, "TYPE_OF_BOND")</f>
        <v>#N/A Field Not Applicable</v>
      </c>
    </row>
    <row r="185" spans="1:27" x14ac:dyDescent="0.25">
      <c r="A185">
        <v>183</v>
      </c>
      <c r="B185" t="s">
        <v>385</v>
      </c>
      <c r="C185" s="4" t="s">
        <v>382</v>
      </c>
      <c r="D185" s="4">
        <v>85991000</v>
      </c>
      <c r="E185" t="s">
        <v>17</v>
      </c>
      <c r="F185" s="1">
        <v>47150</v>
      </c>
      <c r="G185">
        <v>6.25</v>
      </c>
      <c r="H185" t="s">
        <v>9</v>
      </c>
      <c r="L185" t="s">
        <v>1168</v>
      </c>
      <c r="M185" t="s">
        <v>10</v>
      </c>
      <c r="N185" t="s">
        <v>36</v>
      </c>
      <c r="O185" t="s">
        <v>3127</v>
      </c>
      <c r="P185" t="s">
        <v>2646</v>
      </c>
      <c r="Q185" t="s">
        <v>3128</v>
      </c>
      <c r="R185" t="s">
        <v>386</v>
      </c>
      <c r="S185">
        <v>5211899.6815825803</v>
      </c>
      <c r="T185">
        <v>5</v>
      </c>
      <c r="U185" t="s">
        <v>1169</v>
      </c>
      <c r="W185" t="s">
        <v>384</v>
      </c>
      <c r="X185" t="str">
        <f t="shared" si="2"/>
        <v>BN566018@TRAC Corp</v>
      </c>
      <c r="Y185" t="str">
        <f>_xlfn.IFNA(_xll.BDP(X185,"INTERVAL_SUM", "MARKET_DATA_OVERRIDE=px_volume", "CALC_INTERVAL=5D"), "")</f>
        <v>#N/A N/A</v>
      </c>
      <c r="Z185" t="str" cm="1">
        <f t="array" ref="Z185">_xll.BDP(B185, "CF_ACT_CASH_PAID_FOR_INT_DEBT")</f>
        <v>#N/A N/A</v>
      </c>
      <c r="AA185" t="str" cm="1">
        <f t="array" ref="AA185">_xll.BDP(B185, "TYPE_OF_BOND")</f>
        <v>#N/A Field Not Applicable</v>
      </c>
    </row>
    <row r="186" spans="1:27" x14ac:dyDescent="0.25">
      <c r="A186">
        <v>184</v>
      </c>
      <c r="B186" t="s">
        <v>387</v>
      </c>
      <c r="C186" s="4" t="s">
        <v>382</v>
      </c>
      <c r="D186" s="4">
        <v>1470511648</v>
      </c>
      <c r="E186" t="s">
        <v>80</v>
      </c>
      <c r="F186" s="1">
        <v>47879</v>
      </c>
      <c r="G186">
        <v>8.5439000000000007</v>
      </c>
      <c r="H186" t="s">
        <v>13</v>
      </c>
      <c r="I186" t="s">
        <v>2631</v>
      </c>
      <c r="J186">
        <v>475</v>
      </c>
      <c r="L186" t="s">
        <v>1168</v>
      </c>
      <c r="M186" t="s">
        <v>10</v>
      </c>
      <c r="N186" t="s">
        <v>36</v>
      </c>
      <c r="O186" t="s">
        <v>3127</v>
      </c>
      <c r="P186" t="s">
        <v>2646</v>
      </c>
      <c r="Q186" t="s">
        <v>3128</v>
      </c>
      <c r="R186" t="s">
        <v>388</v>
      </c>
      <c r="V186" t="s">
        <v>227</v>
      </c>
      <c r="W186" t="s">
        <v>384</v>
      </c>
      <c r="X186" t="str">
        <f t="shared" si="2"/>
        <v>BL566951@TRAC Corp</v>
      </c>
      <c r="Y186" t="str">
        <f>_xlfn.IFNA(_xll.BDP(X186,"INTERVAL_SUM", "MARKET_DATA_OVERRIDE=px_volume", "CALC_INTERVAL=5D"), "")</f>
        <v>#N/A N/A</v>
      </c>
      <c r="Z186" cm="1">
        <f t="array" ref="Z186">_xll.BDP(B186, "CF_ACT_CASH_PAID_FOR_INT_DEBT")</f>
        <v>16.059000000000001</v>
      </c>
      <c r="AA186" t="str" cm="1">
        <f t="array" ref="AA186">_xll.BDP(B186, "TYPE_OF_BOND")</f>
        <v>#N/A Field Not Applicable</v>
      </c>
    </row>
    <row r="187" spans="1:27" x14ac:dyDescent="0.25">
      <c r="A187">
        <v>185</v>
      </c>
      <c r="B187" t="s">
        <v>389</v>
      </c>
      <c r="C187" s="4" t="s">
        <v>382</v>
      </c>
      <c r="D187" s="4">
        <v>300000000</v>
      </c>
      <c r="E187" t="s">
        <v>80</v>
      </c>
      <c r="F187" s="1">
        <v>47879</v>
      </c>
      <c r="G187">
        <v>9.5439000000000007</v>
      </c>
      <c r="H187" t="s">
        <v>13</v>
      </c>
      <c r="I187" t="s">
        <v>2631</v>
      </c>
      <c r="J187">
        <v>575</v>
      </c>
      <c r="L187" t="s">
        <v>1168</v>
      </c>
      <c r="M187" t="s">
        <v>10</v>
      </c>
      <c r="N187" t="s">
        <v>36</v>
      </c>
      <c r="O187" t="s">
        <v>3127</v>
      </c>
      <c r="P187" t="s">
        <v>2646</v>
      </c>
      <c r="Q187" t="s">
        <v>3128</v>
      </c>
      <c r="R187" t="s">
        <v>390</v>
      </c>
      <c r="V187" t="s">
        <v>227</v>
      </c>
      <c r="W187" t="s">
        <v>384</v>
      </c>
      <c r="X187" t="str">
        <f t="shared" si="2"/>
        <v>BL566949@TRAC Corp</v>
      </c>
      <c r="Y187" t="str">
        <f>_xlfn.IFNA(_xll.BDP(X187,"INTERVAL_SUM", "MARKET_DATA_OVERRIDE=px_volume", "CALC_INTERVAL=5D"), "")</f>
        <v>#N/A N/A</v>
      </c>
      <c r="Z187" cm="1">
        <f t="array" ref="Z187">_xll.BDP(B187, "CF_ACT_CASH_PAID_FOR_INT_DEBT")</f>
        <v>16.059000000000001</v>
      </c>
      <c r="AA187" t="str" cm="1">
        <f t="array" ref="AA187">_xll.BDP(B187, "TYPE_OF_BOND")</f>
        <v>#N/A Field Not Applicable</v>
      </c>
    </row>
    <row r="188" spans="1:27" x14ac:dyDescent="0.25">
      <c r="A188">
        <v>186</v>
      </c>
      <c r="B188" t="s">
        <v>391</v>
      </c>
      <c r="C188" s="4" t="s">
        <v>382</v>
      </c>
      <c r="D188" s="4">
        <v>694787909</v>
      </c>
      <c r="E188" t="s">
        <v>80</v>
      </c>
      <c r="F188" s="1">
        <v>47879</v>
      </c>
      <c r="G188">
        <v>9.7939000000000007</v>
      </c>
      <c r="H188" t="s">
        <v>13</v>
      </c>
      <c r="I188" t="s">
        <v>2631</v>
      </c>
      <c r="J188">
        <v>600</v>
      </c>
      <c r="L188" t="s">
        <v>1168</v>
      </c>
      <c r="M188" t="s">
        <v>10</v>
      </c>
      <c r="N188" t="s">
        <v>36</v>
      </c>
      <c r="O188" t="s">
        <v>3127</v>
      </c>
      <c r="P188" t="s">
        <v>2646</v>
      </c>
      <c r="Q188" t="s">
        <v>3128</v>
      </c>
      <c r="R188" t="s">
        <v>392</v>
      </c>
      <c r="V188" t="s">
        <v>227</v>
      </c>
      <c r="W188" t="s">
        <v>384</v>
      </c>
      <c r="X188" t="str">
        <f t="shared" si="2"/>
        <v>BL566948@TRAC Corp</v>
      </c>
      <c r="Y188" t="str">
        <f>_xlfn.IFNA(_xll.BDP(X188,"INTERVAL_SUM", "MARKET_DATA_OVERRIDE=px_volume", "CALC_INTERVAL=5D"), "")</f>
        <v>#N/A N/A</v>
      </c>
      <c r="Z188" cm="1">
        <f t="array" ref="Z188">_xll.BDP(B188, "CF_ACT_CASH_PAID_FOR_INT_DEBT")</f>
        <v>16.059000000000001</v>
      </c>
      <c r="AA188" t="str" cm="1">
        <f t="array" ref="AA188">_xll.BDP(B188, "TYPE_OF_BOND")</f>
        <v>#N/A Field Not Applicable</v>
      </c>
    </row>
    <row r="189" spans="1:27" x14ac:dyDescent="0.25">
      <c r="A189">
        <v>187</v>
      </c>
      <c r="B189" t="s">
        <v>393</v>
      </c>
      <c r="C189" s="4" t="s">
        <v>382</v>
      </c>
      <c r="D189" s="4">
        <v>692625000</v>
      </c>
      <c r="E189" t="s">
        <v>11</v>
      </c>
      <c r="F189" s="1">
        <v>46783</v>
      </c>
      <c r="G189">
        <v>8.7897999999999996</v>
      </c>
      <c r="H189" t="s">
        <v>13</v>
      </c>
      <c r="I189" t="s">
        <v>2631</v>
      </c>
      <c r="J189">
        <v>500</v>
      </c>
      <c r="L189" t="s">
        <v>1168</v>
      </c>
      <c r="M189" t="s">
        <v>10</v>
      </c>
      <c r="N189" t="s">
        <v>36</v>
      </c>
      <c r="O189" t="s">
        <v>3127</v>
      </c>
      <c r="P189" t="s">
        <v>2646</v>
      </c>
      <c r="Q189" t="s">
        <v>3128</v>
      </c>
      <c r="R189" t="s">
        <v>394</v>
      </c>
      <c r="S189">
        <v>2000000</v>
      </c>
      <c r="T189">
        <v>8</v>
      </c>
      <c r="V189" t="s">
        <v>227</v>
      </c>
      <c r="W189" t="s">
        <v>384</v>
      </c>
      <c r="X189" t="str">
        <f t="shared" si="2"/>
        <v>BL442692@TRAC Corp</v>
      </c>
      <c r="Y189" t="str">
        <f>_xlfn.IFNA(_xll.BDP(X189,"INTERVAL_SUM", "MARKET_DATA_OVERRIDE=px_volume", "CALC_INTERVAL=5D"), "")</f>
        <v>#N/A N/A</v>
      </c>
      <c r="Z189" cm="1">
        <f t="array" ref="Z189">_xll.BDP(B189, "CF_ACT_CASH_PAID_FOR_INT_DEBT")</f>
        <v>16.059000000000001</v>
      </c>
      <c r="AA189" t="str" cm="1">
        <f t="array" ref="AA189">_xll.BDP(B189, "TYPE_OF_BOND")</f>
        <v>#N/A Field Not Applicable</v>
      </c>
    </row>
    <row r="190" spans="1:27" x14ac:dyDescent="0.25">
      <c r="A190">
        <v>188</v>
      </c>
      <c r="B190" t="s">
        <v>395</v>
      </c>
      <c r="C190" s="4" t="s">
        <v>382</v>
      </c>
      <c r="D190" s="4">
        <v>1468625000</v>
      </c>
      <c r="E190" s="1" t="s">
        <v>11</v>
      </c>
      <c r="F190" s="1">
        <v>46783</v>
      </c>
      <c r="G190">
        <v>7.2938999999999998</v>
      </c>
      <c r="H190" t="s">
        <v>13</v>
      </c>
      <c r="I190" t="s">
        <v>2631</v>
      </c>
      <c r="J190">
        <v>350</v>
      </c>
      <c r="L190" t="s">
        <v>1168</v>
      </c>
      <c r="M190" t="s">
        <v>10</v>
      </c>
      <c r="N190" t="s">
        <v>36</v>
      </c>
      <c r="O190" t="s">
        <v>3127</v>
      </c>
      <c r="P190" t="s">
        <v>2646</v>
      </c>
      <c r="Q190" t="s">
        <v>3128</v>
      </c>
      <c r="R190" t="s">
        <v>396</v>
      </c>
      <c r="S190">
        <v>5000000</v>
      </c>
      <c r="T190">
        <v>10</v>
      </c>
      <c r="V190" t="s">
        <v>227</v>
      </c>
      <c r="W190" t="s">
        <v>384</v>
      </c>
      <c r="X190" t="str">
        <f t="shared" si="2"/>
        <v>BL354079@TRAC Corp</v>
      </c>
      <c r="Y190" t="str">
        <f>_xlfn.IFNA(_xll.BDP(X190,"INTERVAL_SUM", "MARKET_DATA_OVERRIDE=px_volume", "CALC_INTERVAL=5D"), "")</f>
        <v>#N/A N/A</v>
      </c>
      <c r="Z190" cm="1">
        <f t="array" ref="Z190">_xll.BDP(B190, "CF_ACT_CASH_PAID_FOR_INT_DEBT")</f>
        <v>16.059000000000001</v>
      </c>
      <c r="AA190" t="str" cm="1">
        <f t="array" ref="AA190">_xll.BDP(B190, "TYPE_OF_BOND")</f>
        <v>#N/A Field Not Applicable</v>
      </c>
    </row>
    <row r="191" spans="1:27" x14ac:dyDescent="0.25">
      <c r="A191">
        <v>189</v>
      </c>
      <c r="B191" t="s">
        <v>3363</v>
      </c>
      <c r="C191" s="4" t="s">
        <v>3364</v>
      </c>
      <c r="D191" s="4">
        <v>770000000</v>
      </c>
      <c r="E191" s="1" t="s">
        <v>33</v>
      </c>
      <c r="F191" s="1">
        <v>47406</v>
      </c>
      <c r="G191">
        <v>11.4602</v>
      </c>
      <c r="H191" t="s">
        <v>13</v>
      </c>
      <c r="I191" t="s">
        <v>2652</v>
      </c>
      <c r="J191">
        <v>650</v>
      </c>
      <c r="L191" t="s">
        <v>1168</v>
      </c>
      <c r="M191" t="s">
        <v>10</v>
      </c>
      <c r="N191" t="s">
        <v>15</v>
      </c>
      <c r="O191" t="s">
        <v>3110</v>
      </c>
      <c r="P191" t="s">
        <v>2637</v>
      </c>
      <c r="Q191" t="s">
        <v>3112</v>
      </c>
      <c r="R191" t="s">
        <v>3365</v>
      </c>
      <c r="S191">
        <v>3272160.9812551402</v>
      </c>
      <c r="T191">
        <v>3</v>
      </c>
      <c r="V191" t="s">
        <v>227</v>
      </c>
      <c r="W191" t="s">
        <v>3366</v>
      </c>
      <c r="X191" t="str">
        <f t="shared" si="2"/>
        <v>BL370646@TRAC Corp</v>
      </c>
      <c r="Y191" t="str">
        <f>_xlfn.IFNA(_xll.BDP(X191,"INTERVAL_SUM", "MARKET_DATA_OVERRIDE=px_volume", "CALC_INTERVAL=5D"), "")</f>
        <v>#N/A N/A</v>
      </c>
      <c r="Z191" cm="1">
        <f t="array" ref="Z191">_xll.BDP(B191, "CF_ACT_CASH_PAID_FOR_INT_DEBT")</f>
        <v>49.857999999999997</v>
      </c>
      <c r="AA191" t="str" cm="1">
        <f t="array" ref="AA191">_xll.BDP(B191, "TYPE_OF_BOND")</f>
        <v>#N/A Field Not Applicable</v>
      </c>
    </row>
    <row r="192" spans="1:27" x14ac:dyDescent="0.25">
      <c r="A192">
        <v>190</v>
      </c>
      <c r="B192" t="s">
        <v>3367</v>
      </c>
      <c r="C192" s="4" t="s">
        <v>3364</v>
      </c>
      <c r="D192" s="4">
        <v>44000000</v>
      </c>
      <c r="E192" s="1" t="s">
        <v>11</v>
      </c>
      <c r="F192" s="1">
        <v>46310</v>
      </c>
      <c r="G192">
        <v>7.1795</v>
      </c>
      <c r="H192" t="s">
        <v>13</v>
      </c>
      <c r="I192" t="s">
        <v>2631</v>
      </c>
      <c r="J192">
        <v>350</v>
      </c>
      <c r="L192" t="s">
        <v>1168</v>
      </c>
      <c r="M192" t="s">
        <v>10</v>
      </c>
      <c r="N192" t="s">
        <v>15</v>
      </c>
      <c r="O192" t="s">
        <v>3110</v>
      </c>
      <c r="P192" t="s">
        <v>2637</v>
      </c>
      <c r="Q192" t="s">
        <v>3112</v>
      </c>
      <c r="R192" t="s">
        <v>3368</v>
      </c>
      <c r="V192" t="s">
        <v>226</v>
      </c>
      <c r="W192" t="s">
        <v>3366</v>
      </c>
      <c r="X192" t="str">
        <f t="shared" si="2"/>
        <v>BL370641@TRAC Corp</v>
      </c>
      <c r="Y192" t="str">
        <f>_xlfn.IFNA(_xll.BDP(X192,"INTERVAL_SUM", "MARKET_DATA_OVERRIDE=px_volume", "CALC_INTERVAL=5D"), "")</f>
        <v>#N/A N/A</v>
      </c>
      <c r="Z192" cm="1">
        <f t="array" ref="Z192">_xll.BDP(B192, "CF_ACT_CASH_PAID_FOR_INT_DEBT")</f>
        <v>49.857999999999997</v>
      </c>
      <c r="AA192" t="str" cm="1">
        <f t="array" ref="AA192">_xll.BDP(B192, "TYPE_OF_BOND")</f>
        <v>#N/A Field Not Applicable</v>
      </c>
    </row>
    <row r="193" spans="1:27" x14ac:dyDescent="0.25">
      <c r="A193">
        <v>191</v>
      </c>
      <c r="B193" t="s">
        <v>3369</v>
      </c>
      <c r="C193" s="4" t="s">
        <v>3364</v>
      </c>
      <c r="D193" s="4">
        <v>2117500000</v>
      </c>
      <c r="E193" s="1" t="s">
        <v>11</v>
      </c>
      <c r="F193" s="1">
        <v>47042</v>
      </c>
      <c r="G193">
        <v>7.5407999999999999</v>
      </c>
      <c r="H193" t="s">
        <v>13</v>
      </c>
      <c r="I193" t="s">
        <v>2631</v>
      </c>
      <c r="J193">
        <v>375</v>
      </c>
      <c r="L193" t="s">
        <v>1168</v>
      </c>
      <c r="M193" t="s">
        <v>10</v>
      </c>
      <c r="N193" t="s">
        <v>15</v>
      </c>
      <c r="O193" t="s">
        <v>3110</v>
      </c>
      <c r="P193" t="s">
        <v>2637</v>
      </c>
      <c r="Q193" t="s">
        <v>3112</v>
      </c>
      <c r="R193" t="s">
        <v>3370</v>
      </c>
      <c r="S193">
        <v>2000000</v>
      </c>
      <c r="T193">
        <v>5</v>
      </c>
      <c r="V193" t="s">
        <v>227</v>
      </c>
      <c r="W193" t="s">
        <v>3366</v>
      </c>
      <c r="X193" t="str">
        <f t="shared" si="2"/>
        <v>BL370440@TRAC Corp</v>
      </c>
      <c r="Y193" t="str">
        <f>_xlfn.IFNA(_xll.BDP(X193,"INTERVAL_SUM", "MARKET_DATA_OVERRIDE=px_volume", "CALC_INTERVAL=5D"), "")</f>
        <v>#N/A N/A</v>
      </c>
      <c r="Z193" cm="1">
        <f t="array" ref="Z193">_xll.BDP(B193, "CF_ACT_CASH_PAID_FOR_INT_DEBT")</f>
        <v>49.857999999999997</v>
      </c>
      <c r="AA193" t="str" cm="1">
        <f t="array" ref="AA193">_xll.BDP(B193, "TYPE_OF_BOND")</f>
        <v>#N/A Field Not Applicable</v>
      </c>
    </row>
    <row r="194" spans="1:27" x14ac:dyDescent="0.25">
      <c r="A194">
        <v>192</v>
      </c>
      <c r="B194" t="s">
        <v>428</v>
      </c>
      <c r="C194" s="4" t="s">
        <v>429</v>
      </c>
      <c r="D194" s="4">
        <v>1435000000</v>
      </c>
      <c r="E194" s="1" t="s">
        <v>12</v>
      </c>
      <c r="F194" s="1">
        <v>47696</v>
      </c>
      <c r="G194">
        <v>10.375</v>
      </c>
      <c r="H194" t="s">
        <v>9</v>
      </c>
      <c r="L194" t="s">
        <v>1168</v>
      </c>
      <c r="M194" t="s">
        <v>10</v>
      </c>
      <c r="N194" t="s">
        <v>333</v>
      </c>
      <c r="O194" t="s">
        <v>3170</v>
      </c>
      <c r="P194" t="s">
        <v>2653</v>
      </c>
      <c r="Q194" t="s">
        <v>3171</v>
      </c>
      <c r="R194" t="s">
        <v>430</v>
      </c>
      <c r="S194">
        <v>16208362.7438123</v>
      </c>
      <c r="T194">
        <v>43</v>
      </c>
      <c r="U194" t="s">
        <v>1169</v>
      </c>
      <c r="W194" t="s">
        <v>431</v>
      </c>
      <c r="X194" t="str">
        <f t="shared" si="2"/>
        <v>ZJ911284@TRAC Corp</v>
      </c>
      <c r="Y194">
        <f>_xlfn.IFNA(_xll.BDP(X194,"INTERVAL_SUM", "MARKET_DATA_OVERRIDE=px_volume", "CALC_INTERVAL=5D"), "")</f>
        <v>5088</v>
      </c>
      <c r="Z194" t="str" cm="1">
        <f t="array" ref="Z194">_xll.BDP(B194, "CF_ACT_CASH_PAID_FOR_INT_DEBT")</f>
        <v>#N/A N/A</v>
      </c>
      <c r="AA194" t="str" cm="1">
        <f t="array" ref="AA194">_xll.BDP(B194, "TYPE_OF_BOND")</f>
        <v>#N/A Field Not Applicable</v>
      </c>
    </row>
    <row r="195" spans="1:27" x14ac:dyDescent="0.25">
      <c r="A195">
        <v>193</v>
      </c>
      <c r="B195" t="s">
        <v>432</v>
      </c>
      <c r="C195" s="4" t="s">
        <v>429</v>
      </c>
      <c r="D195" s="4">
        <v>40000000</v>
      </c>
      <c r="E195" s="1" t="s">
        <v>11</v>
      </c>
      <c r="F195" s="1">
        <v>46966</v>
      </c>
      <c r="H195" t="s">
        <v>13</v>
      </c>
      <c r="L195" t="s">
        <v>1168</v>
      </c>
      <c r="M195" t="s">
        <v>10</v>
      </c>
      <c r="N195" t="s">
        <v>333</v>
      </c>
      <c r="O195" t="s">
        <v>3170</v>
      </c>
      <c r="P195" t="s">
        <v>2653</v>
      </c>
      <c r="Q195" t="s">
        <v>3171</v>
      </c>
      <c r="R195" t="s">
        <v>433</v>
      </c>
      <c r="V195" t="s">
        <v>226</v>
      </c>
      <c r="W195" t="s">
        <v>431</v>
      </c>
      <c r="X195" t="str">
        <f t="shared" ref="X195:X258" si="3">SUBSTITUTE(B195," Corp","@TRAC Corp")</f>
        <v>BL471209@TRAC Corp</v>
      </c>
      <c r="Y195" t="str">
        <f>_xlfn.IFNA(_xll.BDP(X195,"INTERVAL_SUM", "MARKET_DATA_OVERRIDE=px_volume", "CALC_INTERVAL=5D"), "")</f>
        <v>#N/A N/A</v>
      </c>
      <c r="Z195" t="str" cm="1">
        <f t="array" ref="Z195">_xll.BDP(B195, "CF_ACT_CASH_PAID_FOR_INT_DEBT")</f>
        <v>#N/A N/A</v>
      </c>
      <c r="AA195" t="str" cm="1">
        <f t="array" ref="AA195">_xll.BDP(B195, "TYPE_OF_BOND")</f>
        <v>#N/A Field Not Applicable</v>
      </c>
    </row>
    <row r="196" spans="1:27" x14ac:dyDescent="0.25">
      <c r="A196">
        <v>194</v>
      </c>
      <c r="B196" t="s">
        <v>434</v>
      </c>
      <c r="C196" s="4" t="s">
        <v>429</v>
      </c>
      <c r="D196" s="4">
        <v>1445287500</v>
      </c>
      <c r="E196" s="1" t="s">
        <v>11</v>
      </c>
      <c r="F196" s="1">
        <v>47696</v>
      </c>
      <c r="G196">
        <v>8.1433</v>
      </c>
      <c r="H196" t="s">
        <v>13</v>
      </c>
      <c r="I196" t="s">
        <v>2635</v>
      </c>
      <c r="J196">
        <v>450</v>
      </c>
      <c r="L196" t="s">
        <v>1168</v>
      </c>
      <c r="M196" t="s">
        <v>10</v>
      </c>
      <c r="N196" t="s">
        <v>333</v>
      </c>
      <c r="O196" t="s">
        <v>3170</v>
      </c>
      <c r="P196" t="s">
        <v>2653</v>
      </c>
      <c r="Q196" t="s">
        <v>3171</v>
      </c>
      <c r="R196" t="s">
        <v>435</v>
      </c>
      <c r="S196">
        <v>3000000</v>
      </c>
      <c r="T196">
        <v>9</v>
      </c>
      <c r="V196" t="s">
        <v>227</v>
      </c>
      <c r="W196" t="s">
        <v>431</v>
      </c>
      <c r="X196" t="str">
        <f t="shared" si="3"/>
        <v>BL462835@TRAC Corp</v>
      </c>
      <c r="Y196" t="str">
        <f>_xlfn.IFNA(_xll.BDP(X196,"INTERVAL_SUM", "MARKET_DATA_OVERRIDE=px_volume", "CALC_INTERVAL=5D"), "")</f>
        <v>#N/A N/A</v>
      </c>
      <c r="Z196" t="str" cm="1">
        <f t="array" ref="Z196">_xll.BDP(B196, "CF_ACT_CASH_PAID_FOR_INT_DEBT")</f>
        <v>#N/A N/A</v>
      </c>
      <c r="AA196" t="str" cm="1">
        <f t="array" ref="AA196">_xll.BDP(B196, "TYPE_OF_BOND")</f>
        <v>#N/A Field Not Applicable</v>
      </c>
    </row>
    <row r="197" spans="1:27" x14ac:dyDescent="0.25">
      <c r="A197">
        <v>195</v>
      </c>
      <c r="B197" t="s">
        <v>436</v>
      </c>
      <c r="C197" s="4" t="s">
        <v>437</v>
      </c>
      <c r="D197" s="4">
        <v>127613934.63</v>
      </c>
      <c r="E197" s="1" t="s">
        <v>33</v>
      </c>
      <c r="F197" s="1">
        <v>46888</v>
      </c>
      <c r="G197">
        <v>2.95</v>
      </c>
      <c r="H197" t="s">
        <v>9</v>
      </c>
      <c r="L197" t="s">
        <v>1168</v>
      </c>
      <c r="M197" t="s">
        <v>10</v>
      </c>
      <c r="N197" t="s">
        <v>36</v>
      </c>
      <c r="O197" t="s">
        <v>2654</v>
      </c>
      <c r="P197" t="s">
        <v>2654</v>
      </c>
      <c r="Q197" t="s">
        <v>2654</v>
      </c>
      <c r="R197" t="s">
        <v>438</v>
      </c>
      <c r="S197">
        <v>3933497.31778325</v>
      </c>
      <c r="T197">
        <v>15</v>
      </c>
      <c r="U197">
        <v>2019</v>
      </c>
      <c r="W197" t="s">
        <v>439</v>
      </c>
      <c r="X197" t="str">
        <f t="shared" si="3"/>
        <v>ZQ361205@TRAC Corp</v>
      </c>
      <c r="Y197">
        <f>_xlfn.IFNA(_xll.BDP(X197,"INTERVAL_SUM", "MARKET_DATA_OVERRIDE=px_volume", "CALC_INTERVAL=5D"), "")</f>
        <v>12</v>
      </c>
      <c r="Z197" cm="1">
        <f t="array" ref="Z197">_xll.BDP(B197, "CF_ACT_CASH_PAID_FOR_INT_DEBT")</f>
        <v>427</v>
      </c>
      <c r="AA197" t="str" cm="1">
        <f t="array" ref="AA197">_xll.BDP(B197, "TYPE_OF_BOND")</f>
        <v>Equipment Trust</v>
      </c>
    </row>
    <row r="198" spans="1:27" x14ac:dyDescent="0.25">
      <c r="A198">
        <v>196</v>
      </c>
      <c r="B198" t="s">
        <v>440</v>
      </c>
      <c r="C198" s="4" t="s">
        <v>437</v>
      </c>
      <c r="D198" s="4">
        <v>409241197.37</v>
      </c>
      <c r="E198" s="1" t="s">
        <v>11</v>
      </c>
      <c r="F198" s="1">
        <v>48349</v>
      </c>
      <c r="G198">
        <v>2.75</v>
      </c>
      <c r="H198" t="s">
        <v>9</v>
      </c>
      <c r="L198" t="s">
        <v>1168</v>
      </c>
      <c r="M198" t="s">
        <v>10</v>
      </c>
      <c r="N198" t="s">
        <v>36</v>
      </c>
      <c r="O198" t="s">
        <v>2654</v>
      </c>
      <c r="P198" t="s">
        <v>2654</v>
      </c>
      <c r="Q198" t="s">
        <v>2654</v>
      </c>
      <c r="R198" t="s">
        <v>441</v>
      </c>
      <c r="S198">
        <v>15530640.4800076</v>
      </c>
      <c r="T198">
        <v>44</v>
      </c>
      <c r="U198">
        <v>2019</v>
      </c>
      <c r="W198" t="s">
        <v>439</v>
      </c>
      <c r="X198" t="str">
        <f t="shared" si="3"/>
        <v>ZQ361202@TRAC Corp</v>
      </c>
      <c r="Y198">
        <f>_xlfn.IFNA(_xll.BDP(X198,"INTERVAL_SUM", "MARKET_DATA_OVERRIDE=px_volume", "CALC_INTERVAL=5D"), "")</f>
        <v>64</v>
      </c>
      <c r="Z198" cm="1">
        <f t="array" ref="Z198">_xll.BDP(B198, "CF_ACT_CASH_PAID_FOR_INT_DEBT")</f>
        <v>427</v>
      </c>
      <c r="AA198" t="str" cm="1">
        <f t="array" ref="AA198">_xll.BDP(B198, "TYPE_OF_BOND")</f>
        <v>Equipment Trust</v>
      </c>
    </row>
    <row r="199" spans="1:27" x14ac:dyDescent="0.25">
      <c r="A199">
        <v>197</v>
      </c>
      <c r="B199" t="s">
        <v>442</v>
      </c>
      <c r="C199" s="4" t="s">
        <v>437</v>
      </c>
      <c r="D199" s="4">
        <v>2000000000</v>
      </c>
      <c r="E199" s="1" t="s">
        <v>12</v>
      </c>
      <c r="F199" s="1">
        <v>48111</v>
      </c>
      <c r="G199">
        <v>9.875</v>
      </c>
      <c r="H199" t="s">
        <v>9</v>
      </c>
      <c r="L199" t="s">
        <v>1168</v>
      </c>
      <c r="M199" t="s">
        <v>28</v>
      </c>
      <c r="N199" t="s">
        <v>36</v>
      </c>
      <c r="O199" t="s">
        <v>2654</v>
      </c>
      <c r="P199" t="s">
        <v>2654</v>
      </c>
      <c r="Q199" t="s">
        <v>2654</v>
      </c>
      <c r="R199" t="s">
        <v>443</v>
      </c>
      <c r="S199">
        <v>61700534.236536197</v>
      </c>
      <c r="T199">
        <v>54</v>
      </c>
      <c r="U199" t="s">
        <v>1169</v>
      </c>
      <c r="W199" t="s">
        <v>439</v>
      </c>
      <c r="X199" t="str">
        <f t="shared" si="3"/>
        <v>YV097727@TRAC Corp</v>
      </c>
      <c r="Y199">
        <f>_xlfn.IFNA(_xll.BDP(X199,"INTERVAL_SUM", "MARKET_DATA_OVERRIDE=px_volume", "CALC_INTERVAL=5D"), "")</f>
        <v>74800</v>
      </c>
      <c r="Z199" cm="1">
        <f t="array" ref="Z199">_xll.BDP(B199, "CF_ACT_CASH_PAID_FOR_INT_DEBT")</f>
        <v>427</v>
      </c>
      <c r="AA199" t="str" cm="1">
        <f t="array" ref="AA199">_xll.BDP(B199, "TYPE_OF_BOND")</f>
        <v>#N/A Field Not Applicable</v>
      </c>
    </row>
    <row r="200" spans="1:27" x14ac:dyDescent="0.25">
      <c r="A200">
        <v>198</v>
      </c>
      <c r="B200" t="s">
        <v>444</v>
      </c>
      <c r="C200" s="4" t="s">
        <v>437</v>
      </c>
      <c r="D200" s="4">
        <v>460000000</v>
      </c>
      <c r="E200" s="1" t="s">
        <v>17</v>
      </c>
      <c r="F200" s="1">
        <v>47362</v>
      </c>
      <c r="G200">
        <v>2.5</v>
      </c>
      <c r="H200" t="s">
        <v>9</v>
      </c>
      <c r="L200" t="s">
        <v>1168</v>
      </c>
      <c r="M200" t="s">
        <v>10</v>
      </c>
      <c r="N200" t="s">
        <v>36</v>
      </c>
      <c r="O200" t="s">
        <v>2654</v>
      </c>
      <c r="P200" t="s">
        <v>2654</v>
      </c>
      <c r="Q200" t="s">
        <v>2654</v>
      </c>
      <c r="R200" t="s">
        <v>445</v>
      </c>
      <c r="S200">
        <v>1436980.7865711399</v>
      </c>
      <c r="T200">
        <v>14</v>
      </c>
      <c r="W200" t="s">
        <v>439</v>
      </c>
      <c r="X200" t="str">
        <f t="shared" si="3"/>
        <v>YV094836@TRAC Corp</v>
      </c>
      <c r="Y200">
        <f>_xlfn.IFNA(_xll.BDP(X200,"INTERVAL_SUM", "MARKET_DATA_OVERRIDE=px_volume", "CALC_INTERVAL=5D"), "")</f>
        <v>2635</v>
      </c>
      <c r="Z200" cm="1">
        <f t="array" ref="Z200">_xll.BDP(B200, "CF_ACT_CASH_PAID_FOR_INT_DEBT")</f>
        <v>427</v>
      </c>
      <c r="AA200" t="str" cm="1">
        <f t="array" ref="AA200">_xll.BDP(B200, "TYPE_OF_BOND")</f>
        <v>Convertible</v>
      </c>
    </row>
    <row r="201" spans="1:27" x14ac:dyDescent="0.25">
      <c r="A201">
        <v>199</v>
      </c>
      <c r="B201" t="s">
        <v>446</v>
      </c>
      <c r="C201" s="4" t="s">
        <v>437</v>
      </c>
      <c r="D201" s="4">
        <v>38381226.705700003</v>
      </c>
      <c r="E201" s="1" t="s">
        <v>447</v>
      </c>
      <c r="F201" s="1">
        <v>47253</v>
      </c>
      <c r="G201">
        <v>8</v>
      </c>
      <c r="H201" t="s">
        <v>9</v>
      </c>
      <c r="L201" t="s">
        <v>1168</v>
      </c>
      <c r="M201" t="s">
        <v>10</v>
      </c>
      <c r="N201" t="s">
        <v>36</v>
      </c>
      <c r="O201" t="s">
        <v>2654</v>
      </c>
      <c r="P201" t="s">
        <v>2654</v>
      </c>
      <c r="Q201" t="s">
        <v>2654</v>
      </c>
      <c r="R201" t="s">
        <v>448</v>
      </c>
      <c r="S201">
        <v>4396975.5540543003</v>
      </c>
      <c r="T201">
        <v>10</v>
      </c>
      <c r="U201">
        <v>2019</v>
      </c>
      <c r="W201" t="s">
        <v>439</v>
      </c>
      <c r="X201" t="str">
        <f t="shared" si="3"/>
        <v>BK931630@TRAC Corp</v>
      </c>
      <c r="Y201" t="str">
        <f>_xlfn.IFNA(_xll.BDP(X201,"INTERVAL_SUM", "MARKET_DATA_OVERRIDE=px_volume", "CALC_INTERVAL=5D"), "")</f>
        <v>#N/A N/A</v>
      </c>
      <c r="Z201" cm="1">
        <f t="array" ref="Z201">_xll.BDP(B201, "CF_ACT_CASH_PAID_FOR_INT_DEBT")</f>
        <v>427</v>
      </c>
      <c r="AA201" t="str" cm="1">
        <f t="array" ref="AA201">_xll.BDP(B201, "TYPE_OF_BOND")</f>
        <v>Equipment Trust</v>
      </c>
    </row>
    <row r="202" spans="1:27" x14ac:dyDescent="0.25">
      <c r="A202">
        <v>200</v>
      </c>
      <c r="B202" t="s">
        <v>449</v>
      </c>
      <c r="C202" s="4" t="s">
        <v>437</v>
      </c>
      <c r="D202" s="4">
        <v>73436286.840000004</v>
      </c>
      <c r="E202" t="s">
        <v>33</v>
      </c>
      <c r="F202" s="1">
        <v>47072</v>
      </c>
      <c r="G202">
        <v>7.75</v>
      </c>
      <c r="H202" t="s">
        <v>9</v>
      </c>
      <c r="L202" t="s">
        <v>1168</v>
      </c>
      <c r="M202" t="s">
        <v>10</v>
      </c>
      <c r="N202" t="s">
        <v>36</v>
      </c>
      <c r="O202" t="s">
        <v>2654</v>
      </c>
      <c r="P202" t="s">
        <v>2654</v>
      </c>
      <c r="Q202" t="s">
        <v>2654</v>
      </c>
      <c r="R202" t="s">
        <v>450</v>
      </c>
      <c r="S202">
        <v>1525926.1580108199</v>
      </c>
      <c r="T202">
        <v>10</v>
      </c>
      <c r="U202" t="s">
        <v>1184</v>
      </c>
      <c r="W202" t="s">
        <v>439</v>
      </c>
      <c r="X202" t="str">
        <f t="shared" si="3"/>
        <v>BK767617@TRAC Corp</v>
      </c>
      <c r="Y202">
        <f>_xlfn.IFNA(_xll.BDP(X202,"INTERVAL_SUM", "MARKET_DATA_OVERRIDE=px_volume", "CALC_INTERVAL=5D"), "")</f>
        <v>8</v>
      </c>
      <c r="Z202" cm="1">
        <f t="array" ref="Z202">_xll.BDP(B202, "CF_ACT_CASH_PAID_FOR_INT_DEBT")</f>
        <v>427</v>
      </c>
      <c r="AA202" t="str" cm="1">
        <f t="array" ref="AA202">_xll.BDP(B202, "TYPE_OF_BOND")</f>
        <v>Equipment Trust</v>
      </c>
    </row>
    <row r="203" spans="1:27" x14ac:dyDescent="0.25">
      <c r="A203">
        <v>201</v>
      </c>
      <c r="B203" t="s">
        <v>451</v>
      </c>
      <c r="C203" s="4" t="s">
        <v>437</v>
      </c>
      <c r="D203" s="4">
        <v>406757077.50999999</v>
      </c>
      <c r="E203" t="s">
        <v>11</v>
      </c>
      <c r="F203" s="1">
        <v>48533</v>
      </c>
      <c r="G203">
        <v>4</v>
      </c>
      <c r="H203" t="s">
        <v>9</v>
      </c>
      <c r="L203" t="s">
        <v>1168</v>
      </c>
      <c r="M203" t="s">
        <v>10</v>
      </c>
      <c r="N203" t="s">
        <v>36</v>
      </c>
      <c r="O203" t="s">
        <v>2654</v>
      </c>
      <c r="P203" t="s">
        <v>2654</v>
      </c>
      <c r="Q203" t="s">
        <v>2654</v>
      </c>
      <c r="R203" t="s">
        <v>452</v>
      </c>
      <c r="S203">
        <v>9455513.9858281892</v>
      </c>
      <c r="T203">
        <v>38</v>
      </c>
      <c r="U203" t="s">
        <v>1185</v>
      </c>
      <c r="W203" t="s">
        <v>439</v>
      </c>
      <c r="X203" t="str">
        <f t="shared" si="3"/>
        <v>BK767616@TRAC Corp</v>
      </c>
      <c r="Y203">
        <f>_xlfn.IFNA(_xll.BDP(X203,"INTERVAL_SUM", "MARKET_DATA_OVERRIDE=px_volume", "CALC_INTERVAL=5D"), "")</f>
        <v>193</v>
      </c>
      <c r="Z203" cm="1">
        <f t="array" ref="Z203">_xll.BDP(B203, "CF_ACT_CASH_PAID_FOR_INT_DEBT")</f>
        <v>427</v>
      </c>
      <c r="AA203" t="str" cm="1">
        <f t="array" ref="AA203">_xll.BDP(B203, "TYPE_OF_BOND")</f>
        <v>Equipment Trust</v>
      </c>
    </row>
    <row r="204" spans="1:27" x14ac:dyDescent="0.25">
      <c r="A204">
        <v>202</v>
      </c>
      <c r="B204" t="s">
        <v>453</v>
      </c>
      <c r="C204" s="4" t="s">
        <v>437</v>
      </c>
      <c r="D204" s="4">
        <v>751612500</v>
      </c>
      <c r="E204" t="s">
        <v>11</v>
      </c>
      <c r="F204" s="1">
        <v>47357</v>
      </c>
      <c r="G204">
        <v>8.4158000000000008</v>
      </c>
      <c r="H204" t="s">
        <v>13</v>
      </c>
      <c r="I204" t="s">
        <v>2635</v>
      </c>
      <c r="J204">
        <v>475</v>
      </c>
      <c r="L204" t="s">
        <v>1168</v>
      </c>
      <c r="M204" t="s">
        <v>10</v>
      </c>
      <c r="N204" t="s">
        <v>36</v>
      </c>
      <c r="O204" t="s">
        <v>2654</v>
      </c>
      <c r="P204" t="s">
        <v>2654</v>
      </c>
      <c r="Q204" t="s">
        <v>2654</v>
      </c>
      <c r="R204" t="s">
        <v>454</v>
      </c>
      <c r="S204">
        <v>2000000</v>
      </c>
      <c r="T204">
        <v>5</v>
      </c>
      <c r="V204" t="s">
        <v>227</v>
      </c>
      <c r="W204" t="s">
        <v>439</v>
      </c>
      <c r="X204" t="str">
        <f t="shared" si="3"/>
        <v>BL501115@TRAC Corp</v>
      </c>
      <c r="Y204" t="str">
        <f>_xlfn.IFNA(_xll.BDP(X204,"INTERVAL_SUM", "MARKET_DATA_OVERRIDE=px_volume", "CALC_INTERVAL=5D"), "")</f>
        <v>#N/A N/A</v>
      </c>
      <c r="Z204" cm="1">
        <f t="array" ref="Z204">_xll.BDP(B204, "CF_ACT_CASH_PAID_FOR_INT_DEBT")</f>
        <v>427</v>
      </c>
      <c r="AA204" t="str" cm="1">
        <f t="array" ref="AA204">_xll.BDP(B204, "TYPE_OF_BOND")</f>
        <v>#N/A Field Not Applicable</v>
      </c>
    </row>
    <row r="205" spans="1:27" x14ac:dyDescent="0.25">
      <c r="A205">
        <v>203</v>
      </c>
      <c r="B205" t="s">
        <v>455</v>
      </c>
      <c r="C205" s="4" t="s">
        <v>437</v>
      </c>
      <c r="D205" s="4">
        <v>78000000</v>
      </c>
      <c r="E205" t="s">
        <v>11</v>
      </c>
      <c r="F205" s="1">
        <v>47581</v>
      </c>
      <c r="H205" t="s">
        <v>13</v>
      </c>
      <c r="L205" t="s">
        <v>1168</v>
      </c>
      <c r="M205" t="s">
        <v>10</v>
      </c>
      <c r="N205" t="s">
        <v>36</v>
      </c>
      <c r="O205" t="s">
        <v>2654</v>
      </c>
      <c r="P205" t="s">
        <v>2654</v>
      </c>
      <c r="Q205" t="s">
        <v>2654</v>
      </c>
      <c r="R205" t="s">
        <v>456</v>
      </c>
      <c r="V205" t="s">
        <v>227</v>
      </c>
      <c r="W205" t="s">
        <v>439</v>
      </c>
      <c r="X205" t="str">
        <f t="shared" si="3"/>
        <v>BL448503@TRAC Corp</v>
      </c>
      <c r="Y205" t="str">
        <f>_xlfn.IFNA(_xll.BDP(X205,"INTERVAL_SUM", "MARKET_DATA_OVERRIDE=px_volume", "CALC_INTERVAL=5D"), "")</f>
        <v>#N/A N/A</v>
      </c>
      <c r="Z205" cm="1">
        <f t="array" ref="Z205">_xll.BDP(B205, "CF_ACT_CASH_PAID_FOR_INT_DEBT")</f>
        <v>427</v>
      </c>
      <c r="AA205" t="str" cm="1">
        <f t="array" ref="AA205">_xll.BDP(B205, "TYPE_OF_BOND")</f>
        <v>#N/A Field Not Applicable</v>
      </c>
    </row>
    <row r="206" spans="1:27" x14ac:dyDescent="0.25">
      <c r="A206">
        <v>204</v>
      </c>
      <c r="B206" t="s">
        <v>502</v>
      </c>
      <c r="C206" s="4" t="s">
        <v>503</v>
      </c>
      <c r="D206" s="4">
        <v>300000000</v>
      </c>
      <c r="E206" t="s">
        <v>12</v>
      </c>
      <c r="F206" s="1">
        <v>47058</v>
      </c>
      <c r="G206">
        <v>9.5</v>
      </c>
      <c r="H206" t="s">
        <v>34</v>
      </c>
      <c r="L206" t="s">
        <v>1168</v>
      </c>
      <c r="M206" t="s">
        <v>10</v>
      </c>
      <c r="N206" t="s">
        <v>460</v>
      </c>
      <c r="O206" t="s">
        <v>3137</v>
      </c>
      <c r="P206" t="s">
        <v>2660</v>
      </c>
      <c r="Q206" t="s">
        <v>3138</v>
      </c>
      <c r="R206" t="s">
        <v>504</v>
      </c>
      <c r="S206">
        <v>1374886.4610619</v>
      </c>
      <c r="T206">
        <v>4</v>
      </c>
      <c r="U206" t="s">
        <v>1169</v>
      </c>
      <c r="W206" t="s">
        <v>505</v>
      </c>
      <c r="X206" t="str">
        <f t="shared" si="3"/>
        <v>ZL906894@TRAC Corp</v>
      </c>
      <c r="Y206" t="str">
        <f>_xlfn.IFNA(_xll.BDP(X206,"INTERVAL_SUM", "MARKET_DATA_OVERRIDE=px_volume", "CALC_INTERVAL=5D"), "")</f>
        <v>#N/A N/A</v>
      </c>
      <c r="Z206" cm="1">
        <f t="array" ref="Z206">_xll.BDP(B206, "CF_ACT_CASH_PAID_FOR_INT_DEBT")</f>
        <v>14.211</v>
      </c>
      <c r="AA206" t="str" cm="1">
        <f t="array" ref="AA206">_xll.BDP(B206, "TYPE_OF_BOND")</f>
        <v>#N/A Field Not Applicable</v>
      </c>
    </row>
    <row r="207" spans="1:27" x14ac:dyDescent="0.25">
      <c r="A207">
        <v>205</v>
      </c>
      <c r="B207" t="s">
        <v>506</v>
      </c>
      <c r="C207" s="4" t="s">
        <v>503</v>
      </c>
      <c r="D207" s="4">
        <v>950000000</v>
      </c>
      <c r="E207" t="s">
        <v>12</v>
      </c>
      <c r="F207" s="1">
        <v>48122</v>
      </c>
      <c r="G207">
        <v>8.625</v>
      </c>
      <c r="H207" t="s">
        <v>34</v>
      </c>
      <c r="L207" t="s">
        <v>1168</v>
      </c>
      <c r="M207" t="s">
        <v>10</v>
      </c>
      <c r="N207" t="s">
        <v>460</v>
      </c>
      <c r="O207" t="s">
        <v>3137</v>
      </c>
      <c r="P207" t="s">
        <v>2660</v>
      </c>
      <c r="Q207" t="s">
        <v>3138</v>
      </c>
      <c r="R207" t="s">
        <v>507</v>
      </c>
      <c r="S207">
        <v>15656668.4862749</v>
      </c>
      <c r="T207">
        <v>21</v>
      </c>
      <c r="U207" t="s">
        <v>1169</v>
      </c>
      <c r="W207" t="s">
        <v>505</v>
      </c>
      <c r="X207" t="str">
        <f t="shared" si="3"/>
        <v>YU032258@TRAC Corp</v>
      </c>
      <c r="Y207" t="str">
        <f>_xlfn.IFNA(_xll.BDP(X207,"INTERVAL_SUM", "MARKET_DATA_OVERRIDE=px_volume", "CALC_INTERVAL=5D"), "")</f>
        <v>#N/A N/A</v>
      </c>
      <c r="Z207" cm="1">
        <f t="array" ref="Z207">_xll.BDP(B207, "CF_ACT_CASH_PAID_FOR_INT_DEBT")</f>
        <v>14.211</v>
      </c>
      <c r="AA207" t="str" cm="1">
        <f t="array" ref="AA207">_xll.BDP(B207, "TYPE_OF_BOND")</f>
        <v>#N/A Field Not Applicable</v>
      </c>
    </row>
    <row r="208" spans="1:27" x14ac:dyDescent="0.25">
      <c r="A208">
        <v>206</v>
      </c>
      <c r="B208" t="s">
        <v>508</v>
      </c>
      <c r="C208" s="4" t="s">
        <v>503</v>
      </c>
      <c r="D208" s="4">
        <v>1289508314</v>
      </c>
      <c r="E208" t="s">
        <v>11</v>
      </c>
      <c r="F208" s="1">
        <v>48710</v>
      </c>
      <c r="G208">
        <v>8.5</v>
      </c>
      <c r="H208" t="s">
        <v>64</v>
      </c>
      <c r="K208">
        <v>2.5</v>
      </c>
      <c r="L208" t="s">
        <v>1168</v>
      </c>
      <c r="M208" t="s">
        <v>10</v>
      </c>
      <c r="N208" t="s">
        <v>460</v>
      </c>
      <c r="O208" t="s">
        <v>3137</v>
      </c>
      <c r="P208" t="s">
        <v>2660</v>
      </c>
      <c r="Q208" t="s">
        <v>3138</v>
      </c>
      <c r="R208" t="s">
        <v>509</v>
      </c>
      <c r="S208">
        <v>5660238.6450787904</v>
      </c>
      <c r="T208">
        <v>42</v>
      </c>
      <c r="W208" t="s">
        <v>505</v>
      </c>
      <c r="X208" t="str">
        <f t="shared" si="3"/>
        <v>DK715994@TRAC Corp</v>
      </c>
      <c r="Y208">
        <f>_xlfn.IFNA(_xll.BDP(X208,"INTERVAL_SUM", "MARKET_DATA_OVERRIDE=px_volume", "CALC_INTERVAL=5D"), "")</f>
        <v>302</v>
      </c>
      <c r="Z208" cm="1">
        <f t="array" ref="Z208">_xll.BDP(B208, "CF_ACT_CASH_PAID_FOR_INT_DEBT")</f>
        <v>81.613</v>
      </c>
      <c r="AA208" t="str" cm="1">
        <f t="array" ref="AA208">_xll.BDP(B208, "TYPE_OF_BOND")</f>
        <v>PIK</v>
      </c>
    </row>
    <row r="209" spans="1:27" x14ac:dyDescent="0.25">
      <c r="A209">
        <v>207</v>
      </c>
      <c r="B209" t="s">
        <v>510</v>
      </c>
      <c r="C209" s="4" t="s">
        <v>503</v>
      </c>
      <c r="D209" s="4">
        <v>460000000</v>
      </c>
      <c r="E209" t="s">
        <v>17</v>
      </c>
      <c r="F209" s="1">
        <v>47423</v>
      </c>
      <c r="G209">
        <v>8.25</v>
      </c>
      <c r="H209" t="s">
        <v>34</v>
      </c>
      <c r="L209" t="s">
        <v>1168</v>
      </c>
      <c r="M209" t="s">
        <v>10</v>
      </c>
      <c r="N209" t="s">
        <v>460</v>
      </c>
      <c r="O209" t="s">
        <v>3137</v>
      </c>
      <c r="P209" t="s">
        <v>2660</v>
      </c>
      <c r="Q209" t="s">
        <v>3138</v>
      </c>
      <c r="R209" t="s">
        <v>511</v>
      </c>
      <c r="S209">
        <v>5603337.0972340396</v>
      </c>
      <c r="T209">
        <v>4</v>
      </c>
      <c r="U209" t="s">
        <v>1169</v>
      </c>
      <c r="W209" t="s">
        <v>505</v>
      </c>
      <c r="X209" t="str">
        <f t="shared" si="3"/>
        <v>BS016260@TRAC Corp</v>
      </c>
      <c r="Y209" t="str">
        <f>_xlfn.IFNA(_xll.BDP(X209,"INTERVAL_SUM", "MARKET_DATA_OVERRIDE=px_volume", "CALC_INTERVAL=5D"), "")</f>
        <v>#N/A N/A</v>
      </c>
      <c r="Z209" cm="1">
        <f t="array" ref="Z209">_xll.BDP(B209, "CF_ACT_CASH_PAID_FOR_INT_DEBT")</f>
        <v>14.211</v>
      </c>
      <c r="AA209" t="str" cm="1">
        <f t="array" ref="AA209">_xll.BDP(B209, "TYPE_OF_BOND")</f>
        <v>#N/A Field Not Applicable</v>
      </c>
    </row>
    <row r="210" spans="1:27" x14ac:dyDescent="0.25">
      <c r="A210">
        <v>208</v>
      </c>
      <c r="B210" t="s">
        <v>512</v>
      </c>
      <c r="C210" s="4" t="s">
        <v>503</v>
      </c>
      <c r="D210" s="4">
        <v>500000000</v>
      </c>
      <c r="E210" t="s">
        <v>11</v>
      </c>
      <c r="F210" s="1">
        <v>47058</v>
      </c>
      <c r="G210">
        <v>5.875</v>
      </c>
      <c r="H210" t="s">
        <v>34</v>
      </c>
      <c r="L210" t="s">
        <v>1168</v>
      </c>
      <c r="M210" t="s">
        <v>10</v>
      </c>
      <c r="N210" t="s">
        <v>460</v>
      </c>
      <c r="O210" t="s">
        <v>3137</v>
      </c>
      <c r="P210" t="s">
        <v>2660</v>
      </c>
      <c r="Q210" t="s">
        <v>3138</v>
      </c>
      <c r="R210" t="s">
        <v>513</v>
      </c>
      <c r="S210">
        <v>18975294.3829518</v>
      </c>
      <c r="T210">
        <v>20</v>
      </c>
      <c r="U210" t="s">
        <v>1169</v>
      </c>
      <c r="W210" t="s">
        <v>505</v>
      </c>
      <c r="X210" t="str">
        <f t="shared" si="3"/>
        <v>BS016259@TRAC Corp</v>
      </c>
      <c r="Y210" t="str">
        <f>_xlfn.IFNA(_xll.BDP(X210,"INTERVAL_SUM", "MARKET_DATA_OVERRIDE=px_volume", "CALC_INTERVAL=5D"), "")</f>
        <v>#N/A N/A</v>
      </c>
      <c r="Z210" cm="1">
        <f t="array" ref="Z210">_xll.BDP(B210, "CF_ACT_CASH_PAID_FOR_INT_DEBT")</f>
        <v>14.211</v>
      </c>
      <c r="AA210" t="str" cm="1">
        <f t="array" ref="AA210">_xll.BDP(B210, "TYPE_OF_BOND")</f>
        <v>#N/A Field Not Applicable</v>
      </c>
    </row>
    <row r="211" spans="1:27" x14ac:dyDescent="0.25">
      <c r="A211">
        <v>209</v>
      </c>
      <c r="B211" t="s">
        <v>514</v>
      </c>
      <c r="C211" s="4" t="s">
        <v>503</v>
      </c>
      <c r="D211" s="4">
        <v>690000000</v>
      </c>
      <c r="E211" t="s">
        <v>17</v>
      </c>
      <c r="F211" s="1">
        <v>46583</v>
      </c>
      <c r="G211">
        <v>10.5</v>
      </c>
      <c r="H211" t="s">
        <v>34</v>
      </c>
      <c r="L211" t="s">
        <v>1168</v>
      </c>
      <c r="M211" t="s">
        <v>10</v>
      </c>
      <c r="N211" t="s">
        <v>460</v>
      </c>
      <c r="O211" t="s">
        <v>3137</v>
      </c>
      <c r="P211" t="s">
        <v>2660</v>
      </c>
      <c r="Q211" t="s">
        <v>3138</v>
      </c>
      <c r="R211" t="s">
        <v>515</v>
      </c>
      <c r="S211">
        <v>21144473.295217201</v>
      </c>
      <c r="T211">
        <v>6</v>
      </c>
      <c r="U211" t="s">
        <v>1169</v>
      </c>
      <c r="W211" t="s">
        <v>505</v>
      </c>
      <c r="X211" t="str">
        <f t="shared" si="3"/>
        <v>AZ016899@TRAC Corp</v>
      </c>
      <c r="Y211" t="str">
        <f>_xlfn.IFNA(_xll.BDP(X211,"INTERVAL_SUM", "MARKET_DATA_OVERRIDE=px_volume", "CALC_INTERVAL=5D"), "")</f>
        <v>#N/A N/A</v>
      </c>
      <c r="Z211" cm="1">
        <f t="array" ref="Z211">_xll.BDP(B211, "CF_ACT_CASH_PAID_FOR_INT_DEBT")</f>
        <v>14.211</v>
      </c>
      <c r="AA211" t="str" cm="1">
        <f t="array" ref="AA211">_xll.BDP(B211, "TYPE_OF_BOND")</f>
        <v>#N/A Field Not Applicable</v>
      </c>
    </row>
    <row r="212" spans="1:27" x14ac:dyDescent="0.25">
      <c r="A212">
        <v>210</v>
      </c>
      <c r="B212" t="s">
        <v>516</v>
      </c>
      <c r="C212" s="4" t="s">
        <v>503</v>
      </c>
      <c r="D212" s="4">
        <v>640112565.60000002</v>
      </c>
      <c r="E212" t="s">
        <v>11</v>
      </c>
      <c r="F212" s="1">
        <v>48710</v>
      </c>
      <c r="G212">
        <v>6.0503</v>
      </c>
      <c r="H212" t="s">
        <v>13</v>
      </c>
      <c r="I212" t="s">
        <v>2631</v>
      </c>
      <c r="J212">
        <v>237.5</v>
      </c>
      <c r="L212" t="s">
        <v>1168</v>
      </c>
      <c r="M212" t="s">
        <v>10</v>
      </c>
      <c r="N212" t="s">
        <v>460</v>
      </c>
      <c r="O212" t="s">
        <v>3137</v>
      </c>
      <c r="P212" t="s">
        <v>2660</v>
      </c>
      <c r="Q212" t="s">
        <v>3138</v>
      </c>
      <c r="R212" t="s">
        <v>517</v>
      </c>
      <c r="V212" t="s">
        <v>256</v>
      </c>
      <c r="W212" t="s">
        <v>505</v>
      </c>
      <c r="X212" t="str">
        <f t="shared" si="3"/>
        <v>BL568082@TRAC Corp</v>
      </c>
      <c r="Y212" t="str">
        <f>_xlfn.IFNA(_xll.BDP(X212,"INTERVAL_SUM", "MARKET_DATA_OVERRIDE=px_volume", "CALC_INTERVAL=5D"), "")</f>
        <v>#N/A N/A</v>
      </c>
      <c r="Z212" cm="1">
        <f t="array" ref="Z212">_xll.BDP(B212, "CF_ACT_CASH_PAID_FOR_INT_DEBT")</f>
        <v>81.613</v>
      </c>
      <c r="AA212" t="str" cm="1">
        <f t="array" ref="AA212">_xll.BDP(B212, "TYPE_OF_BOND")</f>
        <v>#N/A Field Not Applicable</v>
      </c>
    </row>
    <row r="213" spans="1:27" x14ac:dyDescent="0.25">
      <c r="A213">
        <v>211</v>
      </c>
      <c r="B213" t="s">
        <v>518</v>
      </c>
      <c r="C213" s="4" t="s">
        <v>503</v>
      </c>
      <c r="D213" s="4">
        <v>29875309.309999999</v>
      </c>
      <c r="E213" t="s">
        <v>11</v>
      </c>
      <c r="F213" s="1">
        <v>48710</v>
      </c>
      <c r="G213">
        <v>5.6449999999999996</v>
      </c>
      <c r="H213" t="s">
        <v>13</v>
      </c>
      <c r="I213" t="s">
        <v>2638</v>
      </c>
      <c r="J213">
        <v>337.5</v>
      </c>
      <c r="L213" t="s">
        <v>1171</v>
      </c>
      <c r="M213" t="s">
        <v>10</v>
      </c>
      <c r="N213" t="s">
        <v>460</v>
      </c>
      <c r="O213" t="s">
        <v>3137</v>
      </c>
      <c r="P213" t="s">
        <v>2660</v>
      </c>
      <c r="Q213" t="s">
        <v>3138</v>
      </c>
      <c r="R213" t="s">
        <v>519</v>
      </c>
      <c r="V213" t="s">
        <v>256</v>
      </c>
      <c r="W213" t="s">
        <v>505</v>
      </c>
      <c r="X213" t="str">
        <f t="shared" si="3"/>
        <v>BL568081@TRAC Corp</v>
      </c>
      <c r="Y213" t="str">
        <f>_xlfn.IFNA(_xll.BDP(X213,"INTERVAL_SUM", "MARKET_DATA_OVERRIDE=px_volume", "CALC_INTERVAL=5D"), "")</f>
        <v>#N/A N/A</v>
      </c>
      <c r="Z213" cm="1">
        <f t="array" ref="Z213">_xll.BDP(B213, "CF_ACT_CASH_PAID_FOR_INT_DEBT")</f>
        <v>81.613</v>
      </c>
      <c r="AA213" t="str" cm="1">
        <f t="array" ref="AA213">_xll.BDP(B213, "TYPE_OF_BOND")</f>
        <v>#N/A Field Not Applicable</v>
      </c>
    </row>
    <row r="214" spans="1:27" x14ac:dyDescent="0.25">
      <c r="A214">
        <v>212</v>
      </c>
      <c r="B214" t="s">
        <v>520</v>
      </c>
      <c r="C214" s="4" t="s">
        <v>503</v>
      </c>
      <c r="D214" s="4">
        <v>125000000</v>
      </c>
      <c r="E214" t="s">
        <v>80</v>
      </c>
      <c r="F214" s="1">
        <v>46358</v>
      </c>
      <c r="G214">
        <v>10.401999999999999</v>
      </c>
      <c r="H214" t="s">
        <v>13</v>
      </c>
      <c r="I214" t="s">
        <v>2631</v>
      </c>
      <c r="J214">
        <v>675</v>
      </c>
      <c r="L214" t="s">
        <v>1168</v>
      </c>
      <c r="M214" t="s">
        <v>10</v>
      </c>
      <c r="N214" t="s">
        <v>460</v>
      </c>
      <c r="O214" t="s">
        <v>3137</v>
      </c>
      <c r="P214" t="s">
        <v>2660</v>
      </c>
      <c r="Q214" t="s">
        <v>3138</v>
      </c>
      <c r="R214" t="s">
        <v>521</v>
      </c>
      <c r="V214" t="s">
        <v>522</v>
      </c>
      <c r="W214" t="s">
        <v>505</v>
      </c>
      <c r="X214" t="str">
        <f t="shared" si="3"/>
        <v>BL559579@TRAC Corp</v>
      </c>
      <c r="Y214" t="str">
        <f>_xlfn.IFNA(_xll.BDP(X214,"INTERVAL_SUM", "MARKET_DATA_OVERRIDE=px_volume", "CALC_INTERVAL=5D"), "")</f>
        <v>#N/A N/A</v>
      </c>
      <c r="Z214" cm="1">
        <f t="array" ref="Z214">_xll.BDP(B214, "CF_ACT_CASH_PAID_FOR_INT_DEBT")</f>
        <v>81.613</v>
      </c>
      <c r="AA214" t="str" cm="1">
        <f t="array" ref="AA214">_xll.BDP(B214, "TYPE_OF_BOND")</f>
        <v>#N/A Field Not Applicable</v>
      </c>
    </row>
    <row r="215" spans="1:27" x14ac:dyDescent="0.25">
      <c r="A215">
        <v>213</v>
      </c>
      <c r="B215" t="s">
        <v>523</v>
      </c>
      <c r="C215" s="4" t="s">
        <v>503</v>
      </c>
      <c r="D215" s="4">
        <v>125000000</v>
      </c>
      <c r="E215" t="s">
        <v>80</v>
      </c>
      <c r="F215" s="1">
        <v>46358</v>
      </c>
      <c r="G215">
        <v>10.401999999999999</v>
      </c>
      <c r="H215" t="s">
        <v>13</v>
      </c>
      <c r="I215" t="s">
        <v>2631</v>
      </c>
      <c r="J215">
        <v>675</v>
      </c>
      <c r="L215" t="s">
        <v>1168</v>
      </c>
      <c r="M215" t="s">
        <v>10</v>
      </c>
      <c r="N215" t="s">
        <v>460</v>
      </c>
      <c r="O215" t="s">
        <v>3137</v>
      </c>
      <c r="P215" t="s">
        <v>2660</v>
      </c>
      <c r="Q215" t="s">
        <v>3138</v>
      </c>
      <c r="R215" t="s">
        <v>521</v>
      </c>
      <c r="V215" t="s">
        <v>522</v>
      </c>
      <c r="W215" t="s">
        <v>505</v>
      </c>
      <c r="X215" t="str">
        <f t="shared" si="3"/>
        <v>BL555174@TRAC Corp</v>
      </c>
      <c r="Y215" t="str">
        <f>_xlfn.IFNA(_xll.BDP(X215,"INTERVAL_SUM", "MARKET_DATA_OVERRIDE=px_volume", "CALC_INTERVAL=5D"), "")</f>
        <v>#N/A N/A</v>
      </c>
      <c r="Z215" cm="1">
        <f t="array" ref="Z215">_xll.BDP(B215, "CF_ACT_CASH_PAID_FOR_INT_DEBT")</f>
        <v>81.613</v>
      </c>
      <c r="AA215" t="str" cm="1">
        <f t="array" ref="AA215">_xll.BDP(B215, "TYPE_OF_BOND")</f>
        <v>#N/A Field Not Applicable</v>
      </c>
    </row>
    <row r="216" spans="1:27" x14ac:dyDescent="0.25">
      <c r="A216">
        <v>214</v>
      </c>
      <c r="B216" t="s">
        <v>524</v>
      </c>
      <c r="C216" s="4" t="s">
        <v>503</v>
      </c>
      <c r="D216" s="4">
        <v>500000000</v>
      </c>
      <c r="E216" t="s">
        <v>11</v>
      </c>
      <c r="F216" s="1">
        <v>47056</v>
      </c>
      <c r="G216">
        <v>7.2119999999999997</v>
      </c>
      <c r="H216" t="s">
        <v>13</v>
      </c>
      <c r="I216" t="s">
        <v>2638</v>
      </c>
      <c r="J216">
        <v>500</v>
      </c>
      <c r="L216" t="s">
        <v>1171</v>
      </c>
      <c r="M216" t="s">
        <v>10</v>
      </c>
      <c r="N216" t="s">
        <v>460</v>
      </c>
      <c r="O216" t="s">
        <v>3137</v>
      </c>
      <c r="P216" t="s">
        <v>2660</v>
      </c>
      <c r="Q216" t="s">
        <v>3138</v>
      </c>
      <c r="R216" t="s">
        <v>525</v>
      </c>
      <c r="S216">
        <v>2000000</v>
      </c>
      <c r="T216">
        <v>2</v>
      </c>
      <c r="V216" t="s">
        <v>227</v>
      </c>
      <c r="W216" t="s">
        <v>505</v>
      </c>
      <c r="X216" t="str">
        <f t="shared" si="3"/>
        <v>BL375463@TRAC Corp</v>
      </c>
      <c r="Y216" t="str">
        <f>_xlfn.IFNA(_xll.BDP(X216,"INTERVAL_SUM", "MARKET_DATA_OVERRIDE=px_volume", "CALC_INTERVAL=5D"), "")</f>
        <v>#N/A N/A</v>
      </c>
      <c r="Z216" cm="1">
        <f t="array" ref="Z216">_xll.BDP(B216, "CF_ACT_CASH_PAID_FOR_INT_DEBT")</f>
        <v>14.211</v>
      </c>
      <c r="AA216" t="str" cm="1">
        <f t="array" ref="AA216">_xll.BDP(B216, "TYPE_OF_BOND")</f>
        <v>#N/A Field Not Applicable</v>
      </c>
    </row>
    <row r="217" spans="1:27" x14ac:dyDescent="0.25">
      <c r="A217">
        <v>215</v>
      </c>
      <c r="B217" t="s">
        <v>526</v>
      </c>
      <c r="C217" s="4" t="s">
        <v>503</v>
      </c>
      <c r="D217" s="4">
        <v>1642000000</v>
      </c>
      <c r="E217" s="1" t="s">
        <v>11</v>
      </c>
      <c r="F217" s="1">
        <v>47056</v>
      </c>
      <c r="G217">
        <v>8.7525999999999993</v>
      </c>
      <c r="H217" t="s">
        <v>13</v>
      </c>
      <c r="I217" t="s">
        <v>2631</v>
      </c>
      <c r="J217">
        <v>500</v>
      </c>
      <c r="L217" t="s">
        <v>1168</v>
      </c>
      <c r="M217" t="s">
        <v>10</v>
      </c>
      <c r="N217" t="s">
        <v>460</v>
      </c>
      <c r="O217" t="s">
        <v>3137</v>
      </c>
      <c r="P217" t="s">
        <v>2660</v>
      </c>
      <c r="Q217" t="s">
        <v>3138</v>
      </c>
      <c r="R217" t="s">
        <v>527</v>
      </c>
      <c r="S217">
        <v>2000000</v>
      </c>
      <c r="T217">
        <v>7</v>
      </c>
      <c r="V217" t="s">
        <v>227</v>
      </c>
      <c r="W217" t="s">
        <v>505</v>
      </c>
      <c r="X217" t="str">
        <f t="shared" si="3"/>
        <v>BL375462@TRAC Corp</v>
      </c>
      <c r="Y217" t="str">
        <f>_xlfn.IFNA(_xll.BDP(X217,"INTERVAL_SUM", "MARKET_DATA_OVERRIDE=px_volume", "CALC_INTERVAL=5D"), "")</f>
        <v>#N/A N/A</v>
      </c>
      <c r="Z217" cm="1">
        <f t="array" ref="Z217">_xll.BDP(B217, "CF_ACT_CASH_PAID_FOR_INT_DEBT")</f>
        <v>14.211</v>
      </c>
      <c r="AA217" t="str" cm="1">
        <f t="array" ref="AA217">_xll.BDP(B217, "TYPE_OF_BOND")</f>
        <v>#N/A Field Not Applicable</v>
      </c>
    </row>
    <row r="218" spans="1:27" x14ac:dyDescent="0.25">
      <c r="A218">
        <v>216</v>
      </c>
      <c r="B218" t="s">
        <v>3725</v>
      </c>
      <c r="C218" s="4" t="s">
        <v>503</v>
      </c>
      <c r="D218" s="4">
        <v>14999750</v>
      </c>
      <c r="E218" s="1" t="s">
        <v>331</v>
      </c>
      <c r="F218" s="1"/>
      <c r="G218">
        <v>12</v>
      </c>
      <c r="H218" t="s">
        <v>9</v>
      </c>
      <c r="L218" t="s">
        <v>1168</v>
      </c>
      <c r="M218" t="s">
        <v>10</v>
      </c>
      <c r="N218" t="s">
        <v>460</v>
      </c>
      <c r="O218" t="s">
        <v>3137</v>
      </c>
      <c r="P218" t="s">
        <v>2660</v>
      </c>
      <c r="Q218" t="s">
        <v>3138</v>
      </c>
      <c r="R218" t="s">
        <v>3726</v>
      </c>
      <c r="S218">
        <v>5336.796875</v>
      </c>
      <c r="T218">
        <v>69</v>
      </c>
      <c r="U218" t="s">
        <v>1176</v>
      </c>
      <c r="W218" t="s">
        <v>505</v>
      </c>
      <c r="X218" t="str">
        <f t="shared" si="3"/>
        <v>EP061140 Pfd</v>
      </c>
      <c r="Y218" t="str">
        <f>_xlfn.IFNA(_xll.BDP(X218,"INTERVAL_SUM", "MARKET_DATA_OVERRIDE=px_volume", "CALC_INTERVAL=5D"), "")</f>
        <v>#N/A N/A</v>
      </c>
      <c r="Z218" t="str" cm="1">
        <f t="array" ref="Z218">_xll.BDP(B218, "CF_ACT_CASH_PAID_FOR_INT_DEBT")</f>
        <v>#N/A N/A</v>
      </c>
      <c r="AA218" t="str" cm="1">
        <f t="array" ref="AA218">_xll.BDP(B218, "TYPE_OF_BOND")</f>
        <v>#N/A Field Not Applicable</v>
      </c>
    </row>
    <row r="219" spans="1:27" x14ac:dyDescent="0.25">
      <c r="A219">
        <v>217</v>
      </c>
      <c r="B219" t="s">
        <v>458</v>
      </c>
      <c r="C219" s="4" t="s">
        <v>459</v>
      </c>
      <c r="D219" s="4">
        <v>400000000</v>
      </c>
      <c r="E219" s="1" t="s">
        <v>11</v>
      </c>
      <c r="F219" s="1">
        <v>47756</v>
      </c>
      <c r="G219">
        <v>9.125</v>
      </c>
      <c r="H219" t="s">
        <v>9</v>
      </c>
      <c r="L219" t="s">
        <v>1168</v>
      </c>
      <c r="M219" t="s">
        <v>10</v>
      </c>
      <c r="N219" t="s">
        <v>460</v>
      </c>
      <c r="O219" t="s">
        <v>2655</v>
      </c>
      <c r="P219" t="s">
        <v>2655</v>
      </c>
      <c r="Q219" t="s">
        <v>3139</v>
      </c>
      <c r="R219" t="s">
        <v>461</v>
      </c>
      <c r="S219">
        <v>2883996.3987268601</v>
      </c>
      <c r="T219">
        <v>40</v>
      </c>
      <c r="U219" t="s">
        <v>1169</v>
      </c>
      <c r="W219" t="s">
        <v>462</v>
      </c>
      <c r="X219" t="str">
        <f t="shared" si="3"/>
        <v>YK151558@TRAC Corp</v>
      </c>
      <c r="Y219">
        <f>_xlfn.IFNA(_xll.BDP(X219,"INTERVAL_SUM", "MARKET_DATA_OVERRIDE=px_volume", "CALC_INTERVAL=5D"), "")</f>
        <v>715</v>
      </c>
      <c r="Z219" cm="1">
        <f t="array" ref="Z219">_xll.BDP(B219, "CF_ACT_CASH_PAID_FOR_INT_DEBT")</f>
        <v>157</v>
      </c>
      <c r="AA219" t="str" cm="1">
        <f t="array" ref="AA219">_xll.BDP(B219, "TYPE_OF_BOND")</f>
        <v>#N/A Field Not Applicable</v>
      </c>
    </row>
    <row r="220" spans="1:27" x14ac:dyDescent="0.25">
      <c r="A220">
        <v>218</v>
      </c>
      <c r="B220" t="s">
        <v>463</v>
      </c>
      <c r="C220" s="4" t="s">
        <v>459</v>
      </c>
      <c r="D220" s="4">
        <v>1075000000</v>
      </c>
      <c r="E220" s="1" t="s">
        <v>17</v>
      </c>
      <c r="F220" s="1">
        <v>47192</v>
      </c>
      <c r="G220">
        <v>4.625</v>
      </c>
      <c r="H220" t="s">
        <v>9</v>
      </c>
      <c r="L220" t="s">
        <v>1168</v>
      </c>
      <c r="M220" t="s">
        <v>10</v>
      </c>
      <c r="N220" t="s">
        <v>460</v>
      </c>
      <c r="O220" t="s">
        <v>2655</v>
      </c>
      <c r="P220" t="s">
        <v>2655</v>
      </c>
      <c r="Q220" t="s">
        <v>3139</v>
      </c>
      <c r="R220" t="s">
        <v>464</v>
      </c>
      <c r="S220">
        <v>2120208.3157306202</v>
      </c>
      <c r="T220">
        <v>18</v>
      </c>
      <c r="U220" t="s">
        <v>1169</v>
      </c>
      <c r="W220" t="s">
        <v>462</v>
      </c>
      <c r="X220" t="str">
        <f t="shared" si="3"/>
        <v>BO337624@TRAC Corp</v>
      </c>
      <c r="Y220">
        <f>_xlfn.IFNA(_xll.BDP(X220,"INTERVAL_SUM", "MARKET_DATA_OVERRIDE=px_volume", "CALC_INTERVAL=5D"), "")</f>
        <v>9187</v>
      </c>
      <c r="Z220" cm="1">
        <f t="array" ref="Z220">_xll.BDP(B220, "CF_ACT_CASH_PAID_FOR_INT_DEBT")</f>
        <v>157</v>
      </c>
      <c r="AA220" t="str" cm="1">
        <f t="array" ref="AA220">_xll.BDP(B220, "TYPE_OF_BOND")</f>
        <v>#N/A Field Not Applicable</v>
      </c>
    </row>
    <row r="221" spans="1:27" x14ac:dyDescent="0.25">
      <c r="A221">
        <v>219</v>
      </c>
      <c r="B221" t="s">
        <v>465</v>
      </c>
      <c r="C221" s="4" t="s">
        <v>459</v>
      </c>
      <c r="D221" s="4">
        <v>731860937.5</v>
      </c>
      <c r="E221" s="1" t="s">
        <v>11</v>
      </c>
      <c r="F221" s="1">
        <v>47212</v>
      </c>
      <c r="G221">
        <v>5.9177</v>
      </c>
      <c r="H221" t="s">
        <v>13</v>
      </c>
      <c r="I221" t="s">
        <v>2635</v>
      </c>
      <c r="J221">
        <v>225</v>
      </c>
      <c r="L221" t="s">
        <v>1168</v>
      </c>
      <c r="M221" t="s">
        <v>10</v>
      </c>
      <c r="N221" t="s">
        <v>460</v>
      </c>
      <c r="O221" t="s">
        <v>2655</v>
      </c>
      <c r="P221" t="s">
        <v>2655</v>
      </c>
      <c r="Q221" t="s">
        <v>3139</v>
      </c>
      <c r="R221" t="s">
        <v>466</v>
      </c>
      <c r="S221">
        <v>3000000</v>
      </c>
      <c r="T221">
        <v>17</v>
      </c>
      <c r="V221" t="s">
        <v>227</v>
      </c>
      <c r="W221" t="s">
        <v>462</v>
      </c>
      <c r="X221" t="str">
        <f t="shared" si="3"/>
        <v>BL485999@TRAC Corp</v>
      </c>
      <c r="Y221" t="str">
        <f>_xlfn.IFNA(_xll.BDP(X221,"INTERVAL_SUM", "MARKET_DATA_OVERRIDE=px_volume", "CALC_INTERVAL=5D"), "")</f>
        <v>#N/A N/A</v>
      </c>
      <c r="Z221" cm="1">
        <f t="array" ref="Z221">_xll.BDP(B221, "CF_ACT_CASH_PAID_FOR_INT_DEBT")</f>
        <v>157</v>
      </c>
      <c r="AA221" t="str" cm="1">
        <f t="array" ref="AA221">_xll.BDP(B221, "TYPE_OF_BOND")</f>
        <v>#N/A Field Not Applicable</v>
      </c>
    </row>
    <row r="222" spans="1:27" x14ac:dyDescent="0.25">
      <c r="A222">
        <v>220</v>
      </c>
      <c r="B222" t="s">
        <v>467</v>
      </c>
      <c r="C222" s="4" t="s">
        <v>459</v>
      </c>
      <c r="D222" s="4">
        <v>865000000</v>
      </c>
      <c r="E222" s="1" t="s">
        <v>11</v>
      </c>
      <c r="F222" s="1">
        <v>47301</v>
      </c>
      <c r="H222" t="s">
        <v>13</v>
      </c>
      <c r="L222" t="s">
        <v>1186</v>
      </c>
      <c r="M222" t="s">
        <v>468</v>
      </c>
      <c r="N222" t="s">
        <v>460</v>
      </c>
      <c r="O222" t="s">
        <v>3140</v>
      </c>
      <c r="P222" t="s">
        <v>2656</v>
      </c>
      <c r="Q222" t="s">
        <v>3141</v>
      </c>
      <c r="R222" t="s">
        <v>469</v>
      </c>
      <c r="V222" t="s">
        <v>227</v>
      </c>
      <c r="W222" t="s">
        <v>462</v>
      </c>
      <c r="X222" t="str">
        <f t="shared" si="3"/>
        <v>BL478110@TRAC Corp</v>
      </c>
      <c r="Y222" t="str">
        <f>_xlfn.IFNA(_xll.BDP(X222,"INTERVAL_SUM", "MARKET_DATA_OVERRIDE=px_volume", "CALC_INTERVAL=5D"), "")</f>
        <v>#N/A N/A</v>
      </c>
      <c r="Z222" cm="1">
        <f t="array" ref="Z222">_xll.BDP(B222, "CF_ACT_CASH_PAID_FOR_INT_DEBT")</f>
        <v>157</v>
      </c>
      <c r="AA222" t="str" cm="1">
        <f t="array" ref="AA222">_xll.BDP(B222, "TYPE_OF_BOND")</f>
        <v>#N/A Field Not Applicable</v>
      </c>
    </row>
    <row r="223" spans="1:27" x14ac:dyDescent="0.25">
      <c r="A223">
        <v>221</v>
      </c>
      <c r="B223" t="s">
        <v>470</v>
      </c>
      <c r="C223" s="4" t="s">
        <v>459</v>
      </c>
      <c r="D223" s="4">
        <v>888470000</v>
      </c>
      <c r="E223" s="1" t="s">
        <v>11</v>
      </c>
      <c r="F223" s="1">
        <v>48121</v>
      </c>
      <c r="G223">
        <v>6.1439000000000004</v>
      </c>
      <c r="H223" t="s">
        <v>13</v>
      </c>
      <c r="I223" t="s">
        <v>2631</v>
      </c>
      <c r="J223">
        <v>250</v>
      </c>
      <c r="L223" t="s">
        <v>1168</v>
      </c>
      <c r="M223" t="s">
        <v>10</v>
      </c>
      <c r="N223" t="s">
        <v>460</v>
      </c>
      <c r="O223" t="s">
        <v>2655</v>
      </c>
      <c r="P223" t="s">
        <v>2655</v>
      </c>
      <c r="Q223" t="s">
        <v>3139</v>
      </c>
      <c r="R223" t="s">
        <v>471</v>
      </c>
      <c r="S223">
        <v>5000000</v>
      </c>
      <c r="T223">
        <v>11</v>
      </c>
      <c r="V223" t="s">
        <v>227</v>
      </c>
      <c r="W223" t="s">
        <v>462</v>
      </c>
      <c r="X223" t="str">
        <f t="shared" si="3"/>
        <v>BL475867@TRAC Corp</v>
      </c>
      <c r="Y223" t="str">
        <f>_xlfn.IFNA(_xll.BDP(X223,"INTERVAL_SUM", "MARKET_DATA_OVERRIDE=px_volume", "CALC_INTERVAL=5D"), "")</f>
        <v>#N/A N/A</v>
      </c>
      <c r="Z223" cm="1">
        <f t="array" ref="Z223">_xll.BDP(B223, "CF_ACT_CASH_PAID_FOR_INT_DEBT")</f>
        <v>157</v>
      </c>
      <c r="AA223" t="str" cm="1">
        <f t="array" ref="AA223">_xll.BDP(B223, "TYPE_OF_BOND")</f>
        <v>#N/A Field Not Applicable</v>
      </c>
    </row>
    <row r="224" spans="1:27" x14ac:dyDescent="0.25">
      <c r="A224">
        <v>222</v>
      </c>
      <c r="B224" t="s">
        <v>472</v>
      </c>
      <c r="C224" s="4" t="s">
        <v>459</v>
      </c>
      <c r="D224" s="4">
        <v>1000000000</v>
      </c>
      <c r="E224" s="1" t="s">
        <v>11</v>
      </c>
      <c r="F224" s="1">
        <v>46615</v>
      </c>
      <c r="H224" t="s">
        <v>13</v>
      </c>
      <c r="L224" t="s">
        <v>1186</v>
      </c>
      <c r="M224" t="s">
        <v>468</v>
      </c>
      <c r="N224" t="s">
        <v>460</v>
      </c>
      <c r="O224" t="s">
        <v>3140</v>
      </c>
      <c r="P224" t="s">
        <v>2656</v>
      </c>
      <c r="Q224" t="s">
        <v>3141</v>
      </c>
      <c r="R224" t="s">
        <v>473</v>
      </c>
      <c r="V224" t="s">
        <v>226</v>
      </c>
      <c r="W224" t="s">
        <v>462</v>
      </c>
      <c r="X224" t="str">
        <f t="shared" si="3"/>
        <v>BL378930@TRAC Corp</v>
      </c>
      <c r="Y224" t="str">
        <f>_xlfn.IFNA(_xll.BDP(X224,"INTERVAL_SUM", "MARKET_DATA_OVERRIDE=px_volume", "CALC_INTERVAL=5D"), "")</f>
        <v>#N/A N/A</v>
      </c>
      <c r="Z224" cm="1">
        <f t="array" ref="Z224">_xll.BDP(B224, "CF_ACT_CASH_PAID_FOR_INT_DEBT")</f>
        <v>157</v>
      </c>
      <c r="AA224" t="str" cm="1">
        <f t="array" ref="AA224">_xll.BDP(B224, "TYPE_OF_BOND")</f>
        <v>#N/A Field Not Applicable</v>
      </c>
    </row>
    <row r="225" spans="1:27" x14ac:dyDescent="0.25">
      <c r="A225">
        <v>223</v>
      </c>
      <c r="B225" t="s">
        <v>474</v>
      </c>
      <c r="C225" s="4" t="s">
        <v>459</v>
      </c>
      <c r="D225" s="4">
        <v>60000000</v>
      </c>
      <c r="E225" s="1" t="s">
        <v>11</v>
      </c>
      <c r="F225" s="1">
        <v>47345</v>
      </c>
      <c r="G225">
        <v>6.0084</v>
      </c>
      <c r="H225" t="s">
        <v>13</v>
      </c>
      <c r="I225" t="s">
        <v>2631</v>
      </c>
      <c r="J225">
        <v>225</v>
      </c>
      <c r="L225" t="s">
        <v>1168</v>
      </c>
      <c r="M225" t="s">
        <v>10</v>
      </c>
      <c r="N225" t="s">
        <v>460</v>
      </c>
      <c r="O225" t="s">
        <v>2655</v>
      </c>
      <c r="P225" t="s">
        <v>2655</v>
      </c>
      <c r="Q225" t="s">
        <v>3139</v>
      </c>
      <c r="R225" t="s">
        <v>475</v>
      </c>
      <c r="V225" t="s">
        <v>226</v>
      </c>
      <c r="W225" t="s">
        <v>462</v>
      </c>
      <c r="X225" t="str">
        <f t="shared" si="3"/>
        <v>BL358242@TRAC Corp</v>
      </c>
      <c r="Y225" t="str">
        <f>_xlfn.IFNA(_xll.BDP(X225,"INTERVAL_SUM", "MARKET_DATA_OVERRIDE=px_volume", "CALC_INTERVAL=5D"), "")</f>
        <v>#N/A N/A</v>
      </c>
      <c r="Z225" cm="1">
        <f t="array" ref="Z225">_xll.BDP(B225, "CF_ACT_CASH_PAID_FOR_INT_DEBT")</f>
        <v>157</v>
      </c>
      <c r="AA225" t="str" cm="1">
        <f t="array" ref="AA225">_xll.BDP(B225, "TYPE_OF_BOND")</f>
        <v>#N/A Field Not Applicable</v>
      </c>
    </row>
    <row r="226" spans="1:27" x14ac:dyDescent="0.25">
      <c r="A226">
        <v>224</v>
      </c>
      <c r="B226" t="s">
        <v>3371</v>
      </c>
      <c r="C226" s="4" t="s">
        <v>3372</v>
      </c>
      <c r="D226" s="4">
        <v>760500000</v>
      </c>
      <c r="E226" t="s">
        <v>11</v>
      </c>
      <c r="F226" s="1">
        <v>46744</v>
      </c>
      <c r="G226">
        <v>9.4295000000000009</v>
      </c>
      <c r="H226" t="s">
        <v>13</v>
      </c>
      <c r="I226" t="s">
        <v>2631</v>
      </c>
      <c r="J226">
        <v>575</v>
      </c>
      <c r="L226" t="s">
        <v>1168</v>
      </c>
      <c r="M226" t="s">
        <v>10</v>
      </c>
      <c r="N226" t="s">
        <v>14</v>
      </c>
      <c r="O226" t="s">
        <v>3120</v>
      </c>
      <c r="P226" t="s">
        <v>2641</v>
      </c>
      <c r="Q226" t="s">
        <v>3373</v>
      </c>
      <c r="R226" t="s">
        <v>3374</v>
      </c>
      <c r="S226">
        <v>5000000</v>
      </c>
      <c r="T226">
        <v>19</v>
      </c>
      <c r="V226" t="s">
        <v>227</v>
      </c>
      <c r="W226" t="s">
        <v>476</v>
      </c>
      <c r="X226" t="str">
        <f t="shared" si="3"/>
        <v>BL450371@TRAC Corp</v>
      </c>
      <c r="Y226" t="str">
        <f>_xlfn.IFNA(_xll.BDP(X226,"INTERVAL_SUM", "MARKET_DATA_OVERRIDE=px_volume", "CALC_INTERVAL=5D"), "")</f>
        <v>#N/A N/A</v>
      </c>
      <c r="Z226" t="str" cm="1">
        <f t="array" ref="Z226">_xll.BDP(B226, "CF_ACT_CASH_PAID_FOR_INT_DEBT")</f>
        <v>#N/A N/A</v>
      </c>
      <c r="AA226" t="str" cm="1">
        <f t="array" ref="AA226">_xll.BDP(B226, "TYPE_OF_BOND")</f>
        <v>#N/A Field Not Applicable</v>
      </c>
    </row>
    <row r="227" spans="1:27" x14ac:dyDescent="0.25">
      <c r="A227">
        <v>225</v>
      </c>
      <c r="B227" t="s">
        <v>3375</v>
      </c>
      <c r="C227" s="4" t="s">
        <v>3372</v>
      </c>
      <c r="D227" s="4">
        <v>275000000</v>
      </c>
      <c r="E227" t="s">
        <v>11</v>
      </c>
      <c r="F227" s="1">
        <v>46744</v>
      </c>
      <c r="G227">
        <v>9.6466999999999992</v>
      </c>
      <c r="H227" t="s">
        <v>13</v>
      </c>
      <c r="I227" t="s">
        <v>2631</v>
      </c>
      <c r="J227">
        <v>600</v>
      </c>
      <c r="L227" t="s">
        <v>1168</v>
      </c>
      <c r="M227" t="s">
        <v>10</v>
      </c>
      <c r="N227" t="s">
        <v>14</v>
      </c>
      <c r="O227" t="s">
        <v>3120</v>
      </c>
      <c r="P227" t="s">
        <v>2641</v>
      </c>
      <c r="Q227" t="s">
        <v>3373</v>
      </c>
      <c r="R227" t="s">
        <v>3376</v>
      </c>
      <c r="S227">
        <v>3038675.2979144501</v>
      </c>
      <c r="T227">
        <v>7</v>
      </c>
      <c r="V227" t="s">
        <v>227</v>
      </c>
      <c r="W227" t="s">
        <v>476</v>
      </c>
      <c r="X227" t="str">
        <f t="shared" si="3"/>
        <v>BL398857@TRAC Corp</v>
      </c>
      <c r="Y227" t="str">
        <f>_xlfn.IFNA(_xll.BDP(X227,"INTERVAL_SUM", "MARKET_DATA_OVERRIDE=px_volume", "CALC_INTERVAL=5D"), "")</f>
        <v>#N/A N/A</v>
      </c>
      <c r="Z227" t="str" cm="1">
        <f t="array" ref="Z227">_xll.BDP(B227, "CF_ACT_CASH_PAID_FOR_INT_DEBT")</f>
        <v>#N/A N/A</v>
      </c>
      <c r="AA227" t="str" cm="1">
        <f t="array" ref="AA227">_xll.BDP(B227, "TYPE_OF_BOND")</f>
        <v>#N/A Field Not Applicable</v>
      </c>
    </row>
    <row r="228" spans="1:27" x14ac:dyDescent="0.25">
      <c r="A228">
        <v>226</v>
      </c>
      <c r="B228" t="s">
        <v>3377</v>
      </c>
      <c r="C228" s="4" t="s">
        <v>3372</v>
      </c>
      <c r="D228" s="4">
        <v>700000000</v>
      </c>
      <c r="E228" t="s">
        <v>11</v>
      </c>
      <c r="F228" s="1">
        <v>46744</v>
      </c>
      <c r="G228">
        <v>7.5084</v>
      </c>
      <c r="H228" t="s">
        <v>13</v>
      </c>
      <c r="I228" t="s">
        <v>2631</v>
      </c>
      <c r="J228">
        <v>375</v>
      </c>
      <c r="L228" t="s">
        <v>1168</v>
      </c>
      <c r="M228" t="s">
        <v>10</v>
      </c>
      <c r="N228" t="s">
        <v>14</v>
      </c>
      <c r="O228" t="s">
        <v>3120</v>
      </c>
      <c r="P228" t="s">
        <v>2641</v>
      </c>
      <c r="Q228" t="s">
        <v>3373</v>
      </c>
      <c r="R228" t="s">
        <v>3378</v>
      </c>
      <c r="S228">
        <v>5000000</v>
      </c>
      <c r="T228">
        <v>25</v>
      </c>
      <c r="V228" t="s">
        <v>227</v>
      </c>
      <c r="W228" t="s">
        <v>476</v>
      </c>
      <c r="X228" t="str">
        <f t="shared" si="3"/>
        <v>BL364270@TRAC Corp</v>
      </c>
      <c r="Y228" t="str">
        <f>_xlfn.IFNA(_xll.BDP(X228,"INTERVAL_SUM", "MARKET_DATA_OVERRIDE=px_volume", "CALC_INTERVAL=5D"), "")</f>
        <v>#N/A N/A</v>
      </c>
      <c r="Z228" t="str" cm="1">
        <f t="array" ref="Z228">_xll.BDP(B228, "CF_ACT_CASH_PAID_FOR_INT_DEBT")</f>
        <v>#N/A N/A</v>
      </c>
      <c r="AA228" t="str" cm="1">
        <f t="array" ref="AA228">_xll.BDP(B228, "TYPE_OF_BOND")</f>
        <v>#N/A Field Not Applicable</v>
      </c>
    </row>
    <row r="229" spans="1:27" x14ac:dyDescent="0.25">
      <c r="A229">
        <v>227</v>
      </c>
      <c r="B229" t="s">
        <v>3379</v>
      </c>
      <c r="C229" s="4" t="s">
        <v>3372</v>
      </c>
      <c r="D229" s="4">
        <v>1200000000</v>
      </c>
      <c r="E229" t="s">
        <v>11</v>
      </c>
      <c r="F229" s="1">
        <v>46744</v>
      </c>
      <c r="G229">
        <v>7.1414</v>
      </c>
      <c r="H229" t="s">
        <v>13</v>
      </c>
      <c r="I229" t="s">
        <v>2631</v>
      </c>
      <c r="J229">
        <v>337.5</v>
      </c>
      <c r="L229" t="s">
        <v>1168</v>
      </c>
      <c r="M229" t="s">
        <v>10</v>
      </c>
      <c r="N229" t="s">
        <v>14</v>
      </c>
      <c r="O229" t="s">
        <v>3120</v>
      </c>
      <c r="P229" t="s">
        <v>2641</v>
      </c>
      <c r="Q229" t="s">
        <v>3373</v>
      </c>
      <c r="R229" t="s">
        <v>3380</v>
      </c>
      <c r="S229">
        <v>5000000</v>
      </c>
      <c r="T229">
        <v>25</v>
      </c>
      <c r="V229" t="s">
        <v>227</v>
      </c>
      <c r="W229" t="s">
        <v>476</v>
      </c>
      <c r="X229" t="str">
        <f t="shared" si="3"/>
        <v>BL354791@TRAC Corp</v>
      </c>
      <c r="Y229" t="str">
        <f>_xlfn.IFNA(_xll.BDP(X229,"INTERVAL_SUM", "MARKET_DATA_OVERRIDE=px_volume", "CALC_INTERVAL=5D"), "")</f>
        <v>#N/A N/A</v>
      </c>
      <c r="Z229" t="str" cm="1">
        <f t="array" ref="Z229">_xll.BDP(B229, "CF_ACT_CASH_PAID_FOR_INT_DEBT")</f>
        <v>#N/A N/A</v>
      </c>
      <c r="AA229" t="str" cm="1">
        <f t="array" ref="AA229">_xll.BDP(B229, "TYPE_OF_BOND")</f>
        <v>#N/A Field Not Applicable</v>
      </c>
    </row>
    <row r="230" spans="1:27" x14ac:dyDescent="0.25">
      <c r="A230">
        <v>228</v>
      </c>
      <c r="B230" t="s">
        <v>3381</v>
      </c>
      <c r="C230" s="4" t="s">
        <v>3382</v>
      </c>
      <c r="D230" s="4">
        <v>2600000000</v>
      </c>
      <c r="E230" s="1" t="s">
        <v>11</v>
      </c>
      <c r="F230" s="1">
        <v>48030</v>
      </c>
      <c r="G230">
        <v>7.9131999999999998</v>
      </c>
      <c r="H230" t="s">
        <v>13</v>
      </c>
      <c r="I230" t="s">
        <v>2635</v>
      </c>
      <c r="J230">
        <v>425</v>
      </c>
      <c r="L230" t="s">
        <v>1168</v>
      </c>
      <c r="M230" t="s">
        <v>10</v>
      </c>
      <c r="N230" t="s">
        <v>15</v>
      </c>
      <c r="O230" t="s">
        <v>3110</v>
      </c>
      <c r="P230" t="s">
        <v>2637</v>
      </c>
      <c r="Q230" t="s">
        <v>3112</v>
      </c>
      <c r="R230" t="s">
        <v>3383</v>
      </c>
      <c r="S230">
        <v>2000000</v>
      </c>
      <c r="T230">
        <v>11</v>
      </c>
      <c r="V230" t="s">
        <v>227</v>
      </c>
      <c r="W230" t="s">
        <v>3384</v>
      </c>
      <c r="X230" t="str">
        <f t="shared" si="3"/>
        <v>BL462976@TRAC Corp</v>
      </c>
      <c r="Y230" t="str">
        <f>_xlfn.IFNA(_xll.BDP(X230,"INTERVAL_SUM", "MARKET_DATA_OVERRIDE=px_volume", "CALC_INTERVAL=5D"), "")</f>
        <v>#N/A N/A</v>
      </c>
      <c r="Z230" t="str" cm="1">
        <f t="array" ref="Z230">_xll.BDP(B230, "CF_ACT_CASH_PAID_FOR_INT_DEBT")</f>
        <v>#N/A N/A</v>
      </c>
      <c r="AA230" t="str" cm="1">
        <f t="array" ref="AA230">_xll.BDP(B230, "TYPE_OF_BOND")</f>
        <v>#N/A Field Not Applicable</v>
      </c>
    </row>
    <row r="231" spans="1:27" x14ac:dyDescent="0.25">
      <c r="A231">
        <v>229</v>
      </c>
      <c r="B231" t="s">
        <v>528</v>
      </c>
      <c r="C231" s="4" t="s">
        <v>529</v>
      </c>
      <c r="D231" s="4">
        <v>2480000000</v>
      </c>
      <c r="E231" s="1" t="s">
        <v>11</v>
      </c>
      <c r="F231" s="1">
        <v>46867</v>
      </c>
      <c r="G231">
        <v>7.7495000000000003</v>
      </c>
      <c r="H231" t="s">
        <v>13</v>
      </c>
      <c r="I231" t="s">
        <v>2635</v>
      </c>
      <c r="J231">
        <v>400</v>
      </c>
      <c r="L231" t="s">
        <v>1168</v>
      </c>
      <c r="M231" t="s">
        <v>10</v>
      </c>
      <c r="N231" t="s">
        <v>15</v>
      </c>
      <c r="O231" t="s">
        <v>3110</v>
      </c>
      <c r="P231" t="s">
        <v>2634</v>
      </c>
      <c r="Q231" t="s">
        <v>3115</v>
      </c>
      <c r="R231" t="s">
        <v>530</v>
      </c>
      <c r="S231">
        <v>5000000</v>
      </c>
      <c r="T231">
        <v>14</v>
      </c>
      <c r="V231" t="s">
        <v>227</v>
      </c>
      <c r="W231" t="s">
        <v>531</v>
      </c>
      <c r="X231" t="str">
        <f t="shared" si="3"/>
        <v>BL375749@TRAC Corp</v>
      </c>
      <c r="Y231" t="str">
        <f>_xlfn.IFNA(_xll.BDP(X231,"INTERVAL_SUM", "MARKET_DATA_OVERRIDE=px_volume", "CALC_INTERVAL=5D"), "")</f>
        <v>#N/A N/A</v>
      </c>
      <c r="Z231" t="str" cm="1">
        <f t="array" ref="Z231">_xll.BDP(B231, "CF_ACT_CASH_PAID_FOR_INT_DEBT")</f>
        <v>#N/A N/A</v>
      </c>
      <c r="AA231" t="str" cm="1">
        <f t="array" ref="AA231">_xll.BDP(B231, "TYPE_OF_BOND")</f>
        <v>#N/A Field Not Applicable</v>
      </c>
    </row>
    <row r="232" spans="1:27" x14ac:dyDescent="0.25">
      <c r="A232">
        <v>230</v>
      </c>
      <c r="B232" t="s">
        <v>532</v>
      </c>
      <c r="C232" s="4" t="s">
        <v>529</v>
      </c>
      <c r="D232" s="4">
        <v>85000000</v>
      </c>
      <c r="E232" s="1" t="s">
        <v>33</v>
      </c>
      <c r="F232" s="1">
        <v>47231</v>
      </c>
      <c r="G232">
        <v>10.9253</v>
      </c>
      <c r="H232" t="s">
        <v>13</v>
      </c>
      <c r="I232" t="s">
        <v>2631</v>
      </c>
      <c r="J232">
        <v>725</v>
      </c>
      <c r="L232" t="s">
        <v>1168</v>
      </c>
      <c r="M232" t="s">
        <v>10</v>
      </c>
      <c r="N232" t="s">
        <v>15</v>
      </c>
      <c r="O232" t="s">
        <v>3110</v>
      </c>
      <c r="P232" t="s">
        <v>2634</v>
      </c>
      <c r="Q232" t="s">
        <v>3115</v>
      </c>
      <c r="R232" t="s">
        <v>533</v>
      </c>
      <c r="S232">
        <v>2479995.21150363</v>
      </c>
      <c r="T232">
        <v>6</v>
      </c>
      <c r="V232" t="s">
        <v>227</v>
      </c>
      <c r="W232" t="s">
        <v>531</v>
      </c>
      <c r="X232" t="str">
        <f t="shared" si="3"/>
        <v>BL369343@TRAC Corp</v>
      </c>
      <c r="Y232" t="str">
        <f>_xlfn.IFNA(_xll.BDP(X232,"INTERVAL_SUM", "MARKET_DATA_OVERRIDE=px_volume", "CALC_INTERVAL=5D"), "")</f>
        <v>#N/A N/A</v>
      </c>
      <c r="Z232" t="str" cm="1">
        <f t="array" ref="Z232">_xll.BDP(B232, "CF_ACT_CASH_PAID_FOR_INT_DEBT")</f>
        <v>#N/A N/A</v>
      </c>
      <c r="AA232" t="str" cm="1">
        <f t="array" ref="AA232">_xll.BDP(B232, "TYPE_OF_BOND")</f>
        <v>#N/A Field Not Applicable</v>
      </c>
    </row>
    <row r="233" spans="1:27" x14ac:dyDescent="0.25">
      <c r="A233">
        <v>231</v>
      </c>
      <c r="B233" t="s">
        <v>534</v>
      </c>
      <c r="C233" s="4" t="s">
        <v>529</v>
      </c>
      <c r="D233" s="4">
        <v>535000000</v>
      </c>
      <c r="E233" s="1" t="s">
        <v>33</v>
      </c>
      <c r="F233" s="1">
        <v>47231</v>
      </c>
      <c r="G233">
        <v>10.946</v>
      </c>
      <c r="H233" t="s">
        <v>13</v>
      </c>
      <c r="I233" t="s">
        <v>2635</v>
      </c>
      <c r="J233">
        <v>725</v>
      </c>
      <c r="L233" t="s">
        <v>1168</v>
      </c>
      <c r="M233" t="s">
        <v>10</v>
      </c>
      <c r="N233" t="s">
        <v>15</v>
      </c>
      <c r="O233" t="s">
        <v>3110</v>
      </c>
      <c r="P233" t="s">
        <v>2634</v>
      </c>
      <c r="Q233" t="s">
        <v>3115</v>
      </c>
      <c r="R233" t="s">
        <v>533</v>
      </c>
      <c r="S233">
        <v>1000000</v>
      </c>
      <c r="T233">
        <v>2</v>
      </c>
      <c r="V233" t="s">
        <v>227</v>
      </c>
      <c r="W233" t="s">
        <v>531</v>
      </c>
      <c r="X233" t="str">
        <f t="shared" si="3"/>
        <v>BL358084@TRAC Corp</v>
      </c>
      <c r="Y233" t="str">
        <f>_xlfn.IFNA(_xll.BDP(X233,"INTERVAL_SUM", "MARKET_DATA_OVERRIDE=px_volume", "CALC_INTERVAL=5D"), "")</f>
        <v>#N/A N/A</v>
      </c>
      <c r="Z233" t="str" cm="1">
        <f t="array" ref="Z233">_xll.BDP(B233, "CF_ACT_CASH_PAID_FOR_INT_DEBT")</f>
        <v>#N/A N/A</v>
      </c>
      <c r="AA233" t="str" cm="1">
        <f t="array" ref="AA233">_xll.BDP(B233, "TYPE_OF_BOND")</f>
        <v>#N/A Field Not Applicable</v>
      </c>
    </row>
    <row r="234" spans="1:27" x14ac:dyDescent="0.25">
      <c r="A234">
        <v>232</v>
      </c>
      <c r="B234" t="s">
        <v>477</v>
      </c>
      <c r="C234" s="4" t="s">
        <v>478</v>
      </c>
      <c r="D234" s="4">
        <v>400000000</v>
      </c>
      <c r="E234" s="1" t="s">
        <v>17</v>
      </c>
      <c r="F234" s="1">
        <v>47557</v>
      </c>
      <c r="G234">
        <v>3.75</v>
      </c>
      <c r="H234" t="s">
        <v>9</v>
      </c>
      <c r="L234" t="s">
        <v>1168</v>
      </c>
      <c r="M234" t="s">
        <v>10</v>
      </c>
      <c r="N234" t="s">
        <v>15</v>
      </c>
      <c r="O234" t="s">
        <v>3145</v>
      </c>
      <c r="P234" t="s">
        <v>2657</v>
      </c>
      <c r="Q234" t="s">
        <v>3146</v>
      </c>
      <c r="R234" t="s">
        <v>479</v>
      </c>
      <c r="S234">
        <v>3497477.39359697</v>
      </c>
      <c r="T234">
        <v>5</v>
      </c>
      <c r="W234" t="s">
        <v>480</v>
      </c>
      <c r="X234" t="str">
        <f t="shared" si="3"/>
        <v>ZD502329@TRAC Corp</v>
      </c>
      <c r="Y234">
        <f>_xlfn.IFNA(_xll.BDP(X234,"INTERVAL_SUM", "MARKET_DATA_OVERRIDE=px_volume", "CALC_INTERVAL=5D"), "")</f>
        <v>50</v>
      </c>
      <c r="Z234" t="str" cm="1">
        <f t="array" ref="Z234">_xll.BDP(B234, "CF_ACT_CASH_PAID_FOR_INT_DEBT")</f>
        <v>#N/A N/A</v>
      </c>
      <c r="AA234" t="str" cm="1">
        <f t="array" ref="AA234">_xll.BDP(B234, "TYPE_OF_BOND")</f>
        <v>Convertible</v>
      </c>
    </row>
    <row r="235" spans="1:27" x14ac:dyDescent="0.25">
      <c r="A235">
        <v>233</v>
      </c>
      <c r="B235" t="s">
        <v>481</v>
      </c>
      <c r="C235" s="4" t="s">
        <v>478</v>
      </c>
      <c r="D235" s="4">
        <v>500000000</v>
      </c>
      <c r="E235" s="1" t="s">
        <v>17</v>
      </c>
      <c r="F235" s="1">
        <v>47452</v>
      </c>
      <c r="G235">
        <v>8.875</v>
      </c>
      <c r="H235" t="s">
        <v>9</v>
      </c>
      <c r="L235" t="s">
        <v>1168</v>
      </c>
      <c r="M235" t="s">
        <v>10</v>
      </c>
      <c r="N235" t="s">
        <v>15</v>
      </c>
      <c r="O235" t="s">
        <v>3145</v>
      </c>
      <c r="P235" t="s">
        <v>2657</v>
      </c>
      <c r="Q235" t="s">
        <v>3146</v>
      </c>
      <c r="R235" t="s">
        <v>482</v>
      </c>
      <c r="S235">
        <v>11930262.418233899</v>
      </c>
      <c r="T235">
        <v>14</v>
      </c>
      <c r="U235" t="s">
        <v>1169</v>
      </c>
      <c r="W235" t="s">
        <v>480</v>
      </c>
      <c r="X235" t="str">
        <f t="shared" si="3"/>
        <v>ZD461965@TRAC Corp</v>
      </c>
      <c r="Y235">
        <f>_xlfn.IFNA(_xll.BDP(X235,"INTERVAL_SUM", "MARKET_DATA_OVERRIDE=px_volume", "CALC_INTERVAL=5D"), "")</f>
        <v>2250</v>
      </c>
      <c r="Z235" t="str" cm="1">
        <f t="array" ref="Z235">_xll.BDP(B235, "CF_ACT_CASH_PAID_FOR_INT_DEBT")</f>
        <v>#N/A N/A</v>
      </c>
      <c r="AA235" t="str" cm="1">
        <f t="array" ref="AA235">_xll.BDP(B235, "TYPE_OF_BOND")</f>
        <v>#N/A Field Not Applicable</v>
      </c>
    </row>
    <row r="236" spans="1:27" x14ac:dyDescent="0.25">
      <c r="A236">
        <v>234</v>
      </c>
      <c r="B236" t="s">
        <v>483</v>
      </c>
      <c r="C236" s="4" t="s">
        <v>478</v>
      </c>
      <c r="D236" s="4">
        <v>500000000</v>
      </c>
      <c r="E236" s="1" t="s">
        <v>33</v>
      </c>
      <c r="F236" s="1">
        <v>47953</v>
      </c>
      <c r="G236">
        <v>13.5</v>
      </c>
      <c r="H236" t="s">
        <v>9</v>
      </c>
      <c r="L236" t="s">
        <v>1168</v>
      </c>
      <c r="M236" t="s">
        <v>10</v>
      </c>
      <c r="N236" t="s">
        <v>15</v>
      </c>
      <c r="O236" t="s">
        <v>3145</v>
      </c>
      <c r="P236" t="s">
        <v>2657</v>
      </c>
      <c r="Q236" t="s">
        <v>3146</v>
      </c>
      <c r="R236" t="s">
        <v>484</v>
      </c>
      <c r="S236">
        <v>13678355.6908722</v>
      </c>
      <c r="T236">
        <v>16</v>
      </c>
      <c r="U236" t="s">
        <v>1169</v>
      </c>
      <c r="W236" t="s">
        <v>480</v>
      </c>
      <c r="X236" t="str">
        <f t="shared" si="3"/>
        <v>YQ726224@TRAC Corp</v>
      </c>
      <c r="Y236">
        <f>_xlfn.IFNA(_xll.BDP(X236,"INTERVAL_SUM", "MARKET_DATA_OVERRIDE=px_volume", "CALC_INTERVAL=5D"), "")</f>
        <v>7031</v>
      </c>
      <c r="Z236" t="str" cm="1">
        <f t="array" ref="Z236">_xll.BDP(B236, "CF_ACT_CASH_PAID_FOR_INT_DEBT")</f>
        <v>#N/A N/A</v>
      </c>
      <c r="AA236" t="str" cm="1">
        <f t="array" ref="AA236">_xll.BDP(B236, "TYPE_OF_BOND")</f>
        <v>#N/A Field Not Applicable</v>
      </c>
    </row>
    <row r="237" spans="1:27" x14ac:dyDescent="0.25">
      <c r="A237">
        <v>235</v>
      </c>
      <c r="B237" t="s">
        <v>485</v>
      </c>
      <c r="C237" s="4" t="s">
        <v>478</v>
      </c>
      <c r="D237" s="4">
        <v>400000000</v>
      </c>
      <c r="E237" t="s">
        <v>11</v>
      </c>
      <c r="F237" s="1">
        <v>47771</v>
      </c>
      <c r="G237">
        <v>10.25</v>
      </c>
      <c r="H237" t="s">
        <v>9</v>
      </c>
      <c r="L237" t="s">
        <v>1168</v>
      </c>
      <c r="M237" t="s">
        <v>10</v>
      </c>
      <c r="N237" t="s">
        <v>15</v>
      </c>
      <c r="O237" t="s">
        <v>3145</v>
      </c>
      <c r="P237" t="s">
        <v>2657</v>
      </c>
      <c r="Q237" t="s">
        <v>3146</v>
      </c>
      <c r="R237" t="s">
        <v>486</v>
      </c>
      <c r="S237">
        <v>2597642.9570025699</v>
      </c>
      <c r="T237">
        <v>20</v>
      </c>
      <c r="U237" t="s">
        <v>1169</v>
      </c>
      <c r="W237" t="s">
        <v>480</v>
      </c>
      <c r="X237" t="str">
        <f t="shared" si="3"/>
        <v>YQ726223@TRAC Corp</v>
      </c>
      <c r="Y237">
        <f>_xlfn.IFNA(_xll.BDP(X237,"INTERVAL_SUM", "MARKET_DATA_OVERRIDE=px_volume", "CALC_INTERVAL=5D"), "")</f>
        <v>10529</v>
      </c>
      <c r="Z237" t="str" cm="1">
        <f t="array" ref="Z237">_xll.BDP(B237, "CF_ACT_CASH_PAID_FOR_INT_DEBT")</f>
        <v>#N/A N/A</v>
      </c>
      <c r="AA237" t="str" cm="1">
        <f t="array" ref="AA237">_xll.BDP(B237, "TYPE_OF_BOND")</f>
        <v>#N/A Field Not Applicable</v>
      </c>
    </row>
    <row r="238" spans="1:27" x14ac:dyDescent="0.25">
      <c r="A238">
        <v>236</v>
      </c>
      <c r="B238" t="s">
        <v>487</v>
      </c>
      <c r="C238" s="4" t="s">
        <v>478</v>
      </c>
      <c r="D238" s="4">
        <v>250000000</v>
      </c>
      <c r="E238" t="s">
        <v>17</v>
      </c>
      <c r="F238" s="1">
        <v>47665</v>
      </c>
      <c r="G238">
        <v>13.5</v>
      </c>
      <c r="H238" t="s">
        <v>488</v>
      </c>
      <c r="L238" t="s">
        <v>1168</v>
      </c>
      <c r="M238" t="s">
        <v>10</v>
      </c>
      <c r="N238" t="s">
        <v>15</v>
      </c>
      <c r="O238" t="s">
        <v>3145</v>
      </c>
      <c r="P238" t="s">
        <v>2657</v>
      </c>
      <c r="Q238" t="s">
        <v>3146</v>
      </c>
      <c r="R238" t="s">
        <v>489</v>
      </c>
      <c r="S238">
        <v>12140543.492018601</v>
      </c>
      <c r="T238">
        <v>12</v>
      </c>
      <c r="W238" t="s">
        <v>480</v>
      </c>
      <c r="X238" t="str">
        <f t="shared" si="3"/>
        <v>YL326001@TRAC Corp</v>
      </c>
      <c r="Y238" t="str">
        <f>_xlfn.IFNA(_xll.BDP(X238,"INTERVAL_SUM", "MARKET_DATA_OVERRIDE=px_volume", "CALC_INTERVAL=5D"), "")</f>
        <v>#N/A N/A</v>
      </c>
      <c r="Z238" t="str" cm="1">
        <f t="array" ref="Z238">_xll.BDP(B238, "CF_ACT_CASH_PAID_FOR_INT_DEBT")</f>
        <v>#N/A N/A</v>
      </c>
      <c r="AA238" t="str" cm="1">
        <f t="array" ref="AA238">_xll.BDP(B238, "TYPE_OF_BOND")</f>
        <v>#N/A Field Not Applicable</v>
      </c>
    </row>
    <row r="239" spans="1:27" x14ac:dyDescent="0.25">
      <c r="A239">
        <v>237</v>
      </c>
      <c r="B239" t="s">
        <v>490</v>
      </c>
      <c r="C239" s="4" t="s">
        <v>478</v>
      </c>
      <c r="D239" s="4">
        <v>1730000</v>
      </c>
      <c r="E239" t="s">
        <v>17</v>
      </c>
      <c r="F239" s="1">
        <v>46341</v>
      </c>
      <c r="G239">
        <v>6.25</v>
      </c>
      <c r="H239" t="s">
        <v>9</v>
      </c>
      <c r="L239" t="s">
        <v>1168</v>
      </c>
      <c r="M239" t="s">
        <v>10</v>
      </c>
      <c r="N239" t="s">
        <v>15</v>
      </c>
      <c r="O239" t="s">
        <v>3145</v>
      </c>
      <c r="P239" t="s">
        <v>2657</v>
      </c>
      <c r="Q239" t="s">
        <v>3146</v>
      </c>
      <c r="R239" t="s">
        <v>491</v>
      </c>
      <c r="S239">
        <v>-9997</v>
      </c>
      <c r="U239" t="s">
        <v>1182</v>
      </c>
      <c r="W239" t="s">
        <v>480</v>
      </c>
      <c r="X239" t="str">
        <f t="shared" si="3"/>
        <v>MM119532@TRAC Corp</v>
      </c>
      <c r="Y239" t="str">
        <f>_xlfn.IFNA(_xll.BDP(X239,"INTERVAL_SUM", "MARKET_DATA_OVERRIDE=px_volume", "CALC_INTERVAL=5D"), "")</f>
        <v>#N/A N/A</v>
      </c>
      <c r="Z239" t="str" cm="1">
        <f t="array" ref="Z239">_xll.BDP(B239, "CF_ACT_CASH_PAID_FOR_INT_DEBT")</f>
        <v>#N/A N/A</v>
      </c>
      <c r="AA239" t="str" cm="1">
        <f t="array" ref="AA239">_xll.BDP(B239, "TYPE_OF_BOND")</f>
        <v>#N/A Field Not Applicable</v>
      </c>
    </row>
    <row r="240" spans="1:27" x14ac:dyDescent="0.25">
      <c r="A240">
        <v>238</v>
      </c>
      <c r="B240" t="s">
        <v>492</v>
      </c>
      <c r="C240" s="4" t="s">
        <v>478</v>
      </c>
      <c r="D240" s="4">
        <v>250000000</v>
      </c>
      <c r="E240" t="s">
        <v>17</v>
      </c>
      <c r="F240" s="1">
        <v>49369</v>
      </c>
      <c r="G240">
        <v>4.8</v>
      </c>
      <c r="H240" t="s">
        <v>9</v>
      </c>
      <c r="L240" t="s">
        <v>1168</v>
      </c>
      <c r="M240" t="s">
        <v>10</v>
      </c>
      <c r="N240" t="s">
        <v>15</v>
      </c>
      <c r="O240" t="s">
        <v>3145</v>
      </c>
      <c r="P240" t="s">
        <v>2657</v>
      </c>
      <c r="Q240" t="s">
        <v>3146</v>
      </c>
      <c r="R240" t="s">
        <v>493</v>
      </c>
      <c r="S240">
        <v>5161812.7858002903</v>
      </c>
      <c r="T240">
        <v>6</v>
      </c>
      <c r="W240" t="s">
        <v>480</v>
      </c>
      <c r="X240" t="str">
        <f t="shared" si="3"/>
        <v>EK775871@TRAC Corp</v>
      </c>
      <c r="Y240">
        <f>_xlfn.IFNA(_xll.BDP(X240,"INTERVAL_SUM", "MARKET_DATA_OVERRIDE=px_volume", "CALC_INTERVAL=5D"), "")</f>
        <v>2098</v>
      </c>
      <c r="Z240" t="str" cm="1">
        <f t="array" ref="Z240">_xll.BDP(B240, "CF_ACT_CASH_PAID_FOR_INT_DEBT")</f>
        <v>#N/A N/A</v>
      </c>
      <c r="AA240" t="str" cm="1">
        <f t="array" ref="AA240">_xll.BDP(B240, "TYPE_OF_BOND")</f>
        <v>#N/A Field Not Applicable</v>
      </c>
    </row>
    <row r="241" spans="1:27" x14ac:dyDescent="0.25">
      <c r="A241">
        <v>239</v>
      </c>
      <c r="B241" t="s">
        <v>494</v>
      </c>
      <c r="C241" s="4" t="s">
        <v>478</v>
      </c>
      <c r="D241" s="4">
        <v>350000000</v>
      </c>
      <c r="E241" t="s">
        <v>17</v>
      </c>
      <c r="F241" s="1">
        <v>51119</v>
      </c>
      <c r="G241">
        <v>6.75</v>
      </c>
      <c r="H241" t="s">
        <v>9</v>
      </c>
      <c r="L241" t="s">
        <v>1168</v>
      </c>
      <c r="M241" t="s">
        <v>10</v>
      </c>
      <c r="N241" t="s">
        <v>15</v>
      </c>
      <c r="O241" t="s">
        <v>3145</v>
      </c>
      <c r="P241" t="s">
        <v>2657</v>
      </c>
      <c r="Q241" t="s">
        <v>3146</v>
      </c>
      <c r="R241" t="s">
        <v>495</v>
      </c>
      <c r="S241">
        <v>15391915.484540399</v>
      </c>
      <c r="T241">
        <v>8</v>
      </c>
      <c r="W241" t="s">
        <v>480</v>
      </c>
      <c r="X241" t="str">
        <f t="shared" si="3"/>
        <v>EI067690@TRAC Corp</v>
      </c>
      <c r="Y241">
        <f>_xlfn.IFNA(_xll.BDP(X241,"INTERVAL_SUM", "MARKET_DATA_OVERRIDE=px_volume", "CALC_INTERVAL=5D"), "")</f>
        <v>3707</v>
      </c>
      <c r="Z241" t="str" cm="1">
        <f t="array" ref="Z241">_xll.BDP(B241, "CF_ACT_CASH_PAID_FOR_INT_DEBT")</f>
        <v>#N/A N/A</v>
      </c>
      <c r="AA241" t="str" cm="1">
        <f t="array" ref="AA241">_xll.BDP(B241, "TYPE_OF_BOND")</f>
        <v>#N/A Field Not Applicable</v>
      </c>
    </row>
    <row r="242" spans="1:27" x14ac:dyDescent="0.25">
      <c r="A242">
        <v>240</v>
      </c>
      <c r="B242" t="s">
        <v>496</v>
      </c>
      <c r="C242" s="4" t="s">
        <v>478</v>
      </c>
      <c r="D242" s="4">
        <v>300000</v>
      </c>
      <c r="E242" t="s">
        <v>17</v>
      </c>
      <c r="F242" s="1">
        <v>50713</v>
      </c>
      <c r="G242">
        <v>3.7197200000000001</v>
      </c>
      <c r="H242" t="s">
        <v>13</v>
      </c>
      <c r="I242" t="s">
        <v>2635</v>
      </c>
      <c r="L242" t="s">
        <v>1168</v>
      </c>
      <c r="M242" t="s">
        <v>10</v>
      </c>
      <c r="N242" t="s">
        <v>15</v>
      </c>
      <c r="O242" t="s">
        <v>3145</v>
      </c>
      <c r="P242" t="s">
        <v>2657</v>
      </c>
      <c r="Q242" t="s">
        <v>3146</v>
      </c>
      <c r="R242" t="s">
        <v>497</v>
      </c>
      <c r="S242">
        <v>-9997</v>
      </c>
      <c r="U242" t="s">
        <v>1183</v>
      </c>
      <c r="W242" t="s">
        <v>480</v>
      </c>
      <c r="X242" t="str">
        <f t="shared" si="3"/>
        <v>EC063284@TRAC Corp</v>
      </c>
      <c r="Y242" t="str">
        <f>_xlfn.IFNA(_xll.BDP(X242,"INTERVAL_SUM", "MARKET_DATA_OVERRIDE=px_volume", "CALC_INTERVAL=5D"), "")</f>
        <v>#N/A N/A</v>
      </c>
      <c r="Z242" t="str" cm="1">
        <f t="array" ref="Z242">_xll.BDP(B242, "CF_ACT_CASH_PAID_FOR_INT_DEBT")</f>
        <v>#N/A N/A</v>
      </c>
      <c r="AA242" t="str" cm="1">
        <f t="array" ref="AA242">_xll.BDP(B242, "TYPE_OF_BOND")</f>
        <v>#N/A Field Not Applicable</v>
      </c>
    </row>
    <row r="243" spans="1:27" x14ac:dyDescent="0.25">
      <c r="A243">
        <v>241</v>
      </c>
      <c r="B243" t="s">
        <v>498</v>
      </c>
      <c r="C243" s="4" t="s">
        <v>478</v>
      </c>
      <c r="D243" s="4">
        <v>649000000</v>
      </c>
      <c r="E243" t="s">
        <v>17</v>
      </c>
      <c r="F243" s="1">
        <v>46980</v>
      </c>
      <c r="G243">
        <v>5.5</v>
      </c>
      <c r="H243" t="s">
        <v>9</v>
      </c>
      <c r="L243" t="s">
        <v>1168</v>
      </c>
      <c r="M243" t="s">
        <v>10</v>
      </c>
      <c r="N243" t="s">
        <v>15</v>
      </c>
      <c r="O243" t="s">
        <v>3145</v>
      </c>
      <c r="P243" t="s">
        <v>2657</v>
      </c>
      <c r="Q243" t="s">
        <v>3146</v>
      </c>
      <c r="R243" t="s">
        <v>499</v>
      </c>
      <c r="S243">
        <v>23362765.762727398</v>
      </c>
      <c r="T243">
        <v>10</v>
      </c>
      <c r="U243" t="s">
        <v>1169</v>
      </c>
      <c r="W243" t="s">
        <v>480</v>
      </c>
      <c r="X243" t="str">
        <f t="shared" si="3"/>
        <v>BK766850@TRAC Corp</v>
      </c>
      <c r="Y243">
        <f>_xlfn.IFNA(_xll.BDP(X243,"INTERVAL_SUM", "MARKET_DATA_OVERRIDE=px_volume", "CALC_INTERVAL=5D"), "")</f>
        <v>234</v>
      </c>
      <c r="Z243" t="str" cm="1">
        <f t="array" ref="Z243">_xll.BDP(B243, "CF_ACT_CASH_PAID_FOR_INT_DEBT")</f>
        <v>#N/A N/A</v>
      </c>
      <c r="AA243" t="str" cm="1">
        <f t="array" ref="AA243">_xll.BDP(B243, "TYPE_OF_BOND")</f>
        <v>#N/A Field Not Applicable</v>
      </c>
    </row>
    <row r="244" spans="1:27" x14ac:dyDescent="0.25">
      <c r="A244">
        <v>242</v>
      </c>
      <c r="B244" t="s">
        <v>500</v>
      </c>
      <c r="C244" s="4" t="s">
        <v>478</v>
      </c>
      <c r="D244" s="4">
        <v>673384007.70749998</v>
      </c>
      <c r="E244" t="s">
        <v>11</v>
      </c>
      <c r="F244" s="1">
        <v>47441</v>
      </c>
      <c r="G244">
        <v>7.7794999999999996</v>
      </c>
      <c r="H244" t="s">
        <v>13</v>
      </c>
      <c r="I244" t="s">
        <v>2631</v>
      </c>
      <c r="J244">
        <v>400</v>
      </c>
      <c r="L244" t="s">
        <v>1168</v>
      </c>
      <c r="M244" t="s">
        <v>10</v>
      </c>
      <c r="N244" t="s">
        <v>15</v>
      </c>
      <c r="O244" t="s">
        <v>3145</v>
      </c>
      <c r="P244" t="s">
        <v>2657</v>
      </c>
      <c r="Q244" t="s">
        <v>3146</v>
      </c>
      <c r="R244" t="s">
        <v>501</v>
      </c>
      <c r="S244">
        <v>1000000</v>
      </c>
      <c r="T244">
        <v>2</v>
      </c>
      <c r="V244" t="s">
        <v>227</v>
      </c>
      <c r="W244" t="s">
        <v>480</v>
      </c>
      <c r="X244" t="str">
        <f t="shared" si="3"/>
        <v>BL446294@TRAC Corp</v>
      </c>
      <c r="Y244" t="str">
        <f>_xlfn.IFNA(_xll.BDP(X244,"INTERVAL_SUM", "MARKET_DATA_OVERRIDE=px_volume", "CALC_INTERVAL=5D"), "")</f>
        <v>#N/A N/A</v>
      </c>
      <c r="Z244" t="str" cm="1">
        <f t="array" ref="Z244">_xll.BDP(B244, "CF_ACT_CASH_PAID_FOR_INT_DEBT")</f>
        <v>#N/A N/A</v>
      </c>
      <c r="AA244" t="str" cm="1">
        <f t="array" ref="AA244">_xll.BDP(B244, "TYPE_OF_BOND")</f>
        <v>#N/A Field Not Applicable</v>
      </c>
    </row>
    <row r="245" spans="1:27" x14ac:dyDescent="0.25">
      <c r="A245">
        <v>243</v>
      </c>
      <c r="B245" t="s">
        <v>210</v>
      </c>
      <c r="C245" s="4" t="s">
        <v>110</v>
      </c>
      <c r="D245" s="4">
        <v>31256000</v>
      </c>
      <c r="E245" t="s">
        <v>17</v>
      </c>
      <c r="F245" s="1">
        <v>46736</v>
      </c>
      <c r="G245">
        <v>8.875</v>
      </c>
      <c r="H245" t="s">
        <v>9</v>
      </c>
      <c r="L245" t="s">
        <v>1168</v>
      </c>
      <c r="M245" t="s">
        <v>10</v>
      </c>
      <c r="N245" t="s">
        <v>16</v>
      </c>
      <c r="O245" t="s">
        <v>3187</v>
      </c>
      <c r="P245" t="s">
        <v>2658</v>
      </c>
      <c r="Q245" t="s">
        <v>3258</v>
      </c>
      <c r="R245" t="s">
        <v>211</v>
      </c>
      <c r="S245">
        <v>1421641.7557540601</v>
      </c>
      <c r="T245">
        <v>5</v>
      </c>
      <c r="U245" t="s">
        <v>1169</v>
      </c>
      <c r="W245" t="s">
        <v>112</v>
      </c>
      <c r="X245" t="str">
        <f t="shared" si="3"/>
        <v>ZQ926671@TRAC Corp</v>
      </c>
      <c r="Y245" t="str">
        <f>_xlfn.IFNA(_xll.BDP(X245,"INTERVAL_SUM", "MARKET_DATA_OVERRIDE=px_volume", "CALC_INTERVAL=5D"), "")</f>
        <v>#N/A N/A</v>
      </c>
      <c r="Z245" t="str" cm="1">
        <f t="array" ref="Z245">_xll.BDP(B245, "CF_ACT_CASH_PAID_FOR_INT_DEBT")</f>
        <v>#N/A N/A</v>
      </c>
      <c r="AA245" t="str" cm="1">
        <f t="array" ref="AA245">_xll.BDP(B245, "TYPE_OF_BOND")</f>
        <v>#N/A Field Not Applicable</v>
      </c>
    </row>
    <row r="246" spans="1:27" x14ac:dyDescent="0.25">
      <c r="A246">
        <v>244</v>
      </c>
      <c r="B246" t="s">
        <v>109</v>
      </c>
      <c r="C246" s="4" t="s">
        <v>110</v>
      </c>
      <c r="D246" s="4">
        <v>574431000</v>
      </c>
      <c r="E246" t="s">
        <v>33</v>
      </c>
      <c r="F246" s="1">
        <v>47287</v>
      </c>
      <c r="G246">
        <v>8.875</v>
      </c>
      <c r="H246" t="s">
        <v>9</v>
      </c>
      <c r="L246" t="s">
        <v>1168</v>
      </c>
      <c r="M246" t="s">
        <v>10</v>
      </c>
      <c r="N246" t="s">
        <v>16</v>
      </c>
      <c r="O246" t="s">
        <v>3187</v>
      </c>
      <c r="P246" t="s">
        <v>2658</v>
      </c>
      <c r="Q246" t="s">
        <v>3258</v>
      </c>
      <c r="R246" t="s">
        <v>111</v>
      </c>
      <c r="S246">
        <v>1408959.29943329</v>
      </c>
      <c r="T246">
        <v>14</v>
      </c>
      <c r="U246" t="s">
        <v>1169</v>
      </c>
      <c r="W246" t="s">
        <v>112</v>
      </c>
      <c r="X246" t="str">
        <f t="shared" si="3"/>
        <v>YU886722@TRAC Corp</v>
      </c>
      <c r="Y246">
        <f>_xlfn.IFNA(_xll.BDP(X246,"INTERVAL_SUM", "MARKET_DATA_OVERRIDE=px_volume", "CALC_INTERVAL=5D"), "")</f>
        <v>3363</v>
      </c>
      <c r="Z246" t="str" cm="1">
        <f t="array" ref="Z246">_xll.BDP(B246, "CF_ACT_CASH_PAID_FOR_INT_DEBT")</f>
        <v>#N/A N/A</v>
      </c>
      <c r="AA246" t="str" cm="1">
        <f t="array" ref="AA246">_xll.BDP(B246, "TYPE_OF_BOND")</f>
        <v>#N/A Field Not Applicable</v>
      </c>
    </row>
    <row r="247" spans="1:27" x14ac:dyDescent="0.25">
      <c r="A247">
        <v>245</v>
      </c>
      <c r="B247" t="s">
        <v>212</v>
      </c>
      <c r="C247" s="4" t="s">
        <v>110</v>
      </c>
      <c r="D247" s="4">
        <v>1823560000</v>
      </c>
      <c r="E247" t="s">
        <v>11</v>
      </c>
      <c r="F247" s="1">
        <v>47287</v>
      </c>
      <c r="G247">
        <v>7.2632000000000003</v>
      </c>
      <c r="H247" t="s">
        <v>13</v>
      </c>
      <c r="I247" t="s">
        <v>2635</v>
      </c>
      <c r="J247">
        <v>350</v>
      </c>
      <c r="L247" t="s">
        <v>1168</v>
      </c>
      <c r="M247" t="s">
        <v>10</v>
      </c>
      <c r="N247" t="s">
        <v>16</v>
      </c>
      <c r="O247" t="s">
        <v>3187</v>
      </c>
      <c r="P247" t="s">
        <v>2658</v>
      </c>
      <c r="Q247" t="s">
        <v>3258</v>
      </c>
      <c r="R247" t="s">
        <v>213</v>
      </c>
      <c r="S247">
        <v>3000000</v>
      </c>
      <c r="T247">
        <v>13</v>
      </c>
      <c r="V247" t="s">
        <v>227</v>
      </c>
      <c r="W247" t="s">
        <v>112</v>
      </c>
      <c r="X247" t="str">
        <f t="shared" si="3"/>
        <v>BL480457@TRAC Corp</v>
      </c>
      <c r="Y247" t="str">
        <f>_xlfn.IFNA(_xll.BDP(X247,"INTERVAL_SUM", "MARKET_DATA_OVERRIDE=px_volume", "CALC_INTERVAL=5D"), "")</f>
        <v>#N/A N/A</v>
      </c>
      <c r="Z247" t="str" cm="1">
        <f t="array" ref="Z247">_xll.BDP(B247, "CF_ACT_CASH_PAID_FOR_INT_DEBT")</f>
        <v>#N/A N/A</v>
      </c>
      <c r="AA247" t="str" cm="1">
        <f t="array" ref="AA247">_xll.BDP(B247, "TYPE_OF_BOND")</f>
        <v>#N/A Field Not Applicable</v>
      </c>
    </row>
    <row r="248" spans="1:27" x14ac:dyDescent="0.25">
      <c r="A248">
        <v>246</v>
      </c>
      <c r="B248" t="s">
        <v>214</v>
      </c>
      <c r="C248" s="4" t="s">
        <v>110</v>
      </c>
      <c r="D248" s="4">
        <v>2033583000</v>
      </c>
      <c r="E248" t="s">
        <v>11</v>
      </c>
      <c r="F248" s="1">
        <v>46373</v>
      </c>
      <c r="G248">
        <v>7.3254000000000001</v>
      </c>
      <c r="H248" t="s">
        <v>13</v>
      </c>
      <c r="I248" t="s">
        <v>2635</v>
      </c>
      <c r="J248">
        <v>350</v>
      </c>
      <c r="L248" t="s">
        <v>1168</v>
      </c>
      <c r="M248" t="s">
        <v>10</v>
      </c>
      <c r="N248" t="s">
        <v>16</v>
      </c>
      <c r="O248" t="s">
        <v>3187</v>
      </c>
      <c r="P248" t="s">
        <v>2658</v>
      </c>
      <c r="Q248" t="s">
        <v>3258</v>
      </c>
      <c r="R248" t="s">
        <v>215</v>
      </c>
      <c r="S248">
        <v>1000000</v>
      </c>
      <c r="T248">
        <v>11</v>
      </c>
      <c r="V248" t="s">
        <v>227</v>
      </c>
      <c r="W248" t="s">
        <v>112</v>
      </c>
      <c r="X248" t="str">
        <f t="shared" si="3"/>
        <v>BL354779@TRAC Corp</v>
      </c>
      <c r="Y248" t="str">
        <f>_xlfn.IFNA(_xll.BDP(X248,"INTERVAL_SUM", "MARKET_DATA_OVERRIDE=px_volume", "CALC_INTERVAL=5D"), "")</f>
        <v>#N/A N/A</v>
      </c>
      <c r="Z248" t="str" cm="1">
        <f t="array" ref="Z248">_xll.BDP(B248, "CF_ACT_CASH_PAID_FOR_INT_DEBT")</f>
        <v>#N/A N/A</v>
      </c>
      <c r="AA248" t="str" cm="1">
        <f t="array" ref="AA248">_xll.BDP(B248, "TYPE_OF_BOND")</f>
        <v>#N/A Field Not Applicable</v>
      </c>
    </row>
    <row r="249" spans="1:27" x14ac:dyDescent="0.25">
      <c r="A249">
        <v>247</v>
      </c>
      <c r="B249" t="s">
        <v>552</v>
      </c>
      <c r="C249" s="4" t="s">
        <v>553</v>
      </c>
      <c r="D249" s="4">
        <v>345000000</v>
      </c>
      <c r="E249" t="s">
        <v>17</v>
      </c>
      <c r="F249" s="1">
        <v>46827</v>
      </c>
      <c r="G249">
        <v>1.125</v>
      </c>
      <c r="H249" t="s">
        <v>9</v>
      </c>
      <c r="L249" t="s">
        <v>1168</v>
      </c>
      <c r="M249" t="s">
        <v>10</v>
      </c>
      <c r="N249" t="s">
        <v>16</v>
      </c>
      <c r="O249" t="s">
        <v>3106</v>
      </c>
      <c r="P249" t="s">
        <v>2629</v>
      </c>
      <c r="Q249" t="s">
        <v>3107</v>
      </c>
      <c r="R249" t="s">
        <v>554</v>
      </c>
      <c r="S249">
        <v>1932830.27951118</v>
      </c>
      <c r="T249">
        <v>8</v>
      </c>
      <c r="W249" t="s">
        <v>555</v>
      </c>
      <c r="X249" t="str">
        <f t="shared" si="3"/>
        <v>BO352962@TRAC Corp</v>
      </c>
      <c r="Y249">
        <f>_xlfn.IFNA(_xll.BDP(X249,"INTERVAL_SUM", "MARKET_DATA_OVERRIDE=px_volume", "CALC_INTERVAL=5D"), "")</f>
        <v>3</v>
      </c>
      <c r="Z249" cm="1">
        <f t="array" ref="Z249">_xll.BDP(B249, "CF_ACT_CASH_PAID_FOR_INT_DEBT")</f>
        <v>138.376</v>
      </c>
      <c r="AA249" t="str" cm="1">
        <f t="array" ref="AA249">_xll.BDP(B249, "TYPE_OF_BOND")</f>
        <v>Convertible</v>
      </c>
    </row>
    <row r="250" spans="1:27" x14ac:dyDescent="0.25">
      <c r="A250">
        <v>248</v>
      </c>
      <c r="B250" t="s">
        <v>556</v>
      </c>
      <c r="C250" s="4" t="s">
        <v>553</v>
      </c>
      <c r="D250" s="4">
        <v>548288000</v>
      </c>
      <c r="E250" t="s">
        <v>17</v>
      </c>
      <c r="F250" s="1">
        <v>47802</v>
      </c>
      <c r="G250">
        <v>4</v>
      </c>
      <c r="H250" t="s">
        <v>9</v>
      </c>
      <c r="L250" t="s">
        <v>1168</v>
      </c>
      <c r="M250" t="s">
        <v>10</v>
      </c>
      <c r="N250" t="s">
        <v>16</v>
      </c>
      <c r="O250" t="s">
        <v>3106</v>
      </c>
      <c r="P250" t="s">
        <v>2629</v>
      </c>
      <c r="Q250" t="s">
        <v>3107</v>
      </c>
      <c r="R250" t="s">
        <v>557</v>
      </c>
      <c r="S250">
        <v>9940339.4863505606</v>
      </c>
      <c r="T250">
        <v>11</v>
      </c>
      <c r="U250" t="s">
        <v>1169</v>
      </c>
      <c r="W250" t="s">
        <v>555</v>
      </c>
      <c r="X250" t="str">
        <f t="shared" si="3"/>
        <v>BM123056@TRAC Corp</v>
      </c>
      <c r="Y250">
        <f>_xlfn.IFNA(_xll.BDP(X250,"INTERVAL_SUM", "MARKET_DATA_OVERRIDE=px_volume", "CALC_INTERVAL=5D"), "")</f>
        <v>17098</v>
      </c>
      <c r="Z250" cm="1">
        <f t="array" ref="Z250">_xll.BDP(B250, "CF_ACT_CASH_PAID_FOR_INT_DEBT")</f>
        <v>138.376</v>
      </c>
      <c r="AA250" t="str" cm="1">
        <f t="array" ref="AA250">_xll.BDP(B250, "TYPE_OF_BOND")</f>
        <v>#N/A Field Not Applicable</v>
      </c>
    </row>
    <row r="251" spans="1:27" x14ac:dyDescent="0.25">
      <c r="A251">
        <v>249</v>
      </c>
      <c r="B251" t="s">
        <v>558</v>
      </c>
      <c r="C251" s="4" t="s">
        <v>553</v>
      </c>
      <c r="D251" s="4">
        <v>231875000</v>
      </c>
      <c r="E251" t="s">
        <v>11</v>
      </c>
      <c r="F251" s="1">
        <v>47421</v>
      </c>
      <c r="G251">
        <v>6.0294999999999996</v>
      </c>
      <c r="H251" t="s">
        <v>13</v>
      </c>
      <c r="I251" t="s">
        <v>2631</v>
      </c>
      <c r="J251">
        <v>225</v>
      </c>
      <c r="L251" t="s">
        <v>1168</v>
      </c>
      <c r="M251" t="s">
        <v>10</v>
      </c>
      <c r="N251" t="s">
        <v>16</v>
      </c>
      <c r="O251" t="s">
        <v>3106</v>
      </c>
      <c r="P251" t="s">
        <v>2629</v>
      </c>
      <c r="Q251" t="s">
        <v>3107</v>
      </c>
      <c r="R251" t="s">
        <v>559</v>
      </c>
      <c r="S251">
        <v>2000000</v>
      </c>
      <c r="T251">
        <v>2</v>
      </c>
      <c r="V251" t="s">
        <v>227</v>
      </c>
      <c r="W251" t="s">
        <v>555</v>
      </c>
      <c r="X251" t="str">
        <f t="shared" si="3"/>
        <v>BL421017@TRAC Corp</v>
      </c>
      <c r="Y251" t="str">
        <f>_xlfn.IFNA(_xll.BDP(X251,"INTERVAL_SUM", "MARKET_DATA_OVERRIDE=px_volume", "CALC_INTERVAL=5D"), "")</f>
        <v>#N/A N/A</v>
      </c>
      <c r="Z251" cm="1">
        <f t="array" ref="Z251">_xll.BDP(B251, "CF_ACT_CASH_PAID_FOR_INT_DEBT")</f>
        <v>138.376</v>
      </c>
      <c r="AA251" t="str" cm="1">
        <f t="array" ref="AA251">_xll.BDP(B251, "TYPE_OF_BOND")</f>
        <v>#N/A Field Not Applicable</v>
      </c>
    </row>
    <row r="252" spans="1:27" x14ac:dyDescent="0.25">
      <c r="A252">
        <v>250</v>
      </c>
      <c r="B252" t="s">
        <v>560</v>
      </c>
      <c r="C252" s="4" t="s">
        <v>553</v>
      </c>
      <c r="D252" s="4">
        <v>729862749.80999899</v>
      </c>
      <c r="E252" t="s">
        <v>11</v>
      </c>
      <c r="F252" s="1">
        <v>47421</v>
      </c>
      <c r="G252">
        <v>6.0294999999999996</v>
      </c>
      <c r="H252" t="s">
        <v>13</v>
      </c>
      <c r="I252" t="s">
        <v>2631</v>
      </c>
      <c r="J252">
        <v>225</v>
      </c>
      <c r="L252" t="s">
        <v>1168</v>
      </c>
      <c r="M252" t="s">
        <v>10</v>
      </c>
      <c r="N252" t="s">
        <v>16</v>
      </c>
      <c r="O252" t="s">
        <v>3106</v>
      </c>
      <c r="P252" t="s">
        <v>2629</v>
      </c>
      <c r="Q252" t="s">
        <v>3107</v>
      </c>
      <c r="R252" t="s">
        <v>561</v>
      </c>
      <c r="S252">
        <v>2000000</v>
      </c>
      <c r="T252">
        <v>2</v>
      </c>
      <c r="V252" t="s">
        <v>227</v>
      </c>
      <c r="W252" t="s">
        <v>555</v>
      </c>
      <c r="X252" t="str">
        <f t="shared" si="3"/>
        <v>BL421016@TRAC Corp</v>
      </c>
      <c r="Y252" t="str">
        <f>_xlfn.IFNA(_xll.BDP(X252,"INTERVAL_SUM", "MARKET_DATA_OVERRIDE=px_volume", "CALC_INTERVAL=5D"), "")</f>
        <v>#N/A N/A</v>
      </c>
      <c r="Z252" cm="1">
        <f t="array" ref="Z252">_xll.BDP(B252, "CF_ACT_CASH_PAID_FOR_INT_DEBT")</f>
        <v>138.376</v>
      </c>
      <c r="AA252" t="str" cm="1">
        <f t="array" ref="AA252">_xll.BDP(B252, "TYPE_OF_BOND")</f>
        <v>#N/A Field Not Applicable</v>
      </c>
    </row>
    <row r="253" spans="1:27" x14ac:dyDescent="0.25">
      <c r="A253">
        <v>251</v>
      </c>
      <c r="B253" t="s">
        <v>562</v>
      </c>
      <c r="C253" s="4" t="s">
        <v>553</v>
      </c>
      <c r="D253" s="4">
        <v>708677636.36000001</v>
      </c>
      <c r="E253" t="s">
        <v>11</v>
      </c>
      <c r="F253" s="1">
        <v>46876</v>
      </c>
      <c r="G253">
        <v>5.7785000000000002</v>
      </c>
      <c r="H253" t="s">
        <v>13</v>
      </c>
      <c r="I253" t="s">
        <v>2631</v>
      </c>
      <c r="J253">
        <v>200</v>
      </c>
      <c r="L253" t="s">
        <v>1168</v>
      </c>
      <c r="M253" t="s">
        <v>10</v>
      </c>
      <c r="N253" t="s">
        <v>16</v>
      </c>
      <c r="O253" t="s">
        <v>3106</v>
      </c>
      <c r="P253" t="s">
        <v>2629</v>
      </c>
      <c r="Q253" t="s">
        <v>3107</v>
      </c>
      <c r="R253" t="s">
        <v>563</v>
      </c>
      <c r="S253">
        <v>3000000</v>
      </c>
      <c r="T253">
        <v>5</v>
      </c>
      <c r="V253" t="s">
        <v>227</v>
      </c>
      <c r="W253" t="s">
        <v>555</v>
      </c>
      <c r="X253" t="str">
        <f t="shared" si="3"/>
        <v>BL361300@TRAC Corp</v>
      </c>
      <c r="Y253" t="str">
        <f>_xlfn.IFNA(_xll.BDP(X253,"INTERVAL_SUM", "MARKET_DATA_OVERRIDE=px_volume", "CALC_INTERVAL=5D"), "")</f>
        <v>#N/A N/A</v>
      </c>
      <c r="Z253" cm="1">
        <f t="array" ref="Z253">_xll.BDP(B253, "CF_ACT_CASH_PAID_FOR_INT_DEBT")</f>
        <v>138.376</v>
      </c>
      <c r="AA253" t="str" cm="1">
        <f t="array" ref="AA253">_xll.BDP(B253, "TYPE_OF_BOND")</f>
        <v>#N/A Field Not Applicable</v>
      </c>
    </row>
    <row r="254" spans="1:27" x14ac:dyDescent="0.25">
      <c r="A254">
        <v>252</v>
      </c>
      <c r="B254" t="s">
        <v>564</v>
      </c>
      <c r="C254" s="4" t="s">
        <v>553</v>
      </c>
      <c r="D254" s="4">
        <v>550000000</v>
      </c>
      <c r="E254" t="s">
        <v>11</v>
      </c>
      <c r="F254" s="1">
        <v>46805</v>
      </c>
      <c r="G254">
        <v>5.4939</v>
      </c>
      <c r="H254" t="s">
        <v>13</v>
      </c>
      <c r="I254" t="s">
        <v>2631</v>
      </c>
      <c r="J254">
        <v>175</v>
      </c>
      <c r="L254" t="s">
        <v>1168</v>
      </c>
      <c r="M254" t="s">
        <v>10</v>
      </c>
      <c r="N254" t="s">
        <v>16</v>
      </c>
      <c r="O254" t="s">
        <v>3106</v>
      </c>
      <c r="P254" t="s">
        <v>2629</v>
      </c>
      <c r="Q254" t="s">
        <v>3107</v>
      </c>
      <c r="R254" t="s">
        <v>565</v>
      </c>
      <c r="V254" t="s">
        <v>226</v>
      </c>
      <c r="W254" t="s">
        <v>555</v>
      </c>
      <c r="X254" t="str">
        <f t="shared" si="3"/>
        <v>BL177097@TRAC Corp</v>
      </c>
      <c r="Y254" t="str">
        <f>_xlfn.IFNA(_xll.BDP(X254,"INTERVAL_SUM", "MARKET_DATA_OVERRIDE=px_volume", "CALC_INTERVAL=5D"), "")</f>
        <v>#N/A N/A</v>
      </c>
      <c r="Z254" cm="1">
        <f t="array" ref="Z254">_xll.BDP(B254, "CF_ACT_CASH_PAID_FOR_INT_DEBT")</f>
        <v>138.376</v>
      </c>
      <c r="AA254" t="str" cm="1">
        <f t="array" ref="AA254">_xll.BDP(B254, "TYPE_OF_BOND")</f>
        <v>#N/A Field Not Applicable</v>
      </c>
    </row>
    <row r="255" spans="1:27" x14ac:dyDescent="0.25">
      <c r="A255">
        <v>253</v>
      </c>
      <c r="B255" t="s">
        <v>586</v>
      </c>
      <c r="C255" s="4" t="s">
        <v>587</v>
      </c>
      <c r="D255" s="4">
        <v>26419882000</v>
      </c>
      <c r="E255" t="s">
        <v>17</v>
      </c>
      <c r="F255" s="1">
        <v>54537</v>
      </c>
      <c r="G255">
        <v>4.6399999999999997</v>
      </c>
      <c r="H255" t="s">
        <v>9</v>
      </c>
      <c r="L255" t="s">
        <v>1187</v>
      </c>
      <c r="M255" t="s">
        <v>588</v>
      </c>
      <c r="N255" t="s">
        <v>589</v>
      </c>
      <c r="O255" t="s">
        <v>3159</v>
      </c>
      <c r="P255" t="s">
        <v>2663</v>
      </c>
      <c r="Q255" t="s">
        <v>2663</v>
      </c>
      <c r="R255" t="s">
        <v>590</v>
      </c>
      <c r="S255">
        <v>1789976880.2546999</v>
      </c>
      <c r="T255">
        <v>60</v>
      </c>
      <c r="U255">
        <v>5280</v>
      </c>
      <c r="W255" t="s">
        <v>591</v>
      </c>
      <c r="X255" t="str">
        <f t="shared" si="3"/>
        <v>ZS259785@TRAC Corp</v>
      </c>
      <c r="Y255" t="str">
        <f>_xlfn.IFNA(_xll.BDP(X255,"INTERVAL_SUM", "MARKET_DATA_OVERRIDE=px_volume", "CALC_INTERVAL=5D"), "")</f>
        <v>#N/A N/A</v>
      </c>
      <c r="Z255" t="str" cm="1">
        <f t="array" ref="Z255">_xll.BDP(B255, "CF_ACT_CASH_PAID_FOR_INT_DEBT")</f>
        <v>#N/A N/A</v>
      </c>
      <c r="AA255" t="str" cm="1">
        <f t="array" ref="AA255">_xll.BDP(B255, "TYPE_OF_BOND")</f>
        <v>Sukuk Al Mudarabah</v>
      </c>
    </row>
    <row r="256" spans="1:27" x14ac:dyDescent="0.25">
      <c r="A256">
        <v>254</v>
      </c>
      <c r="B256" t="s">
        <v>592</v>
      </c>
      <c r="C256" s="4" t="s">
        <v>587</v>
      </c>
      <c r="D256" s="4">
        <v>50000000</v>
      </c>
      <c r="E256" t="s">
        <v>17</v>
      </c>
      <c r="F256" s="1">
        <v>47093</v>
      </c>
      <c r="G256">
        <v>4.66</v>
      </c>
      <c r="H256" t="s">
        <v>9</v>
      </c>
      <c r="L256" t="s">
        <v>1187</v>
      </c>
      <c r="M256" t="s">
        <v>588</v>
      </c>
      <c r="N256" t="s">
        <v>537</v>
      </c>
      <c r="O256" t="s">
        <v>3160</v>
      </c>
      <c r="P256" t="s">
        <v>2664</v>
      </c>
      <c r="Q256" t="s">
        <v>3161</v>
      </c>
      <c r="R256" t="s">
        <v>593</v>
      </c>
      <c r="S256">
        <v>-9997</v>
      </c>
      <c r="U256" t="s">
        <v>1188</v>
      </c>
      <c r="W256" t="s">
        <v>591</v>
      </c>
      <c r="X256" t="str">
        <f t="shared" si="3"/>
        <v>ZR402609@TRAC Corp</v>
      </c>
      <c r="Y256" t="str">
        <f>_xlfn.IFNA(_xll.BDP(X256,"INTERVAL_SUM", "MARKET_DATA_OVERRIDE=px_volume", "CALC_INTERVAL=5D"), "")</f>
        <v>#N/A N/A</v>
      </c>
      <c r="Z256" t="str" cm="1">
        <f t="array" ref="Z256">_xll.BDP(B256, "CF_ACT_CASH_PAID_FOR_INT_DEBT")</f>
        <v>#N/A N/A</v>
      </c>
      <c r="AA256" t="str" cm="1">
        <f t="array" ref="AA256">_xll.BDP(B256, "TYPE_OF_BOND")</f>
        <v>Sukuk Al Mudarabah</v>
      </c>
    </row>
    <row r="257" spans="1:27" x14ac:dyDescent="0.25">
      <c r="A257">
        <v>255</v>
      </c>
      <c r="B257" t="s">
        <v>594</v>
      </c>
      <c r="C257" s="4" t="s">
        <v>587</v>
      </c>
      <c r="D257" s="4">
        <v>2500000000</v>
      </c>
      <c r="E257" t="s">
        <v>17</v>
      </c>
      <c r="F257" s="1">
        <v>47420</v>
      </c>
      <c r="G257">
        <v>2.9689999999999999</v>
      </c>
      <c r="H257" t="s">
        <v>9</v>
      </c>
      <c r="L257" t="s">
        <v>1168</v>
      </c>
      <c r="M257" t="s">
        <v>595</v>
      </c>
      <c r="N257" t="s">
        <v>589</v>
      </c>
      <c r="O257" t="s">
        <v>3159</v>
      </c>
      <c r="P257" t="s">
        <v>2663</v>
      </c>
      <c r="Q257" t="s">
        <v>2663</v>
      </c>
      <c r="R257" t="s">
        <v>596</v>
      </c>
      <c r="S257">
        <v>25880196.703307401</v>
      </c>
      <c r="T257">
        <v>70</v>
      </c>
      <c r="U257" t="s">
        <v>1169</v>
      </c>
      <c r="W257" t="s">
        <v>591</v>
      </c>
      <c r="X257" t="str">
        <f t="shared" si="3"/>
        <v>ZQ256928@TRAC Corp</v>
      </c>
      <c r="Y257" t="str">
        <f>_xlfn.IFNA(_xll.BDP(X257,"INTERVAL_SUM", "MARKET_DATA_OVERRIDE=px_volume", "CALC_INTERVAL=5D"), "")</f>
        <v>#N/A N/A</v>
      </c>
      <c r="Z257" t="str" cm="1">
        <f t="array" ref="Z257">_xll.BDP(B257, "CF_ACT_CASH_PAID_FOR_INT_DEBT")</f>
        <v>#N/A N/A</v>
      </c>
      <c r="AA257" t="str" cm="1">
        <f t="array" ref="AA257">_xll.BDP(B257, "TYPE_OF_BOND")</f>
        <v>Sukuk Al Mudarabah</v>
      </c>
    </row>
    <row r="258" spans="1:27" x14ac:dyDescent="0.25">
      <c r="A258">
        <v>256</v>
      </c>
      <c r="B258" t="s">
        <v>597</v>
      </c>
      <c r="C258" s="4" t="s">
        <v>587</v>
      </c>
      <c r="D258" s="4">
        <v>22302278000</v>
      </c>
      <c r="E258" t="s">
        <v>17</v>
      </c>
      <c r="F258" s="1">
        <v>47565</v>
      </c>
      <c r="G258">
        <v>2.69</v>
      </c>
      <c r="H258" t="s">
        <v>9</v>
      </c>
      <c r="L258" t="s">
        <v>1187</v>
      </c>
      <c r="M258" t="s">
        <v>588</v>
      </c>
      <c r="N258" t="s">
        <v>589</v>
      </c>
      <c r="O258" t="s">
        <v>3159</v>
      </c>
      <c r="P258" t="s">
        <v>2663</v>
      </c>
      <c r="Q258" t="s">
        <v>2663</v>
      </c>
      <c r="R258" t="s">
        <v>598</v>
      </c>
      <c r="S258">
        <v>334012760.281371</v>
      </c>
      <c r="T258">
        <v>82</v>
      </c>
      <c r="U258">
        <v>5282</v>
      </c>
      <c r="W258" t="s">
        <v>591</v>
      </c>
      <c r="X258" t="str">
        <f t="shared" si="3"/>
        <v>ZQ214884@TRAC Corp</v>
      </c>
      <c r="Y258" t="str">
        <f>_xlfn.IFNA(_xll.BDP(X258,"INTERVAL_SUM", "MARKET_DATA_OVERRIDE=px_volume", "CALC_INTERVAL=5D"), "")</f>
        <v>#N/A N/A</v>
      </c>
      <c r="Z258" t="str" cm="1">
        <f t="array" ref="Z258">_xll.BDP(B258, "CF_ACT_CASH_PAID_FOR_INT_DEBT")</f>
        <v>#N/A N/A</v>
      </c>
      <c r="AA258" t="str" cm="1">
        <f t="array" ref="AA258">_xll.BDP(B258, "TYPE_OF_BOND")</f>
        <v>Sukuk Al Mudarabah</v>
      </c>
    </row>
    <row r="259" spans="1:27" x14ac:dyDescent="0.25">
      <c r="A259">
        <v>257</v>
      </c>
      <c r="B259" t="s">
        <v>599</v>
      </c>
      <c r="C259" s="4" t="s">
        <v>587</v>
      </c>
      <c r="D259" s="4">
        <v>2750000000</v>
      </c>
      <c r="E259" t="s">
        <v>17</v>
      </c>
      <c r="F259" s="1">
        <v>56635</v>
      </c>
      <c r="G259">
        <v>3.75</v>
      </c>
      <c r="H259" t="s">
        <v>9</v>
      </c>
      <c r="L259" t="s">
        <v>1168</v>
      </c>
      <c r="M259" t="s">
        <v>588</v>
      </c>
      <c r="N259" t="s">
        <v>589</v>
      </c>
      <c r="O259" t="s">
        <v>3159</v>
      </c>
      <c r="P259" t="s">
        <v>2663</v>
      </c>
      <c r="Q259" t="s">
        <v>2663</v>
      </c>
      <c r="R259" t="s">
        <v>600</v>
      </c>
      <c r="S259">
        <v>16855663.750932299</v>
      </c>
      <c r="T259">
        <v>51</v>
      </c>
      <c r="U259" t="s">
        <v>1169</v>
      </c>
      <c r="W259" t="s">
        <v>591</v>
      </c>
      <c r="X259" t="str">
        <f t="shared" ref="X259:X322" si="4">SUBSTITUTE(B259," Corp","@TRAC Corp")</f>
        <v>ZP609287@TRAC Corp</v>
      </c>
      <c r="Y259" t="str">
        <f>_xlfn.IFNA(_xll.BDP(X259,"INTERVAL_SUM", "MARKET_DATA_OVERRIDE=px_volume", "CALC_INTERVAL=5D"), "")</f>
        <v>#N/A N/A</v>
      </c>
      <c r="Z259" t="str" cm="1">
        <f t="array" ref="Z259">_xll.BDP(B259, "CF_ACT_CASH_PAID_FOR_INT_DEBT")</f>
        <v>#N/A N/A</v>
      </c>
      <c r="AA259" t="str" cm="1">
        <f t="array" ref="AA259">_xll.BDP(B259, "TYPE_OF_BOND")</f>
        <v>#N/A Field Not Applicable</v>
      </c>
    </row>
    <row r="260" spans="1:27" x14ac:dyDescent="0.25">
      <c r="A260">
        <v>258</v>
      </c>
      <c r="B260" t="s">
        <v>601</v>
      </c>
      <c r="C260" s="4" t="s">
        <v>587</v>
      </c>
      <c r="D260" s="4">
        <v>1000000000</v>
      </c>
      <c r="E260" t="s">
        <v>17</v>
      </c>
      <c r="F260" s="1">
        <v>48247</v>
      </c>
      <c r="G260">
        <v>2.75</v>
      </c>
      <c r="H260" t="s">
        <v>9</v>
      </c>
      <c r="L260" t="s">
        <v>1168</v>
      </c>
      <c r="M260" t="s">
        <v>588</v>
      </c>
      <c r="N260" t="s">
        <v>589</v>
      </c>
      <c r="O260" t="s">
        <v>3159</v>
      </c>
      <c r="P260" t="s">
        <v>2663</v>
      </c>
      <c r="Q260" t="s">
        <v>2663</v>
      </c>
      <c r="R260" t="s">
        <v>602</v>
      </c>
      <c r="S260">
        <v>31859488.153447799</v>
      </c>
      <c r="T260">
        <v>67</v>
      </c>
      <c r="U260" t="s">
        <v>1169</v>
      </c>
      <c r="W260" t="s">
        <v>591</v>
      </c>
      <c r="X260" t="str">
        <f t="shared" si="4"/>
        <v>ZP609284@TRAC Corp</v>
      </c>
      <c r="Y260" t="str">
        <f>_xlfn.IFNA(_xll.BDP(X260,"INTERVAL_SUM", "MARKET_DATA_OVERRIDE=px_volume", "CALC_INTERVAL=5D"), "")</f>
        <v>#N/A N/A</v>
      </c>
      <c r="Z260" t="str" cm="1">
        <f t="array" ref="Z260">_xll.BDP(B260, "CF_ACT_CASH_PAID_FOR_INT_DEBT")</f>
        <v>#N/A N/A</v>
      </c>
      <c r="AA260" t="str" cm="1">
        <f t="array" ref="AA260">_xll.BDP(B260, "TYPE_OF_BOND")</f>
        <v>#N/A Field Not Applicable</v>
      </c>
    </row>
    <row r="261" spans="1:27" x14ac:dyDescent="0.25">
      <c r="A261">
        <v>259</v>
      </c>
      <c r="B261" t="s">
        <v>603</v>
      </c>
      <c r="C261" s="4" t="s">
        <v>587</v>
      </c>
      <c r="D261" s="4">
        <v>1250000000</v>
      </c>
      <c r="E261" t="s">
        <v>17</v>
      </c>
      <c r="F261" s="1">
        <v>46421</v>
      </c>
      <c r="G261">
        <v>2.5</v>
      </c>
      <c r="H261" t="s">
        <v>9</v>
      </c>
      <c r="L261" t="s">
        <v>1168</v>
      </c>
      <c r="M261" t="s">
        <v>588</v>
      </c>
      <c r="N261" t="s">
        <v>589</v>
      </c>
      <c r="O261" t="s">
        <v>3159</v>
      </c>
      <c r="P261" t="s">
        <v>2663</v>
      </c>
      <c r="Q261" t="s">
        <v>2663</v>
      </c>
      <c r="R261" t="s">
        <v>604</v>
      </c>
      <c r="S261">
        <v>19621610.900229499</v>
      </c>
      <c r="T261">
        <v>88</v>
      </c>
      <c r="U261" t="s">
        <v>1169</v>
      </c>
      <c r="W261" t="s">
        <v>591</v>
      </c>
      <c r="X261" t="str">
        <f t="shared" si="4"/>
        <v>ZP609281@TRAC Corp</v>
      </c>
      <c r="Y261" t="str">
        <f>_xlfn.IFNA(_xll.BDP(X261,"INTERVAL_SUM", "MARKET_DATA_OVERRIDE=px_volume", "CALC_INTERVAL=5D"), "")</f>
        <v>#N/A N/A</v>
      </c>
      <c r="Z261" t="str" cm="1">
        <f t="array" ref="Z261">_xll.BDP(B261, "CF_ACT_CASH_PAID_FOR_INT_DEBT")</f>
        <v>#N/A N/A</v>
      </c>
      <c r="AA261" t="str" cm="1">
        <f t="array" ref="AA261">_xll.BDP(B261, "TYPE_OF_BOND")</f>
        <v>#N/A Field Not Applicable</v>
      </c>
    </row>
    <row r="262" spans="1:27" x14ac:dyDescent="0.25">
      <c r="A262">
        <v>260</v>
      </c>
      <c r="B262" t="s">
        <v>605</v>
      </c>
      <c r="C262" s="4" t="s">
        <v>587</v>
      </c>
      <c r="D262" s="4">
        <v>5017080000</v>
      </c>
      <c r="E262" t="s">
        <v>17</v>
      </c>
      <c r="F262" s="1">
        <v>46414</v>
      </c>
      <c r="G262">
        <v>2.4700000000000002</v>
      </c>
      <c r="H262" t="s">
        <v>9</v>
      </c>
      <c r="L262" t="s">
        <v>1187</v>
      </c>
      <c r="M262" t="s">
        <v>588</v>
      </c>
      <c r="N262" t="s">
        <v>589</v>
      </c>
      <c r="O262" t="s">
        <v>3159</v>
      </c>
      <c r="P262" t="s">
        <v>2663</v>
      </c>
      <c r="Q262" t="s">
        <v>2663</v>
      </c>
      <c r="R262" t="s">
        <v>606</v>
      </c>
      <c r="S262">
        <v>205205039.18720201</v>
      </c>
      <c r="T262">
        <v>95</v>
      </c>
      <c r="U262">
        <v>5283</v>
      </c>
      <c r="W262" t="s">
        <v>591</v>
      </c>
      <c r="X262" t="str">
        <f t="shared" si="4"/>
        <v>ZP605500@TRAC Corp</v>
      </c>
      <c r="Y262" t="str">
        <f>_xlfn.IFNA(_xll.BDP(X262,"INTERVAL_SUM", "MARKET_DATA_OVERRIDE=px_volume", "CALC_INTERVAL=5D"), "")</f>
        <v>#N/A N/A</v>
      </c>
      <c r="Z262" t="str" cm="1">
        <f t="array" ref="Z262">_xll.BDP(B262, "CF_ACT_CASH_PAID_FOR_INT_DEBT")</f>
        <v>#N/A N/A</v>
      </c>
      <c r="AA262" t="str" cm="1">
        <f t="array" ref="AA262">_xll.BDP(B262, "TYPE_OF_BOND")</f>
        <v>Sukuk Al Mudarabah</v>
      </c>
    </row>
    <row r="263" spans="1:27" x14ac:dyDescent="0.25">
      <c r="A263">
        <v>261</v>
      </c>
      <c r="B263" t="s">
        <v>607</v>
      </c>
      <c r="C263" s="4" t="s">
        <v>587</v>
      </c>
      <c r="D263" s="4">
        <v>1750000000</v>
      </c>
      <c r="E263" t="s">
        <v>17</v>
      </c>
      <c r="F263" s="1">
        <v>55929</v>
      </c>
      <c r="G263">
        <v>5.125</v>
      </c>
      <c r="H263" t="s">
        <v>9</v>
      </c>
      <c r="L263" t="s">
        <v>1168</v>
      </c>
      <c r="M263" t="s">
        <v>595</v>
      </c>
      <c r="N263" t="s">
        <v>537</v>
      </c>
      <c r="O263" t="s">
        <v>3129</v>
      </c>
      <c r="P263" t="s">
        <v>2648</v>
      </c>
      <c r="Q263" t="s">
        <v>2648</v>
      </c>
      <c r="R263" t="s">
        <v>608</v>
      </c>
      <c r="S263">
        <v>28452463.8838128</v>
      </c>
      <c r="T263">
        <v>43</v>
      </c>
      <c r="W263" t="s">
        <v>591</v>
      </c>
      <c r="X263" t="str">
        <f t="shared" si="4"/>
        <v>ZM921137@TRAC Corp</v>
      </c>
      <c r="Y263" t="str">
        <f>_xlfn.IFNA(_xll.BDP(X263,"INTERVAL_SUM", "MARKET_DATA_OVERRIDE=px_volume", "CALC_INTERVAL=5D"), "")</f>
        <v>#N/A N/A</v>
      </c>
      <c r="Z263" cm="1">
        <f t="array" ref="Z263">_xll.BDP(B263, "CF_ACT_CASH_PAID_FOR_INT_DEBT")</f>
        <v>4462.7824758241495</v>
      </c>
      <c r="AA263" t="str" cm="1">
        <f t="array" ref="AA263">_xll.BDP(B263, "TYPE_OF_BOND")</f>
        <v>#N/A Field Not Applicable</v>
      </c>
    </row>
    <row r="264" spans="1:27" x14ac:dyDescent="0.25">
      <c r="A264">
        <v>262</v>
      </c>
      <c r="B264" t="s">
        <v>609</v>
      </c>
      <c r="C264" s="4" t="s">
        <v>587</v>
      </c>
      <c r="D264" s="4">
        <v>2000000000</v>
      </c>
      <c r="E264" s="1" t="s">
        <v>17</v>
      </c>
      <c r="F264" s="1">
        <v>49354</v>
      </c>
      <c r="G264">
        <v>4.875</v>
      </c>
      <c r="H264" t="s">
        <v>9</v>
      </c>
      <c r="L264" t="s">
        <v>1168</v>
      </c>
      <c r="M264" t="s">
        <v>595</v>
      </c>
      <c r="N264" t="s">
        <v>537</v>
      </c>
      <c r="O264" t="s">
        <v>3129</v>
      </c>
      <c r="P264" t="s">
        <v>2648</v>
      </c>
      <c r="Q264" t="s">
        <v>2648</v>
      </c>
      <c r="R264" t="s">
        <v>610</v>
      </c>
      <c r="S264">
        <v>28816602.5677418</v>
      </c>
      <c r="T264">
        <v>57</v>
      </c>
      <c r="W264" t="s">
        <v>591</v>
      </c>
      <c r="X264" t="str">
        <f t="shared" si="4"/>
        <v>ZM921135@TRAC Corp</v>
      </c>
      <c r="Y264" t="str">
        <f>_xlfn.IFNA(_xll.BDP(X264,"INTERVAL_SUM", "MARKET_DATA_OVERRIDE=px_volume", "CALC_INTERVAL=5D"), "")</f>
        <v>#N/A N/A</v>
      </c>
      <c r="Z264" cm="1">
        <f t="array" ref="Z264">_xll.BDP(B264, "CF_ACT_CASH_PAID_FOR_INT_DEBT")</f>
        <v>4462.7824758241495</v>
      </c>
      <c r="AA264" t="str" cm="1">
        <f t="array" ref="AA264">_xll.BDP(B264, "TYPE_OF_BOND")</f>
        <v>#N/A Field Not Applicable</v>
      </c>
    </row>
    <row r="265" spans="1:27" x14ac:dyDescent="0.25">
      <c r="A265">
        <v>263</v>
      </c>
      <c r="B265" t="s">
        <v>611</v>
      </c>
      <c r="C265" s="4" t="s">
        <v>587</v>
      </c>
      <c r="D265" s="4">
        <v>1750000000</v>
      </c>
      <c r="E265" s="1" t="s">
        <v>17</v>
      </c>
      <c r="F265" s="1">
        <v>47528</v>
      </c>
      <c r="G265">
        <v>4.75</v>
      </c>
      <c r="H265" t="s">
        <v>9</v>
      </c>
      <c r="L265" t="s">
        <v>1168</v>
      </c>
      <c r="M265" t="s">
        <v>595</v>
      </c>
      <c r="N265" t="s">
        <v>537</v>
      </c>
      <c r="O265" t="s">
        <v>3129</v>
      </c>
      <c r="P265" t="s">
        <v>2648</v>
      </c>
      <c r="Q265" t="s">
        <v>2648</v>
      </c>
      <c r="R265" t="s">
        <v>612</v>
      </c>
      <c r="S265">
        <v>24825752.300454501</v>
      </c>
      <c r="T265">
        <v>62</v>
      </c>
      <c r="W265" t="s">
        <v>591</v>
      </c>
      <c r="X265" t="str">
        <f t="shared" si="4"/>
        <v>ZM921134@TRAC Corp</v>
      </c>
      <c r="Y265" t="str">
        <f>_xlfn.IFNA(_xll.BDP(X265,"INTERVAL_SUM", "MARKET_DATA_OVERRIDE=px_volume", "CALC_INTERVAL=5D"), "")</f>
        <v>#N/A N/A</v>
      </c>
      <c r="Z265" cm="1">
        <f t="array" ref="Z265">_xll.BDP(B265, "CF_ACT_CASH_PAID_FOR_INT_DEBT")</f>
        <v>4462.7824758241495</v>
      </c>
      <c r="AA265" t="str" cm="1">
        <f t="array" ref="AA265">_xll.BDP(B265, "TYPE_OF_BOND")</f>
        <v>#N/A Field Not Applicable</v>
      </c>
    </row>
    <row r="266" spans="1:27" x14ac:dyDescent="0.25">
      <c r="A266">
        <v>264</v>
      </c>
      <c r="B266" t="s">
        <v>613</v>
      </c>
      <c r="C266" s="4" t="s">
        <v>587</v>
      </c>
      <c r="D266" s="4">
        <v>3250000000</v>
      </c>
      <c r="E266" t="s">
        <v>17</v>
      </c>
      <c r="F266" s="1">
        <v>55902</v>
      </c>
      <c r="G266">
        <v>5</v>
      </c>
      <c r="H266" t="s">
        <v>9</v>
      </c>
      <c r="L266" t="s">
        <v>1168</v>
      </c>
      <c r="M266" t="s">
        <v>588</v>
      </c>
      <c r="N266" t="s">
        <v>589</v>
      </c>
      <c r="O266" t="s">
        <v>3159</v>
      </c>
      <c r="P266" t="s">
        <v>2663</v>
      </c>
      <c r="Q266" t="s">
        <v>2663</v>
      </c>
      <c r="R266" t="s">
        <v>614</v>
      </c>
      <c r="S266">
        <v>14314891.798247101</v>
      </c>
      <c r="T266">
        <v>55</v>
      </c>
      <c r="U266" t="s">
        <v>1169</v>
      </c>
      <c r="W266" t="s">
        <v>591</v>
      </c>
      <c r="X266" t="str">
        <f t="shared" si="4"/>
        <v>ZM351401@TRAC Corp</v>
      </c>
      <c r="Y266" t="str">
        <f>_xlfn.IFNA(_xll.BDP(X266,"INTERVAL_SUM", "MARKET_DATA_OVERRIDE=px_volume", "CALC_INTERVAL=5D"), "")</f>
        <v>#N/A N/A</v>
      </c>
      <c r="Z266" t="str" cm="1">
        <f t="array" ref="Z266">_xll.BDP(B266, "CF_ACT_CASH_PAID_FOR_INT_DEBT")</f>
        <v>#N/A N/A</v>
      </c>
      <c r="AA266" t="str" cm="1">
        <f t="array" ref="AA266">_xll.BDP(B266, "TYPE_OF_BOND")</f>
        <v>#N/A Field Not Applicable</v>
      </c>
    </row>
    <row r="267" spans="1:27" x14ac:dyDescent="0.25">
      <c r="A267">
        <v>265</v>
      </c>
      <c r="B267" t="s">
        <v>615</v>
      </c>
      <c r="C267" s="4" t="s">
        <v>587</v>
      </c>
      <c r="D267" s="4">
        <v>3500000000</v>
      </c>
      <c r="E267" t="s">
        <v>17</v>
      </c>
      <c r="F267" s="1">
        <v>48778</v>
      </c>
      <c r="G267">
        <v>4.875</v>
      </c>
      <c r="H267" t="s">
        <v>9</v>
      </c>
      <c r="L267" t="s">
        <v>1168</v>
      </c>
      <c r="M267" t="s">
        <v>588</v>
      </c>
      <c r="N267" t="s">
        <v>589</v>
      </c>
      <c r="O267" t="s">
        <v>3159</v>
      </c>
      <c r="P267" t="s">
        <v>2663</v>
      </c>
      <c r="Q267" t="s">
        <v>2663</v>
      </c>
      <c r="R267" t="s">
        <v>616</v>
      </c>
      <c r="S267">
        <v>20353509.471171498</v>
      </c>
      <c r="T267">
        <v>72</v>
      </c>
      <c r="U267" t="s">
        <v>1169</v>
      </c>
      <c r="W267" t="s">
        <v>591</v>
      </c>
      <c r="X267" t="str">
        <f t="shared" si="4"/>
        <v>ZM351400@TRAC Corp</v>
      </c>
      <c r="Y267" t="str">
        <f>_xlfn.IFNA(_xll.BDP(X267,"INTERVAL_SUM", "MARKET_DATA_OVERRIDE=px_volume", "CALC_INTERVAL=5D"), "")</f>
        <v>#N/A N/A</v>
      </c>
      <c r="Z267" t="str" cm="1">
        <f t="array" ref="Z267">_xll.BDP(B267, "CF_ACT_CASH_PAID_FOR_INT_DEBT")</f>
        <v>#N/A N/A</v>
      </c>
      <c r="AA267" t="str" cm="1">
        <f t="array" ref="AA267">_xll.BDP(B267, "TYPE_OF_BOND")</f>
        <v>#N/A Field Not Applicable</v>
      </c>
    </row>
    <row r="268" spans="1:27" x14ac:dyDescent="0.25">
      <c r="A268">
        <v>266</v>
      </c>
      <c r="B268" t="s">
        <v>617</v>
      </c>
      <c r="C268" s="4" t="s">
        <v>587</v>
      </c>
      <c r="D268" s="4">
        <v>3250000000</v>
      </c>
      <c r="E268" t="s">
        <v>17</v>
      </c>
      <c r="F268" s="1">
        <v>46770</v>
      </c>
      <c r="G268">
        <v>4.75</v>
      </c>
      <c r="H268" t="s">
        <v>9</v>
      </c>
      <c r="L268" t="s">
        <v>1168</v>
      </c>
      <c r="M268" t="s">
        <v>588</v>
      </c>
      <c r="N268" t="s">
        <v>589</v>
      </c>
      <c r="O268" t="s">
        <v>3159</v>
      </c>
      <c r="P268" t="s">
        <v>2663</v>
      </c>
      <c r="Q268" t="s">
        <v>2663</v>
      </c>
      <c r="R268" t="s">
        <v>618</v>
      </c>
      <c r="S268">
        <v>33190580.3611307</v>
      </c>
      <c r="T268">
        <v>85</v>
      </c>
      <c r="U268" t="s">
        <v>1169</v>
      </c>
      <c r="W268" t="s">
        <v>591</v>
      </c>
      <c r="X268" t="str">
        <f t="shared" si="4"/>
        <v>ZM351399@TRAC Corp</v>
      </c>
      <c r="Y268" t="str">
        <f>_xlfn.IFNA(_xll.BDP(X268,"INTERVAL_SUM", "MARKET_DATA_OVERRIDE=px_volume", "CALC_INTERVAL=5D"), "")</f>
        <v>#N/A N/A</v>
      </c>
      <c r="Z268" t="str" cm="1">
        <f t="array" ref="Z268">_xll.BDP(B268, "CF_ACT_CASH_PAID_FOR_INT_DEBT")</f>
        <v>#N/A N/A</v>
      </c>
      <c r="AA268" t="str" cm="1">
        <f t="array" ref="AA268">_xll.BDP(B268, "TYPE_OF_BOND")</f>
        <v>#N/A Field Not Applicable</v>
      </c>
    </row>
    <row r="269" spans="1:27" x14ac:dyDescent="0.25">
      <c r="A269">
        <v>267</v>
      </c>
      <c r="B269" t="s">
        <v>619</v>
      </c>
      <c r="C269" s="4" t="s">
        <v>587</v>
      </c>
      <c r="D269" s="4">
        <v>3500000000</v>
      </c>
      <c r="E269" t="s">
        <v>17</v>
      </c>
      <c r="F269" s="1">
        <v>48727</v>
      </c>
      <c r="G269">
        <v>4.3</v>
      </c>
      <c r="H269" t="s">
        <v>9</v>
      </c>
      <c r="L269" t="s">
        <v>1187</v>
      </c>
      <c r="M269" t="s">
        <v>588</v>
      </c>
      <c r="N269" t="s">
        <v>537</v>
      </c>
      <c r="O269" t="s">
        <v>3160</v>
      </c>
      <c r="P269" t="s">
        <v>2664</v>
      </c>
      <c r="Q269" t="s">
        <v>3161</v>
      </c>
      <c r="R269" t="s">
        <v>620</v>
      </c>
      <c r="S269">
        <v>-9997</v>
      </c>
      <c r="U269" t="s">
        <v>1188</v>
      </c>
      <c r="W269" t="s">
        <v>591</v>
      </c>
      <c r="X269" t="str">
        <f t="shared" si="4"/>
        <v>ZK903374@TRAC Corp</v>
      </c>
      <c r="Y269" t="str">
        <f>_xlfn.IFNA(_xll.BDP(X269,"INTERVAL_SUM", "MARKET_DATA_OVERRIDE=px_volume", "CALC_INTERVAL=5D"), "")</f>
        <v>#N/A N/A</v>
      </c>
      <c r="Z269" t="str" cm="1">
        <f t="array" ref="Z269">_xll.BDP(B269, "CF_ACT_CASH_PAID_FOR_INT_DEBT")</f>
        <v>#N/A N/A</v>
      </c>
      <c r="AA269" t="str" cm="1">
        <f t="array" ref="AA269">_xll.BDP(B269, "TYPE_OF_BOND")</f>
        <v>Sukuk Al Mudarabah</v>
      </c>
    </row>
    <row r="270" spans="1:27" x14ac:dyDescent="0.25">
      <c r="A270">
        <v>268</v>
      </c>
      <c r="B270" t="s">
        <v>621</v>
      </c>
      <c r="C270" s="4" t="s">
        <v>587</v>
      </c>
      <c r="D270" s="4">
        <v>3000000000</v>
      </c>
      <c r="E270" t="s">
        <v>17</v>
      </c>
      <c r="F270" s="1">
        <v>48721</v>
      </c>
      <c r="G270">
        <v>4.5110000000000001</v>
      </c>
      <c r="H270" t="s">
        <v>9</v>
      </c>
      <c r="L270" t="s">
        <v>1168</v>
      </c>
      <c r="M270" t="s">
        <v>595</v>
      </c>
      <c r="N270" t="s">
        <v>589</v>
      </c>
      <c r="O270" t="s">
        <v>3159</v>
      </c>
      <c r="P270" t="s">
        <v>2663</v>
      </c>
      <c r="Q270" t="s">
        <v>2663</v>
      </c>
      <c r="R270" t="s">
        <v>622</v>
      </c>
      <c r="S270">
        <v>29884219.318155099</v>
      </c>
      <c r="T270">
        <v>71</v>
      </c>
      <c r="U270" t="s">
        <v>1169</v>
      </c>
      <c r="W270" t="s">
        <v>591</v>
      </c>
      <c r="X270" t="str">
        <f t="shared" si="4"/>
        <v>ZK649568@TRAC Corp</v>
      </c>
      <c r="Y270" t="str">
        <f>_xlfn.IFNA(_xll.BDP(X270,"INTERVAL_SUM", "MARKET_DATA_OVERRIDE=px_volume", "CALC_INTERVAL=5D"), "")</f>
        <v>#N/A N/A</v>
      </c>
      <c r="Z270" t="str" cm="1">
        <f t="array" ref="Z270">_xll.BDP(B270, "CF_ACT_CASH_PAID_FOR_INT_DEBT")</f>
        <v>#N/A N/A</v>
      </c>
      <c r="AA270" t="str" cm="1">
        <f t="array" ref="AA270">_xll.BDP(B270, "TYPE_OF_BOND")</f>
        <v>Sukuk Al Mudarabah</v>
      </c>
    </row>
    <row r="271" spans="1:27" x14ac:dyDescent="0.25">
      <c r="A271">
        <v>269</v>
      </c>
      <c r="B271" t="s">
        <v>623</v>
      </c>
      <c r="C271" s="4" t="s">
        <v>587</v>
      </c>
      <c r="D271" s="4">
        <v>3000000000</v>
      </c>
      <c r="E271" t="s">
        <v>17</v>
      </c>
      <c r="F271" s="1">
        <v>47260</v>
      </c>
      <c r="G271">
        <v>4.274</v>
      </c>
      <c r="H271" t="s">
        <v>9</v>
      </c>
      <c r="L271" t="s">
        <v>1168</v>
      </c>
      <c r="M271" t="s">
        <v>595</v>
      </c>
      <c r="N271" t="s">
        <v>589</v>
      </c>
      <c r="O271" t="s">
        <v>3159</v>
      </c>
      <c r="P271" t="s">
        <v>2663</v>
      </c>
      <c r="Q271" t="s">
        <v>2663</v>
      </c>
      <c r="R271" t="s">
        <v>624</v>
      </c>
      <c r="S271">
        <v>45076526.708210297</v>
      </c>
      <c r="T271">
        <v>81</v>
      </c>
      <c r="U271" t="s">
        <v>1169</v>
      </c>
      <c r="W271" t="s">
        <v>591</v>
      </c>
      <c r="X271" t="str">
        <f t="shared" si="4"/>
        <v>ZK649565@TRAC Corp</v>
      </c>
      <c r="Y271" t="str">
        <f>_xlfn.IFNA(_xll.BDP(X271,"INTERVAL_SUM", "MARKET_DATA_OVERRIDE=px_volume", "CALC_INTERVAL=5D"), "")</f>
        <v>#N/A N/A</v>
      </c>
      <c r="Z271" t="str" cm="1">
        <f t="array" ref="Z271">_xll.BDP(B271, "CF_ACT_CASH_PAID_FOR_INT_DEBT")</f>
        <v>#N/A N/A</v>
      </c>
      <c r="AA271" t="str" cm="1">
        <f t="array" ref="AA271">_xll.BDP(B271, "TYPE_OF_BOND")</f>
        <v>Sukuk Al Mudarabah</v>
      </c>
    </row>
    <row r="272" spans="1:27" x14ac:dyDescent="0.25">
      <c r="A272">
        <v>270</v>
      </c>
      <c r="B272" t="s">
        <v>625</v>
      </c>
      <c r="C272" s="4" t="s">
        <v>587</v>
      </c>
      <c r="D272" s="4">
        <v>3196676000</v>
      </c>
      <c r="E272" t="s">
        <v>17</v>
      </c>
      <c r="F272" s="1">
        <v>50634</v>
      </c>
      <c r="G272">
        <v>4.6900000000000004</v>
      </c>
      <c r="H272" t="s">
        <v>9</v>
      </c>
      <c r="L272" t="s">
        <v>1187</v>
      </c>
      <c r="M272" t="s">
        <v>588</v>
      </c>
      <c r="N272" t="s">
        <v>589</v>
      </c>
      <c r="O272" t="s">
        <v>3159</v>
      </c>
      <c r="P272" t="s">
        <v>2663</v>
      </c>
      <c r="Q272" t="s">
        <v>2663</v>
      </c>
      <c r="R272" t="s">
        <v>626</v>
      </c>
      <c r="S272">
        <v>496641294.686131</v>
      </c>
      <c r="T272">
        <v>46</v>
      </c>
      <c r="U272">
        <v>5336</v>
      </c>
      <c r="W272" t="s">
        <v>591</v>
      </c>
      <c r="X272" t="str">
        <f t="shared" si="4"/>
        <v>ZI398427@TRAC Corp</v>
      </c>
      <c r="Y272" t="str">
        <f>_xlfn.IFNA(_xll.BDP(X272,"INTERVAL_SUM", "MARKET_DATA_OVERRIDE=px_volume", "CALC_INTERVAL=5D"), "")</f>
        <v>#N/A N/A</v>
      </c>
      <c r="Z272" t="str" cm="1">
        <f t="array" ref="Z272">_xll.BDP(B272, "CF_ACT_CASH_PAID_FOR_INT_DEBT")</f>
        <v>#N/A N/A</v>
      </c>
      <c r="AA272" t="str" cm="1">
        <f t="array" ref="AA272">_xll.BDP(B272, "TYPE_OF_BOND")</f>
        <v>Sukuk Al Mudarabah</v>
      </c>
    </row>
    <row r="273" spans="1:27" x14ac:dyDescent="0.25">
      <c r="A273">
        <v>271</v>
      </c>
      <c r="B273" t="s">
        <v>627</v>
      </c>
      <c r="C273" s="4" t="s">
        <v>587</v>
      </c>
      <c r="D273" s="4">
        <v>21242805000</v>
      </c>
      <c r="E273" t="s">
        <v>17</v>
      </c>
      <c r="F273" s="1">
        <v>48808</v>
      </c>
      <c r="G273">
        <v>4.5999999999999996</v>
      </c>
      <c r="H273" t="s">
        <v>9</v>
      </c>
      <c r="L273" t="s">
        <v>1187</v>
      </c>
      <c r="M273" t="s">
        <v>588</v>
      </c>
      <c r="N273" t="s">
        <v>589</v>
      </c>
      <c r="O273" t="s">
        <v>3159</v>
      </c>
      <c r="P273" t="s">
        <v>2663</v>
      </c>
      <c r="Q273" t="s">
        <v>2663</v>
      </c>
      <c r="R273" t="s">
        <v>628</v>
      </c>
      <c r="S273">
        <v>328781610.52008301</v>
      </c>
      <c r="T273">
        <v>70</v>
      </c>
      <c r="U273">
        <v>5334</v>
      </c>
      <c r="W273" t="s">
        <v>591</v>
      </c>
      <c r="X273" t="str">
        <f t="shared" si="4"/>
        <v>ZI398393@TRAC Corp</v>
      </c>
      <c r="Y273" t="str">
        <f>_xlfn.IFNA(_xll.BDP(X273,"INTERVAL_SUM", "MARKET_DATA_OVERRIDE=px_volume", "CALC_INTERVAL=5D"), "")</f>
        <v>#N/A N/A</v>
      </c>
      <c r="Z273" t="str" cm="1">
        <f t="array" ref="Z273">_xll.BDP(B273, "CF_ACT_CASH_PAID_FOR_INT_DEBT")</f>
        <v>#N/A N/A</v>
      </c>
      <c r="AA273" t="str" cm="1">
        <f t="array" ref="AA273">_xll.BDP(B273, "TYPE_OF_BOND")</f>
        <v>Sukuk Al Mudarabah</v>
      </c>
    </row>
    <row r="274" spans="1:27" x14ac:dyDescent="0.25">
      <c r="A274">
        <v>272</v>
      </c>
      <c r="B274" t="s">
        <v>629</v>
      </c>
      <c r="C274" s="4" t="s">
        <v>587</v>
      </c>
      <c r="D274" s="4">
        <v>46594313000</v>
      </c>
      <c r="E274" t="s">
        <v>17</v>
      </c>
      <c r="F274" s="1">
        <v>48443</v>
      </c>
      <c r="G274">
        <v>4.57</v>
      </c>
      <c r="H274" t="s">
        <v>9</v>
      </c>
      <c r="L274" t="s">
        <v>1187</v>
      </c>
      <c r="M274" t="s">
        <v>588</v>
      </c>
      <c r="N274" t="s">
        <v>589</v>
      </c>
      <c r="O274" t="s">
        <v>3159</v>
      </c>
      <c r="P274" t="s">
        <v>2663</v>
      </c>
      <c r="Q274" t="s">
        <v>2663</v>
      </c>
      <c r="R274" t="s">
        <v>630</v>
      </c>
      <c r="S274">
        <v>282009259.483913</v>
      </c>
      <c r="T274">
        <v>79</v>
      </c>
      <c r="U274">
        <v>5333</v>
      </c>
      <c r="W274" t="s">
        <v>591</v>
      </c>
      <c r="X274" t="str">
        <f t="shared" si="4"/>
        <v>ZI398384@TRAC Corp</v>
      </c>
      <c r="Y274" t="str">
        <f>_xlfn.IFNA(_xll.BDP(X274,"INTERVAL_SUM", "MARKET_DATA_OVERRIDE=px_volume", "CALC_INTERVAL=5D"), "")</f>
        <v>#N/A N/A</v>
      </c>
      <c r="Z274" t="str" cm="1">
        <f t="array" ref="Z274">_xll.BDP(B274, "CF_ACT_CASH_PAID_FOR_INT_DEBT")</f>
        <v>#N/A N/A</v>
      </c>
      <c r="AA274" t="str" cm="1">
        <f t="array" ref="AA274">_xll.BDP(B274, "TYPE_OF_BOND")</f>
        <v>Sukuk Al Mudarabah</v>
      </c>
    </row>
    <row r="275" spans="1:27" x14ac:dyDescent="0.25">
      <c r="A275">
        <v>273</v>
      </c>
      <c r="B275" t="s">
        <v>631</v>
      </c>
      <c r="C275" s="4" t="s">
        <v>587</v>
      </c>
      <c r="D275" s="4">
        <v>16498697000</v>
      </c>
      <c r="E275" t="s">
        <v>17</v>
      </c>
      <c r="F275" s="1">
        <v>48077</v>
      </c>
      <c r="G275">
        <v>4.5</v>
      </c>
      <c r="H275" t="s">
        <v>9</v>
      </c>
      <c r="L275" t="s">
        <v>1187</v>
      </c>
      <c r="M275" t="s">
        <v>588</v>
      </c>
      <c r="N275" t="s">
        <v>589</v>
      </c>
      <c r="O275" t="s">
        <v>3159</v>
      </c>
      <c r="P275" t="s">
        <v>2663</v>
      </c>
      <c r="Q275" t="s">
        <v>2663</v>
      </c>
      <c r="R275" t="s">
        <v>632</v>
      </c>
      <c r="S275">
        <v>265057222.911291</v>
      </c>
      <c r="T275">
        <v>77</v>
      </c>
      <c r="U275">
        <v>5332</v>
      </c>
      <c r="W275" t="s">
        <v>591</v>
      </c>
      <c r="X275" t="str">
        <f t="shared" si="4"/>
        <v>ZI398371@TRAC Corp</v>
      </c>
      <c r="Y275" t="str">
        <f>_xlfn.IFNA(_xll.BDP(X275,"INTERVAL_SUM", "MARKET_DATA_OVERRIDE=px_volume", "CALC_INTERVAL=5D"), "")</f>
        <v>#N/A N/A</v>
      </c>
      <c r="Z275" t="str" cm="1">
        <f t="array" ref="Z275">_xll.BDP(B275, "CF_ACT_CASH_PAID_FOR_INT_DEBT")</f>
        <v>#N/A N/A</v>
      </c>
      <c r="AA275" t="str" cm="1">
        <f t="array" ref="AA275">_xll.BDP(B275, "TYPE_OF_BOND")</f>
        <v>Sukuk Al Mudarabah</v>
      </c>
    </row>
    <row r="276" spans="1:27" x14ac:dyDescent="0.25">
      <c r="A276">
        <v>274</v>
      </c>
      <c r="B276" t="s">
        <v>633</v>
      </c>
      <c r="C276" s="4" t="s">
        <v>587</v>
      </c>
      <c r="D276" s="4">
        <v>2250000000</v>
      </c>
      <c r="E276" t="s">
        <v>17</v>
      </c>
      <c r="F276" s="1">
        <v>47051</v>
      </c>
      <c r="G276">
        <v>6</v>
      </c>
      <c r="H276" t="s">
        <v>9</v>
      </c>
      <c r="L276" t="s">
        <v>1168</v>
      </c>
      <c r="M276" t="s">
        <v>595</v>
      </c>
      <c r="N276" t="s">
        <v>537</v>
      </c>
      <c r="O276" t="s">
        <v>3129</v>
      </c>
      <c r="P276" t="s">
        <v>2648</v>
      </c>
      <c r="Q276" t="s">
        <v>2648</v>
      </c>
      <c r="R276" t="s">
        <v>634</v>
      </c>
      <c r="S276">
        <v>23093038.616121199</v>
      </c>
      <c r="T276">
        <v>62</v>
      </c>
      <c r="W276" t="s">
        <v>591</v>
      </c>
      <c r="X276" t="str">
        <f t="shared" si="4"/>
        <v>ZH575170@TRAC Corp</v>
      </c>
      <c r="Y276" t="str">
        <f>_xlfn.IFNA(_xll.BDP(X276,"INTERVAL_SUM", "MARKET_DATA_OVERRIDE=px_volume", "CALC_INTERVAL=5D"), "")</f>
        <v>#N/A N/A</v>
      </c>
      <c r="Z276" cm="1">
        <f t="array" ref="Z276">_xll.BDP(B276, "CF_ACT_CASH_PAID_FOR_INT_DEBT")</f>
        <v>4462.7824758241495</v>
      </c>
      <c r="AA276" t="str" cm="1">
        <f t="array" ref="AA276">_xll.BDP(B276, "TYPE_OF_BOND")</f>
        <v>Sukuk Al-Wakala Bel-Istithma</v>
      </c>
    </row>
    <row r="277" spans="1:27" x14ac:dyDescent="0.25">
      <c r="A277">
        <v>275</v>
      </c>
      <c r="B277" t="s">
        <v>635</v>
      </c>
      <c r="C277" s="4" t="s">
        <v>587</v>
      </c>
      <c r="D277" s="4">
        <v>1250000000</v>
      </c>
      <c r="E277" t="s">
        <v>17</v>
      </c>
      <c r="F277" s="1">
        <v>48877</v>
      </c>
      <c r="G277">
        <v>6.25</v>
      </c>
      <c r="H277" t="s">
        <v>9</v>
      </c>
      <c r="L277" t="s">
        <v>1168</v>
      </c>
      <c r="M277" t="s">
        <v>595</v>
      </c>
      <c r="N277" t="s">
        <v>537</v>
      </c>
      <c r="O277" t="s">
        <v>3129</v>
      </c>
      <c r="P277" t="s">
        <v>2648</v>
      </c>
      <c r="Q277" t="s">
        <v>2648</v>
      </c>
      <c r="R277" t="s">
        <v>636</v>
      </c>
      <c r="S277">
        <v>24503106.229275201</v>
      </c>
      <c r="T277">
        <v>55</v>
      </c>
      <c r="W277" t="s">
        <v>591</v>
      </c>
      <c r="X277" t="str">
        <f t="shared" si="4"/>
        <v>ZH520725@TRAC Corp</v>
      </c>
      <c r="Y277" t="str">
        <f>_xlfn.IFNA(_xll.BDP(X277,"INTERVAL_SUM", "MARKET_DATA_OVERRIDE=px_volume", "CALC_INTERVAL=5D"), "")</f>
        <v>#N/A N/A</v>
      </c>
      <c r="Z277" cm="1">
        <f t="array" ref="Z277">_xll.BDP(B277, "CF_ACT_CASH_PAID_FOR_INT_DEBT")</f>
        <v>4462.7824758241495</v>
      </c>
      <c r="AA277" t="str" cm="1">
        <f t="array" ref="AA277">_xll.BDP(B277, "TYPE_OF_BOND")</f>
        <v>Sukuk Al-Wakala Bel-Istithma</v>
      </c>
    </row>
    <row r="278" spans="1:27" x14ac:dyDescent="0.25">
      <c r="A278">
        <v>276</v>
      </c>
      <c r="B278" t="s">
        <v>637</v>
      </c>
      <c r="C278" s="4" t="s">
        <v>587</v>
      </c>
      <c r="D278" s="4">
        <v>2000000000</v>
      </c>
      <c r="E278" t="s">
        <v>17</v>
      </c>
      <c r="F278" s="1">
        <v>47073</v>
      </c>
      <c r="G278">
        <v>5.2</v>
      </c>
      <c r="H278" t="s">
        <v>9</v>
      </c>
      <c r="L278" t="s">
        <v>1187</v>
      </c>
      <c r="M278" t="s">
        <v>588</v>
      </c>
      <c r="N278" t="s">
        <v>537</v>
      </c>
      <c r="O278" t="s">
        <v>3160</v>
      </c>
      <c r="P278" t="s">
        <v>2664</v>
      </c>
      <c r="Q278" t="s">
        <v>3161</v>
      </c>
      <c r="R278" t="s">
        <v>638</v>
      </c>
      <c r="S278">
        <v>-9997</v>
      </c>
      <c r="U278" t="s">
        <v>1188</v>
      </c>
      <c r="W278" t="s">
        <v>591</v>
      </c>
      <c r="X278" t="str">
        <f t="shared" si="4"/>
        <v>ZG215809@TRAC Corp</v>
      </c>
      <c r="Y278" t="str">
        <f>_xlfn.IFNA(_xll.BDP(X278,"INTERVAL_SUM", "MARKET_DATA_OVERRIDE=px_volume", "CALC_INTERVAL=5D"), "")</f>
        <v>#N/A N/A</v>
      </c>
      <c r="Z278" t="str" cm="1">
        <f t="array" ref="Z278">_xll.BDP(B278, "CF_ACT_CASH_PAID_FOR_INT_DEBT")</f>
        <v>#N/A N/A</v>
      </c>
      <c r="AA278" t="str" cm="1">
        <f t="array" ref="AA278">_xll.BDP(B278, "TYPE_OF_BOND")</f>
        <v>Sukuk Al Mudarabah</v>
      </c>
    </row>
    <row r="279" spans="1:27" x14ac:dyDescent="0.25">
      <c r="A279">
        <v>277</v>
      </c>
      <c r="B279" t="s">
        <v>639</v>
      </c>
      <c r="C279" s="4" t="s">
        <v>587</v>
      </c>
      <c r="D279" s="4">
        <v>1500000000</v>
      </c>
      <c r="E279" t="s">
        <v>17</v>
      </c>
      <c r="F279" s="1">
        <v>47803</v>
      </c>
      <c r="G279">
        <v>5.3</v>
      </c>
      <c r="H279" t="s">
        <v>9</v>
      </c>
      <c r="L279" t="s">
        <v>1187</v>
      </c>
      <c r="M279" t="s">
        <v>588</v>
      </c>
      <c r="N279" t="s">
        <v>537</v>
      </c>
      <c r="O279" t="s">
        <v>3160</v>
      </c>
      <c r="P279" t="s">
        <v>2664</v>
      </c>
      <c r="Q279" t="s">
        <v>3161</v>
      </c>
      <c r="R279" t="s">
        <v>640</v>
      </c>
      <c r="S279">
        <v>-9997</v>
      </c>
      <c r="U279" t="s">
        <v>1188</v>
      </c>
      <c r="W279" t="s">
        <v>591</v>
      </c>
      <c r="X279" t="str">
        <f t="shared" si="4"/>
        <v>ZG215532@TRAC Corp</v>
      </c>
      <c r="Y279" t="str">
        <f>_xlfn.IFNA(_xll.BDP(X279,"INTERVAL_SUM", "MARKET_DATA_OVERRIDE=px_volume", "CALC_INTERVAL=5D"), "")</f>
        <v>#N/A N/A</v>
      </c>
      <c r="Z279" t="str" cm="1">
        <f t="array" ref="Z279">_xll.BDP(B279, "CF_ACT_CASH_PAID_FOR_INT_DEBT")</f>
        <v>#N/A N/A</v>
      </c>
      <c r="AA279" t="str" cm="1">
        <f t="array" ref="AA279">_xll.BDP(B279, "TYPE_OF_BOND")</f>
        <v>Sukuk Al Mudarabah</v>
      </c>
    </row>
    <row r="280" spans="1:27" x14ac:dyDescent="0.25">
      <c r="A280">
        <v>278</v>
      </c>
      <c r="B280" t="s">
        <v>641</v>
      </c>
      <c r="C280" s="4" t="s">
        <v>587</v>
      </c>
      <c r="D280" s="4">
        <v>1500000000</v>
      </c>
      <c r="E280" t="s">
        <v>17</v>
      </c>
      <c r="F280" s="1">
        <v>56278</v>
      </c>
      <c r="G280">
        <v>5.375</v>
      </c>
      <c r="H280" t="s">
        <v>9</v>
      </c>
      <c r="L280" t="s">
        <v>1168</v>
      </c>
      <c r="M280" t="s">
        <v>595</v>
      </c>
      <c r="N280" t="s">
        <v>537</v>
      </c>
      <c r="O280" t="s">
        <v>3129</v>
      </c>
      <c r="P280" t="s">
        <v>2648</v>
      </c>
      <c r="Q280" t="s">
        <v>2648</v>
      </c>
      <c r="R280" t="s">
        <v>642</v>
      </c>
      <c r="S280">
        <v>16301357.3081687</v>
      </c>
      <c r="T280">
        <v>41</v>
      </c>
      <c r="W280" t="s">
        <v>591</v>
      </c>
      <c r="X280" t="str">
        <f t="shared" si="4"/>
        <v>ZF486828@TRAC Corp</v>
      </c>
      <c r="Y280" t="str">
        <f>_xlfn.IFNA(_xll.BDP(X280,"INTERVAL_SUM", "MARKET_DATA_OVERRIDE=px_volume", "CALC_INTERVAL=5D"), "")</f>
        <v>#N/A N/A</v>
      </c>
      <c r="Z280" cm="1">
        <f t="array" ref="Z280">_xll.BDP(B280, "CF_ACT_CASH_PAID_FOR_INT_DEBT")</f>
        <v>4462.7824758241495</v>
      </c>
      <c r="AA280" t="str" cm="1">
        <f t="array" ref="AA280">_xll.BDP(B280, "TYPE_OF_BOND")</f>
        <v>#N/A Field Not Applicable</v>
      </c>
    </row>
    <row r="281" spans="1:27" x14ac:dyDescent="0.25">
      <c r="A281">
        <v>279</v>
      </c>
      <c r="B281" t="s">
        <v>643</v>
      </c>
      <c r="C281" s="4" t="s">
        <v>587</v>
      </c>
      <c r="D281" s="4">
        <v>1750000000</v>
      </c>
      <c r="E281" s="1" t="s">
        <v>17</v>
      </c>
      <c r="F281" s="1">
        <v>48973</v>
      </c>
      <c r="G281">
        <v>5.25</v>
      </c>
      <c r="H281" t="s">
        <v>9</v>
      </c>
      <c r="L281" t="s">
        <v>1168</v>
      </c>
      <c r="M281" t="s">
        <v>595</v>
      </c>
      <c r="N281" t="s">
        <v>537</v>
      </c>
      <c r="O281" t="s">
        <v>3129</v>
      </c>
      <c r="P281" t="s">
        <v>2648</v>
      </c>
      <c r="Q281" t="s">
        <v>2648</v>
      </c>
      <c r="R281" t="s">
        <v>644</v>
      </c>
      <c r="S281">
        <v>24518858.585982401</v>
      </c>
      <c r="T281">
        <v>54</v>
      </c>
      <c r="W281" t="s">
        <v>591</v>
      </c>
      <c r="X281" t="str">
        <f t="shared" si="4"/>
        <v>ZF486826@TRAC Corp</v>
      </c>
      <c r="Y281" t="str">
        <f>_xlfn.IFNA(_xll.BDP(X281,"INTERVAL_SUM", "MARKET_DATA_OVERRIDE=px_volume", "CALC_INTERVAL=5D"), "")</f>
        <v>#N/A N/A</v>
      </c>
      <c r="Z281" cm="1">
        <f t="array" ref="Z281">_xll.BDP(B281, "CF_ACT_CASH_PAID_FOR_INT_DEBT")</f>
        <v>4462.7824758241495</v>
      </c>
      <c r="AA281" t="str" cm="1">
        <f t="array" ref="AA281">_xll.BDP(B281, "TYPE_OF_BOND")</f>
        <v>#N/A Field Not Applicable</v>
      </c>
    </row>
    <row r="282" spans="1:27" x14ac:dyDescent="0.25">
      <c r="A282">
        <v>280</v>
      </c>
      <c r="B282" t="s">
        <v>645</v>
      </c>
      <c r="C282" s="4" t="s">
        <v>587</v>
      </c>
      <c r="D282" s="4">
        <v>1750000000</v>
      </c>
      <c r="E282" s="1" t="s">
        <v>17</v>
      </c>
      <c r="F282" s="1">
        <v>47147</v>
      </c>
      <c r="G282">
        <v>5</v>
      </c>
      <c r="H282" t="s">
        <v>9</v>
      </c>
      <c r="L282" t="s">
        <v>1168</v>
      </c>
      <c r="M282" t="s">
        <v>595</v>
      </c>
      <c r="N282" t="s">
        <v>537</v>
      </c>
      <c r="O282" t="s">
        <v>3129</v>
      </c>
      <c r="P282" t="s">
        <v>2648</v>
      </c>
      <c r="Q282" t="s">
        <v>2648</v>
      </c>
      <c r="R282" t="s">
        <v>646</v>
      </c>
      <c r="S282">
        <v>26029781.637536801</v>
      </c>
      <c r="T282">
        <v>64</v>
      </c>
      <c r="W282" t="s">
        <v>591</v>
      </c>
      <c r="X282" t="str">
        <f t="shared" si="4"/>
        <v>ZF486825@TRAC Corp</v>
      </c>
      <c r="Y282" t="str">
        <f>_xlfn.IFNA(_xll.BDP(X282,"INTERVAL_SUM", "MARKET_DATA_OVERRIDE=px_volume", "CALC_INTERVAL=5D"), "")</f>
        <v>#N/A N/A</v>
      </c>
      <c r="Z282" cm="1">
        <f t="array" ref="Z282">_xll.BDP(B282, "CF_ACT_CASH_PAID_FOR_INT_DEBT")</f>
        <v>4462.7824758241495</v>
      </c>
      <c r="AA282" t="str" cm="1">
        <f t="array" ref="AA282">_xll.BDP(B282, "TYPE_OF_BOND")</f>
        <v>#N/A Field Not Applicable</v>
      </c>
    </row>
    <row r="283" spans="1:27" x14ac:dyDescent="0.25">
      <c r="A283">
        <v>281</v>
      </c>
      <c r="B283" t="s">
        <v>647</v>
      </c>
      <c r="C283" s="4" t="s">
        <v>587</v>
      </c>
      <c r="D283" s="4">
        <v>49488345000</v>
      </c>
      <c r="E283" s="1" t="s">
        <v>17</v>
      </c>
      <c r="F283" s="1">
        <v>50788</v>
      </c>
      <c r="G283">
        <v>5.14</v>
      </c>
      <c r="H283" t="s">
        <v>9</v>
      </c>
      <c r="L283" t="s">
        <v>1187</v>
      </c>
      <c r="M283" t="s">
        <v>588</v>
      </c>
      <c r="N283" t="s">
        <v>589</v>
      </c>
      <c r="O283" t="s">
        <v>3159</v>
      </c>
      <c r="P283" t="s">
        <v>2663</v>
      </c>
      <c r="Q283" t="s">
        <v>2663</v>
      </c>
      <c r="R283" t="s">
        <v>648</v>
      </c>
      <c r="S283">
        <v>631477844.42963195</v>
      </c>
      <c r="T283">
        <v>72</v>
      </c>
      <c r="U283">
        <v>5339</v>
      </c>
      <c r="W283" t="s">
        <v>591</v>
      </c>
      <c r="X283" t="str">
        <f t="shared" si="4"/>
        <v>ZF300328@TRAC Corp</v>
      </c>
      <c r="Y283" t="str">
        <f>_xlfn.IFNA(_xll.BDP(X283,"INTERVAL_SUM", "MARKET_DATA_OVERRIDE=px_volume", "CALC_INTERVAL=5D"), "")</f>
        <v>#N/A N/A</v>
      </c>
      <c r="Z283" t="str" cm="1">
        <f t="array" ref="Z283">_xll.BDP(B283, "CF_ACT_CASH_PAID_FOR_INT_DEBT")</f>
        <v>#N/A N/A</v>
      </c>
      <c r="AA283" t="str" cm="1">
        <f t="array" ref="AA283">_xll.BDP(B283, "TYPE_OF_BOND")</f>
        <v>Sukuk Al Mudarabah</v>
      </c>
    </row>
    <row r="284" spans="1:27" x14ac:dyDescent="0.25">
      <c r="A284">
        <v>282</v>
      </c>
      <c r="B284" t="s">
        <v>649</v>
      </c>
      <c r="C284" s="4" t="s">
        <v>587</v>
      </c>
      <c r="D284" s="4">
        <v>47147282000</v>
      </c>
      <c r="E284" s="1" t="s">
        <v>17</v>
      </c>
      <c r="F284" s="1">
        <v>48962</v>
      </c>
      <c r="G284">
        <v>4.9400000000000004</v>
      </c>
      <c r="H284" t="s">
        <v>9</v>
      </c>
      <c r="L284" t="s">
        <v>1187</v>
      </c>
      <c r="M284" t="s">
        <v>588</v>
      </c>
      <c r="N284" t="s">
        <v>589</v>
      </c>
      <c r="O284" t="s">
        <v>3159</v>
      </c>
      <c r="P284" t="s">
        <v>2663</v>
      </c>
      <c r="Q284" t="s">
        <v>2663</v>
      </c>
      <c r="R284" t="s">
        <v>650</v>
      </c>
      <c r="S284">
        <v>377249883.89135498</v>
      </c>
      <c r="T284">
        <v>77</v>
      </c>
      <c r="U284">
        <v>5338</v>
      </c>
      <c r="W284" t="s">
        <v>591</v>
      </c>
      <c r="X284" t="str">
        <f t="shared" si="4"/>
        <v>ZF300256@TRAC Corp</v>
      </c>
      <c r="Y284" t="str">
        <f>_xlfn.IFNA(_xll.BDP(X284,"INTERVAL_SUM", "MARKET_DATA_OVERRIDE=px_volume", "CALC_INTERVAL=5D"), "")</f>
        <v>#N/A N/A</v>
      </c>
      <c r="Z284" t="str" cm="1">
        <f t="array" ref="Z284">_xll.BDP(B284, "CF_ACT_CASH_PAID_FOR_INT_DEBT")</f>
        <v>#N/A N/A</v>
      </c>
      <c r="AA284" t="str" cm="1">
        <f t="array" ref="AA284">_xll.BDP(B284, "TYPE_OF_BOND")</f>
        <v>Sukuk Al Mudarabah</v>
      </c>
    </row>
    <row r="285" spans="1:27" x14ac:dyDescent="0.25">
      <c r="A285">
        <v>283</v>
      </c>
      <c r="B285" t="s">
        <v>651</v>
      </c>
      <c r="C285" s="4" t="s">
        <v>587</v>
      </c>
      <c r="D285" s="4">
        <v>4750000000</v>
      </c>
      <c r="E285" t="s">
        <v>17</v>
      </c>
      <c r="F285" s="1">
        <v>56265</v>
      </c>
      <c r="G285">
        <v>5.75</v>
      </c>
      <c r="H285" t="s">
        <v>9</v>
      </c>
      <c r="L285" t="s">
        <v>1168</v>
      </c>
      <c r="M285" t="s">
        <v>588</v>
      </c>
      <c r="N285" t="s">
        <v>589</v>
      </c>
      <c r="O285" t="s">
        <v>3159</v>
      </c>
      <c r="P285" t="s">
        <v>2663</v>
      </c>
      <c r="Q285" t="s">
        <v>2663</v>
      </c>
      <c r="R285" t="s">
        <v>652</v>
      </c>
      <c r="S285">
        <v>18001650.942936201</v>
      </c>
      <c r="T285">
        <v>62</v>
      </c>
      <c r="U285" t="s">
        <v>1169</v>
      </c>
      <c r="W285" t="s">
        <v>591</v>
      </c>
      <c r="X285" t="str">
        <f t="shared" si="4"/>
        <v>ZF208225@TRAC Corp</v>
      </c>
      <c r="Y285" t="str">
        <f>_xlfn.IFNA(_xll.BDP(X285,"INTERVAL_SUM", "MARKET_DATA_OVERRIDE=px_volume", "CALC_INTERVAL=5D"), "")</f>
        <v>#N/A N/A</v>
      </c>
      <c r="Z285" t="str" cm="1">
        <f t="array" ref="Z285">_xll.BDP(B285, "CF_ACT_CASH_PAID_FOR_INT_DEBT")</f>
        <v>#N/A N/A</v>
      </c>
      <c r="AA285" t="str" cm="1">
        <f t="array" ref="AA285">_xll.BDP(B285, "TYPE_OF_BOND")</f>
        <v>#N/A Field Not Applicable</v>
      </c>
    </row>
    <row r="286" spans="1:27" x14ac:dyDescent="0.25">
      <c r="A286">
        <v>284</v>
      </c>
      <c r="B286" t="s">
        <v>653</v>
      </c>
      <c r="C286" s="4" t="s">
        <v>587</v>
      </c>
      <c r="D286" s="4">
        <v>4000000000</v>
      </c>
      <c r="E286" t="s">
        <v>17</v>
      </c>
      <c r="F286" s="1">
        <v>48960</v>
      </c>
      <c r="G286">
        <v>5</v>
      </c>
      <c r="H286" t="s">
        <v>9</v>
      </c>
      <c r="L286" t="s">
        <v>1168</v>
      </c>
      <c r="M286" t="s">
        <v>588</v>
      </c>
      <c r="N286" t="s">
        <v>589</v>
      </c>
      <c r="O286" t="s">
        <v>3159</v>
      </c>
      <c r="P286" t="s">
        <v>2663</v>
      </c>
      <c r="Q286" t="s">
        <v>2663</v>
      </c>
      <c r="R286" t="s">
        <v>654</v>
      </c>
      <c r="S286">
        <v>26557673.397771601</v>
      </c>
      <c r="T286">
        <v>74</v>
      </c>
      <c r="U286" t="s">
        <v>1169</v>
      </c>
      <c r="W286" t="s">
        <v>591</v>
      </c>
      <c r="X286" t="str">
        <f t="shared" si="4"/>
        <v>ZF208223@TRAC Corp</v>
      </c>
      <c r="Y286" t="str">
        <f>_xlfn.IFNA(_xll.BDP(X286,"INTERVAL_SUM", "MARKET_DATA_OVERRIDE=px_volume", "CALC_INTERVAL=5D"), "")</f>
        <v>#N/A N/A</v>
      </c>
      <c r="Z286" t="str" cm="1">
        <f t="array" ref="Z286">_xll.BDP(B286, "CF_ACT_CASH_PAID_FOR_INT_DEBT")</f>
        <v>#N/A N/A</v>
      </c>
      <c r="AA286" t="str" cm="1">
        <f t="array" ref="AA286">_xll.BDP(B286, "TYPE_OF_BOND")</f>
        <v>#N/A Field Not Applicable</v>
      </c>
    </row>
    <row r="287" spans="1:27" x14ac:dyDescent="0.25">
      <c r="A287">
        <v>285</v>
      </c>
      <c r="B287" t="s">
        <v>655</v>
      </c>
      <c r="C287" s="4" t="s">
        <v>587</v>
      </c>
      <c r="D287" s="4">
        <v>3250000000</v>
      </c>
      <c r="E287" t="s">
        <v>17</v>
      </c>
      <c r="F287" s="1">
        <v>47499</v>
      </c>
      <c r="G287">
        <v>4.75</v>
      </c>
      <c r="H287" t="s">
        <v>9</v>
      </c>
      <c r="L287" t="s">
        <v>1168</v>
      </c>
      <c r="M287" t="s">
        <v>588</v>
      </c>
      <c r="N287" t="s">
        <v>589</v>
      </c>
      <c r="O287" t="s">
        <v>3159</v>
      </c>
      <c r="P287" t="s">
        <v>2663</v>
      </c>
      <c r="Q287" t="s">
        <v>2663</v>
      </c>
      <c r="R287" t="s">
        <v>656</v>
      </c>
      <c r="S287">
        <v>30723559.025652699</v>
      </c>
      <c r="T287">
        <v>79</v>
      </c>
      <c r="U287" t="s">
        <v>1169</v>
      </c>
      <c r="W287" t="s">
        <v>591</v>
      </c>
      <c r="X287" t="str">
        <f t="shared" si="4"/>
        <v>ZF208220@TRAC Corp</v>
      </c>
      <c r="Y287" t="str">
        <f>_xlfn.IFNA(_xll.BDP(X287,"INTERVAL_SUM", "MARKET_DATA_OVERRIDE=px_volume", "CALC_INTERVAL=5D"), "")</f>
        <v>#N/A N/A</v>
      </c>
      <c r="Z287" t="str" cm="1">
        <f t="array" ref="Z287">_xll.BDP(B287, "CF_ACT_CASH_PAID_FOR_INT_DEBT")</f>
        <v>#N/A N/A</v>
      </c>
      <c r="AA287" t="str" cm="1">
        <f t="array" ref="AA287">_xll.BDP(B287, "TYPE_OF_BOND")</f>
        <v>#N/A Field Not Applicable</v>
      </c>
    </row>
    <row r="288" spans="1:27" x14ac:dyDescent="0.25">
      <c r="A288">
        <v>286</v>
      </c>
      <c r="B288" t="s">
        <v>657</v>
      </c>
      <c r="C288" s="4" t="s">
        <v>587</v>
      </c>
      <c r="D288" s="4">
        <v>2000000000</v>
      </c>
      <c r="E288" t="s">
        <v>17</v>
      </c>
      <c r="F288" s="1">
        <v>47912</v>
      </c>
      <c r="G288">
        <v>5.1710000000000003</v>
      </c>
      <c r="H288" t="s">
        <v>9</v>
      </c>
      <c r="L288" t="s">
        <v>1168</v>
      </c>
      <c r="M288" t="s">
        <v>595</v>
      </c>
      <c r="N288" t="s">
        <v>537</v>
      </c>
      <c r="O288" t="s">
        <v>3129</v>
      </c>
      <c r="P288" t="s">
        <v>2648</v>
      </c>
      <c r="Q288" t="s">
        <v>2648</v>
      </c>
      <c r="R288" t="s">
        <v>658</v>
      </c>
      <c r="S288">
        <v>36960709.810709797</v>
      </c>
      <c r="T288">
        <v>62</v>
      </c>
      <c r="W288" t="s">
        <v>591</v>
      </c>
      <c r="X288" t="str">
        <f t="shared" si="4"/>
        <v>ZD309435@TRAC Corp</v>
      </c>
      <c r="Y288" t="str">
        <f>_xlfn.IFNA(_xll.BDP(X288,"INTERVAL_SUM", "MARKET_DATA_OVERRIDE=px_volume", "CALC_INTERVAL=5D"), "")</f>
        <v>#N/A N/A</v>
      </c>
      <c r="Z288" cm="1">
        <f t="array" ref="Z288">_xll.BDP(B288, "CF_ACT_CASH_PAID_FOR_INT_DEBT")</f>
        <v>4462.7824758241495</v>
      </c>
      <c r="AA288" t="str" cm="1">
        <f t="array" ref="AA288">_xll.BDP(B288, "TYPE_OF_BOND")</f>
        <v>Sukuk Al-Wakala Bel-Istithma</v>
      </c>
    </row>
    <row r="289" spans="1:27" x14ac:dyDescent="0.25">
      <c r="A289">
        <v>287</v>
      </c>
      <c r="B289" t="s">
        <v>659</v>
      </c>
      <c r="C289" s="4" t="s">
        <v>587</v>
      </c>
      <c r="D289" s="4">
        <v>21934989000</v>
      </c>
      <c r="E289" t="s">
        <v>17</v>
      </c>
      <c r="F289" s="1">
        <v>47963</v>
      </c>
      <c r="G289">
        <v>5.4</v>
      </c>
      <c r="H289" t="s">
        <v>9</v>
      </c>
      <c r="L289" t="s">
        <v>1187</v>
      </c>
      <c r="M289" t="s">
        <v>588</v>
      </c>
      <c r="N289" t="s">
        <v>589</v>
      </c>
      <c r="O289" t="s">
        <v>3159</v>
      </c>
      <c r="P289" t="s">
        <v>2663</v>
      </c>
      <c r="Q289" t="s">
        <v>2663</v>
      </c>
      <c r="R289" t="s">
        <v>660</v>
      </c>
      <c r="S289">
        <v>236818388.92359301</v>
      </c>
      <c r="T289">
        <v>79</v>
      </c>
      <c r="U289">
        <v>5343</v>
      </c>
      <c r="W289" t="s">
        <v>591</v>
      </c>
      <c r="X289" t="str">
        <f t="shared" si="4"/>
        <v>ZB540036@TRAC Corp</v>
      </c>
      <c r="Y289" t="str">
        <f>_xlfn.IFNA(_xll.BDP(X289,"INTERVAL_SUM", "MARKET_DATA_OVERRIDE=px_volume", "CALC_INTERVAL=5D"), "")</f>
        <v>#N/A N/A</v>
      </c>
      <c r="Z289" t="str" cm="1">
        <f t="array" ref="Z289">_xll.BDP(B289, "CF_ACT_CASH_PAID_FOR_INT_DEBT")</f>
        <v>#N/A N/A</v>
      </c>
      <c r="AA289" t="str" cm="1">
        <f t="array" ref="AA289">_xll.BDP(B289, "TYPE_OF_BOND")</f>
        <v>Sukuk Al Mudarabah</v>
      </c>
    </row>
    <row r="290" spans="1:27" x14ac:dyDescent="0.25">
      <c r="A290">
        <v>288</v>
      </c>
      <c r="B290" t="s">
        <v>661</v>
      </c>
      <c r="C290" s="4" t="s">
        <v>587</v>
      </c>
      <c r="D290" s="4">
        <v>48777406000</v>
      </c>
      <c r="E290" t="s">
        <v>17</v>
      </c>
      <c r="F290" s="1">
        <v>49790</v>
      </c>
      <c r="G290">
        <v>5.59</v>
      </c>
      <c r="H290" t="s">
        <v>9</v>
      </c>
      <c r="L290" t="s">
        <v>1187</v>
      </c>
      <c r="M290" t="s">
        <v>588</v>
      </c>
      <c r="N290" t="s">
        <v>589</v>
      </c>
      <c r="O290" t="s">
        <v>3159</v>
      </c>
      <c r="P290" t="s">
        <v>2663</v>
      </c>
      <c r="Q290" t="s">
        <v>2663</v>
      </c>
      <c r="R290" t="s">
        <v>662</v>
      </c>
      <c r="S290">
        <v>588503897.86638904</v>
      </c>
      <c r="T290">
        <v>76</v>
      </c>
      <c r="U290">
        <v>5344</v>
      </c>
      <c r="W290" t="s">
        <v>591</v>
      </c>
      <c r="X290" t="str">
        <f t="shared" si="4"/>
        <v>ZB540006@TRAC Corp</v>
      </c>
      <c r="Y290" t="str">
        <f>_xlfn.IFNA(_xll.BDP(X290,"INTERVAL_SUM", "MARKET_DATA_OVERRIDE=px_volume", "CALC_INTERVAL=5D"), "")</f>
        <v>#N/A N/A</v>
      </c>
      <c r="Z290" t="str" cm="1">
        <f t="array" ref="Z290">_xll.BDP(B290, "CF_ACT_CASH_PAID_FOR_INT_DEBT")</f>
        <v>#N/A N/A</v>
      </c>
      <c r="AA290" t="str" cm="1">
        <f t="array" ref="AA290">_xll.BDP(B290, "TYPE_OF_BOND")</f>
        <v>Sukuk Al Mudarabah</v>
      </c>
    </row>
    <row r="291" spans="1:27" x14ac:dyDescent="0.25">
      <c r="A291">
        <v>289</v>
      </c>
      <c r="B291" t="s">
        <v>663</v>
      </c>
      <c r="C291" s="4" t="s">
        <v>587</v>
      </c>
      <c r="D291" s="4">
        <v>350000000</v>
      </c>
      <c r="E291" t="s">
        <v>17</v>
      </c>
      <c r="F291" s="1">
        <v>50932</v>
      </c>
      <c r="G291">
        <v>5.625</v>
      </c>
      <c r="H291" t="s">
        <v>9</v>
      </c>
      <c r="L291" t="s">
        <v>1177</v>
      </c>
      <c r="M291" t="s">
        <v>595</v>
      </c>
      <c r="N291" t="s">
        <v>537</v>
      </c>
      <c r="O291" t="s">
        <v>3129</v>
      </c>
      <c r="P291" t="s">
        <v>2648</v>
      </c>
      <c r="Q291" t="s">
        <v>2648</v>
      </c>
      <c r="R291" t="s">
        <v>664</v>
      </c>
      <c r="S291">
        <v>15046135.821369</v>
      </c>
      <c r="T291">
        <v>53</v>
      </c>
      <c r="U291" t="s">
        <v>1189</v>
      </c>
      <c r="W291" t="s">
        <v>591</v>
      </c>
      <c r="X291" t="str">
        <f t="shared" si="4"/>
        <v>YX503338@TRAC Corp</v>
      </c>
      <c r="Y291" t="str">
        <f>_xlfn.IFNA(_xll.BDP(X291,"INTERVAL_SUM", "MARKET_DATA_OVERRIDE=px_volume", "CALC_INTERVAL=5D"), "")</f>
        <v>#N/A N/A</v>
      </c>
      <c r="Z291" cm="1">
        <f t="array" ref="Z291">_xll.BDP(B291, "CF_ACT_CASH_PAID_FOR_INT_DEBT")</f>
        <v>4462.7824758241495</v>
      </c>
      <c r="AA291" t="str" cm="1">
        <f t="array" ref="AA291">_xll.BDP(B291, "TYPE_OF_BOND")</f>
        <v>#N/A Field Not Applicable</v>
      </c>
    </row>
    <row r="292" spans="1:27" x14ac:dyDescent="0.25">
      <c r="A292">
        <v>290</v>
      </c>
      <c r="B292" t="s">
        <v>665</v>
      </c>
      <c r="C292" s="4" t="s">
        <v>587</v>
      </c>
      <c r="D292" s="4">
        <v>300000000</v>
      </c>
      <c r="E292" t="s">
        <v>17</v>
      </c>
      <c r="F292" s="1">
        <v>47280</v>
      </c>
      <c r="G292">
        <v>5.125</v>
      </c>
      <c r="H292" t="s">
        <v>9</v>
      </c>
      <c r="L292" t="s">
        <v>1177</v>
      </c>
      <c r="M292" t="s">
        <v>595</v>
      </c>
      <c r="N292" t="s">
        <v>537</v>
      </c>
      <c r="O292" t="s">
        <v>3129</v>
      </c>
      <c r="P292" t="s">
        <v>2648</v>
      </c>
      <c r="Q292" t="s">
        <v>2648</v>
      </c>
      <c r="R292" t="s">
        <v>666</v>
      </c>
      <c r="S292">
        <v>16772349.227547999</v>
      </c>
      <c r="T292">
        <v>67</v>
      </c>
      <c r="U292" t="s">
        <v>1189</v>
      </c>
      <c r="W292" t="s">
        <v>591</v>
      </c>
      <c r="X292" t="str">
        <f t="shared" si="4"/>
        <v>YX503337@TRAC Corp</v>
      </c>
      <c r="Y292" t="str">
        <f>_xlfn.IFNA(_xll.BDP(X292,"INTERVAL_SUM", "MARKET_DATA_OVERRIDE=px_volume", "CALC_INTERVAL=5D"), "")</f>
        <v>#N/A N/A</v>
      </c>
      <c r="Z292" cm="1">
        <f t="array" ref="Z292">_xll.BDP(B292, "CF_ACT_CASH_PAID_FOR_INT_DEBT")</f>
        <v>4462.7824758241495</v>
      </c>
      <c r="AA292" t="str" cm="1">
        <f t="array" ref="AA292">_xll.BDP(B292, "TYPE_OF_BOND")</f>
        <v>#N/A Field Not Applicable</v>
      </c>
    </row>
    <row r="293" spans="1:27" x14ac:dyDescent="0.25">
      <c r="A293">
        <v>291</v>
      </c>
      <c r="B293" t="s">
        <v>667</v>
      </c>
      <c r="C293" s="4" t="s">
        <v>587</v>
      </c>
      <c r="D293" s="4">
        <v>2250000000</v>
      </c>
      <c r="E293" t="s">
        <v>17</v>
      </c>
      <c r="F293" s="1">
        <v>49099</v>
      </c>
      <c r="G293">
        <v>5.25</v>
      </c>
      <c r="H293" t="s">
        <v>9</v>
      </c>
      <c r="L293" t="s">
        <v>1168</v>
      </c>
      <c r="M293" t="s">
        <v>595</v>
      </c>
      <c r="N293" t="s">
        <v>589</v>
      </c>
      <c r="O293" t="s">
        <v>3159</v>
      </c>
      <c r="P293" t="s">
        <v>2663</v>
      </c>
      <c r="Q293" t="s">
        <v>2663</v>
      </c>
      <c r="R293" t="s">
        <v>668</v>
      </c>
      <c r="S293">
        <v>31476058.685459301</v>
      </c>
      <c r="T293">
        <v>69</v>
      </c>
      <c r="U293" t="s">
        <v>1169</v>
      </c>
      <c r="W293" t="s">
        <v>591</v>
      </c>
      <c r="X293" t="str">
        <f t="shared" si="4"/>
        <v>YX388649@TRAC Corp</v>
      </c>
      <c r="Y293" t="str">
        <f>_xlfn.IFNA(_xll.BDP(X293,"INTERVAL_SUM", "MARKET_DATA_OVERRIDE=px_volume", "CALC_INTERVAL=5D"), "")</f>
        <v>#N/A N/A</v>
      </c>
      <c r="Z293" t="str" cm="1">
        <f t="array" ref="Z293">_xll.BDP(B293, "CF_ACT_CASH_PAID_FOR_INT_DEBT")</f>
        <v>#N/A N/A</v>
      </c>
      <c r="AA293" t="str" cm="1">
        <f t="array" ref="AA293">_xll.BDP(B293, "TYPE_OF_BOND")</f>
        <v>Sukuk Al Mudarabah</v>
      </c>
    </row>
    <row r="294" spans="1:27" x14ac:dyDescent="0.25">
      <c r="A294">
        <v>292</v>
      </c>
      <c r="B294" t="s">
        <v>669</v>
      </c>
      <c r="C294" s="4" t="s">
        <v>587</v>
      </c>
      <c r="D294" s="4">
        <v>1500000000</v>
      </c>
      <c r="E294" t="s">
        <v>17</v>
      </c>
      <c r="F294" s="1">
        <v>47638</v>
      </c>
      <c r="G294">
        <v>5.25</v>
      </c>
      <c r="H294" t="s">
        <v>9</v>
      </c>
      <c r="L294" t="s">
        <v>1168</v>
      </c>
      <c r="M294" t="s">
        <v>595</v>
      </c>
      <c r="N294" t="s">
        <v>589</v>
      </c>
      <c r="O294" t="s">
        <v>3159</v>
      </c>
      <c r="P294" t="s">
        <v>2663</v>
      </c>
      <c r="Q294" t="s">
        <v>2663</v>
      </c>
      <c r="R294" t="s">
        <v>670</v>
      </c>
      <c r="S294">
        <v>41279369.709861502</v>
      </c>
      <c r="T294">
        <v>76</v>
      </c>
      <c r="U294" t="s">
        <v>1169</v>
      </c>
      <c r="W294" t="s">
        <v>591</v>
      </c>
      <c r="X294" t="str">
        <f t="shared" si="4"/>
        <v>YX388648@TRAC Corp</v>
      </c>
      <c r="Y294" t="str">
        <f>_xlfn.IFNA(_xll.BDP(X294,"INTERVAL_SUM", "MARKET_DATA_OVERRIDE=px_volume", "CALC_INTERVAL=5D"), "")</f>
        <v>#N/A N/A</v>
      </c>
      <c r="Z294" t="str" cm="1">
        <f t="array" ref="Z294">_xll.BDP(B294, "CF_ACT_CASH_PAID_FOR_INT_DEBT")</f>
        <v>#N/A N/A</v>
      </c>
      <c r="AA294" t="str" cm="1">
        <f t="array" ref="AA294">_xll.BDP(B294, "TYPE_OF_BOND")</f>
        <v>Sukuk Al Mudarabah</v>
      </c>
    </row>
    <row r="295" spans="1:27" x14ac:dyDescent="0.25">
      <c r="A295">
        <v>293</v>
      </c>
      <c r="B295" t="s">
        <v>671</v>
      </c>
      <c r="C295" s="4" t="s">
        <v>587</v>
      </c>
      <c r="D295" s="4">
        <v>1250000000</v>
      </c>
      <c r="E295" t="s">
        <v>17</v>
      </c>
      <c r="F295" s="1">
        <v>46542</v>
      </c>
      <c r="G295">
        <v>5.25</v>
      </c>
      <c r="H295" t="s">
        <v>9</v>
      </c>
      <c r="L295" t="s">
        <v>1168</v>
      </c>
      <c r="M295" t="s">
        <v>595</v>
      </c>
      <c r="N295" t="s">
        <v>589</v>
      </c>
      <c r="O295" t="s">
        <v>3159</v>
      </c>
      <c r="P295" t="s">
        <v>2663</v>
      </c>
      <c r="Q295" t="s">
        <v>2663</v>
      </c>
      <c r="R295" t="s">
        <v>672</v>
      </c>
      <c r="S295">
        <v>23658526.033103399</v>
      </c>
      <c r="T295">
        <v>80</v>
      </c>
      <c r="U295" t="s">
        <v>1169</v>
      </c>
      <c r="W295" t="s">
        <v>591</v>
      </c>
      <c r="X295" t="str">
        <f t="shared" si="4"/>
        <v>YX388647@TRAC Corp</v>
      </c>
      <c r="Y295" t="str">
        <f>_xlfn.IFNA(_xll.BDP(X295,"INTERVAL_SUM", "MARKET_DATA_OVERRIDE=px_volume", "CALC_INTERVAL=5D"), "")</f>
        <v>#N/A N/A</v>
      </c>
      <c r="Z295" t="str" cm="1">
        <f t="array" ref="Z295">_xll.BDP(B295, "CF_ACT_CASH_PAID_FOR_INT_DEBT")</f>
        <v>#N/A N/A</v>
      </c>
      <c r="AA295" t="str" cm="1">
        <f t="array" ref="AA295">_xll.BDP(B295, "TYPE_OF_BOND")</f>
        <v>Sukuk Al Mudarabah</v>
      </c>
    </row>
    <row r="296" spans="1:27" x14ac:dyDescent="0.25">
      <c r="A296">
        <v>294</v>
      </c>
      <c r="B296" t="s">
        <v>673</v>
      </c>
      <c r="C296" s="4" t="s">
        <v>587</v>
      </c>
      <c r="D296" s="4">
        <v>18841500000</v>
      </c>
      <c r="E296" t="s">
        <v>17</v>
      </c>
      <c r="F296" s="1">
        <v>50917</v>
      </c>
      <c r="G296">
        <v>5.1503500000000004</v>
      </c>
      <c r="H296" t="s">
        <v>13</v>
      </c>
      <c r="I296" t="s">
        <v>2665</v>
      </c>
      <c r="L296" t="s">
        <v>1187</v>
      </c>
      <c r="M296" t="s">
        <v>588</v>
      </c>
      <c r="N296" t="s">
        <v>589</v>
      </c>
      <c r="O296" t="s">
        <v>3159</v>
      </c>
      <c r="P296" t="s">
        <v>2663</v>
      </c>
      <c r="Q296" t="s">
        <v>2663</v>
      </c>
      <c r="R296" t="s">
        <v>674</v>
      </c>
      <c r="S296">
        <v>531773727.62879902</v>
      </c>
      <c r="T296">
        <v>66</v>
      </c>
      <c r="U296">
        <v>5346</v>
      </c>
      <c r="W296" t="s">
        <v>591</v>
      </c>
      <c r="X296" t="str">
        <f t="shared" si="4"/>
        <v>YX367541@TRAC Corp</v>
      </c>
      <c r="Y296" t="str">
        <f>_xlfn.IFNA(_xll.BDP(X296,"INTERVAL_SUM", "MARKET_DATA_OVERRIDE=px_volume", "CALC_INTERVAL=5D"), "")</f>
        <v>#N/A N/A</v>
      </c>
      <c r="Z296" t="str" cm="1">
        <f t="array" ref="Z296">_xll.BDP(B296, "CF_ACT_CASH_PAID_FOR_INT_DEBT")</f>
        <v>#N/A N/A</v>
      </c>
      <c r="AA296" t="str" cm="1">
        <f t="array" ref="AA296">_xll.BDP(B296, "TYPE_OF_BOND")</f>
        <v>Sukuk Al Mudarabah</v>
      </c>
    </row>
    <row r="297" spans="1:27" x14ac:dyDescent="0.25">
      <c r="A297">
        <v>295</v>
      </c>
      <c r="B297" t="s">
        <v>675</v>
      </c>
      <c r="C297" s="4" t="s">
        <v>587</v>
      </c>
      <c r="D297" s="4">
        <v>1500000000</v>
      </c>
      <c r="E297" t="s">
        <v>17</v>
      </c>
      <c r="F297" s="1">
        <v>46640</v>
      </c>
      <c r="G297">
        <v>4.375</v>
      </c>
      <c r="H297" t="s">
        <v>9</v>
      </c>
      <c r="L297" t="s">
        <v>1168</v>
      </c>
      <c r="M297" t="s">
        <v>595</v>
      </c>
      <c r="N297" t="s">
        <v>537</v>
      </c>
      <c r="O297" t="s">
        <v>3129</v>
      </c>
      <c r="P297" t="s">
        <v>2648</v>
      </c>
      <c r="Q297" t="s">
        <v>2648</v>
      </c>
      <c r="R297" t="s">
        <v>676</v>
      </c>
      <c r="S297">
        <v>16614395.292076601</v>
      </c>
      <c r="T297">
        <v>54</v>
      </c>
      <c r="W297" t="s">
        <v>591</v>
      </c>
      <c r="X297" t="str">
        <f t="shared" si="4"/>
        <v>YV557558@TRAC Corp</v>
      </c>
      <c r="Y297">
        <f>_xlfn.IFNA(_xll.BDP(X297,"INTERVAL_SUM", "MARKET_DATA_OVERRIDE=px_volume", "CALC_INTERVAL=5D"), "")</f>
        <v>7876</v>
      </c>
      <c r="Z297" cm="1">
        <f t="array" ref="Z297">_xll.BDP(B297, "CF_ACT_CASH_PAID_FOR_INT_DEBT")</f>
        <v>4462.7824758241495</v>
      </c>
      <c r="AA297" t="str" cm="1">
        <f t="array" ref="AA297">_xll.BDP(B297, "TYPE_OF_BOND")</f>
        <v>Sukuk Al-Wakala Bel-Istithma</v>
      </c>
    </row>
    <row r="298" spans="1:27" x14ac:dyDescent="0.25">
      <c r="A298">
        <v>296</v>
      </c>
      <c r="B298" t="s">
        <v>677</v>
      </c>
      <c r="C298" s="4" t="s">
        <v>587</v>
      </c>
      <c r="D298" s="4">
        <v>1600000000</v>
      </c>
      <c r="E298" t="s">
        <v>17</v>
      </c>
      <c r="F298" s="1">
        <v>49154</v>
      </c>
      <c r="G298">
        <v>5.625</v>
      </c>
      <c r="H298" t="s">
        <v>9</v>
      </c>
      <c r="L298" t="s">
        <v>1168</v>
      </c>
      <c r="M298" t="s">
        <v>595</v>
      </c>
      <c r="N298" t="s">
        <v>537</v>
      </c>
      <c r="O298" t="s">
        <v>3129</v>
      </c>
      <c r="P298" t="s">
        <v>2648</v>
      </c>
      <c r="Q298" t="s">
        <v>2648</v>
      </c>
      <c r="R298" t="s">
        <v>678</v>
      </c>
      <c r="S298">
        <v>25398731.176723901</v>
      </c>
      <c r="T298">
        <v>55</v>
      </c>
      <c r="W298" t="s">
        <v>591</v>
      </c>
      <c r="X298" t="str">
        <f t="shared" si="4"/>
        <v>YS876677@TRAC Corp</v>
      </c>
      <c r="Y298" t="str">
        <f>_xlfn.IFNA(_xll.BDP(X298,"INTERVAL_SUM", "MARKET_DATA_OVERRIDE=px_volume", "CALC_INTERVAL=5D"), "")</f>
        <v>#N/A N/A</v>
      </c>
      <c r="Z298" cm="1">
        <f t="array" ref="Z298">_xll.BDP(B298, "CF_ACT_CASH_PAID_FOR_INT_DEBT")</f>
        <v>4462.7824758241495</v>
      </c>
      <c r="AA298" t="str" cm="1">
        <f t="array" ref="AA298">_xll.BDP(B298, "TYPE_OF_BOND")</f>
        <v>#N/A Field Not Applicable</v>
      </c>
    </row>
    <row r="299" spans="1:27" x14ac:dyDescent="0.25">
      <c r="A299">
        <v>297</v>
      </c>
      <c r="B299" t="s">
        <v>679</v>
      </c>
      <c r="C299" s="4" t="s">
        <v>587</v>
      </c>
      <c r="D299" s="4">
        <v>2400000000</v>
      </c>
      <c r="E299" s="1" t="s">
        <v>17</v>
      </c>
      <c r="F299" s="1">
        <v>47512</v>
      </c>
      <c r="G299">
        <v>5.25</v>
      </c>
      <c r="H299" t="s">
        <v>9</v>
      </c>
      <c r="L299" t="s">
        <v>1168</v>
      </c>
      <c r="M299" t="s">
        <v>595</v>
      </c>
      <c r="N299" t="s">
        <v>537</v>
      </c>
      <c r="O299" t="s">
        <v>3129</v>
      </c>
      <c r="P299" t="s">
        <v>2648</v>
      </c>
      <c r="Q299" t="s">
        <v>2648</v>
      </c>
      <c r="R299" t="s">
        <v>680</v>
      </c>
      <c r="S299">
        <v>30013268.7115019</v>
      </c>
      <c r="T299">
        <v>65</v>
      </c>
      <c r="U299" t="s">
        <v>1189</v>
      </c>
      <c r="W299" t="s">
        <v>591</v>
      </c>
      <c r="X299" t="str">
        <f t="shared" si="4"/>
        <v>YS876676@TRAC Corp</v>
      </c>
      <c r="Y299">
        <f>_xlfn.IFNA(_xll.BDP(X299,"INTERVAL_SUM", "MARKET_DATA_OVERRIDE=px_volume", "CALC_INTERVAL=5D"), "")</f>
        <v>350</v>
      </c>
      <c r="Z299" cm="1">
        <f t="array" ref="Z299">_xll.BDP(B299, "CF_ACT_CASH_PAID_FOR_INT_DEBT")</f>
        <v>4462.7824758241495</v>
      </c>
      <c r="AA299" t="str" cm="1">
        <f t="array" ref="AA299">_xll.BDP(B299, "TYPE_OF_BOND")</f>
        <v>#N/A Field Not Applicable</v>
      </c>
    </row>
    <row r="300" spans="1:27" x14ac:dyDescent="0.25">
      <c r="A300">
        <v>298</v>
      </c>
      <c r="B300" t="s">
        <v>681</v>
      </c>
      <c r="C300" s="4" t="s">
        <v>587</v>
      </c>
      <c r="D300" s="4">
        <v>4000000000</v>
      </c>
      <c r="E300" s="1" t="s">
        <v>17</v>
      </c>
      <c r="F300" s="1">
        <v>49322</v>
      </c>
      <c r="G300">
        <v>5.625</v>
      </c>
      <c r="H300" t="s">
        <v>9</v>
      </c>
      <c r="L300" t="s">
        <v>1168</v>
      </c>
      <c r="M300" t="s">
        <v>588</v>
      </c>
      <c r="N300" t="s">
        <v>589</v>
      </c>
      <c r="O300" t="s">
        <v>3159</v>
      </c>
      <c r="P300" t="s">
        <v>2663</v>
      </c>
      <c r="Q300" t="s">
        <v>2663</v>
      </c>
      <c r="R300" t="s">
        <v>682</v>
      </c>
      <c r="S300">
        <v>17744287.790350702</v>
      </c>
      <c r="T300">
        <v>73</v>
      </c>
      <c r="U300" t="s">
        <v>1169</v>
      </c>
      <c r="W300" t="s">
        <v>591</v>
      </c>
      <c r="X300" t="str">
        <f t="shared" si="4"/>
        <v>YS411825@TRAC Corp</v>
      </c>
      <c r="Y300" t="str">
        <f>_xlfn.IFNA(_xll.BDP(X300,"INTERVAL_SUM", "MARKET_DATA_OVERRIDE=px_volume", "CALC_INTERVAL=5D"), "")</f>
        <v>#N/A N/A</v>
      </c>
      <c r="Z300" t="str" cm="1">
        <f t="array" ref="Z300">_xll.BDP(B300, "CF_ACT_CASH_PAID_FOR_INT_DEBT")</f>
        <v>#N/A N/A</v>
      </c>
      <c r="AA300" t="str" cm="1">
        <f t="array" ref="AA300">_xll.BDP(B300, "TYPE_OF_BOND")</f>
        <v>#N/A Field Not Applicable</v>
      </c>
    </row>
    <row r="301" spans="1:27" x14ac:dyDescent="0.25">
      <c r="A301">
        <v>299</v>
      </c>
      <c r="B301" t="s">
        <v>683</v>
      </c>
      <c r="C301" s="4" t="s">
        <v>587</v>
      </c>
      <c r="D301" s="4">
        <v>3000000000</v>
      </c>
      <c r="E301" t="s">
        <v>17</v>
      </c>
      <c r="F301" s="1">
        <v>47861</v>
      </c>
      <c r="G301">
        <v>5.375</v>
      </c>
      <c r="H301" t="s">
        <v>9</v>
      </c>
      <c r="L301" t="s">
        <v>1168</v>
      </c>
      <c r="M301" t="s">
        <v>588</v>
      </c>
      <c r="N301" t="s">
        <v>589</v>
      </c>
      <c r="O301" t="s">
        <v>3159</v>
      </c>
      <c r="P301" t="s">
        <v>2663</v>
      </c>
      <c r="Q301" t="s">
        <v>2663</v>
      </c>
      <c r="R301" t="s">
        <v>684</v>
      </c>
      <c r="S301">
        <v>29411594.343485501</v>
      </c>
      <c r="T301">
        <v>75</v>
      </c>
      <c r="U301" t="s">
        <v>1169</v>
      </c>
      <c r="W301" t="s">
        <v>591</v>
      </c>
      <c r="X301" t="str">
        <f t="shared" si="4"/>
        <v>YS411823@TRAC Corp</v>
      </c>
      <c r="Y301" t="str">
        <f>_xlfn.IFNA(_xll.BDP(X301,"INTERVAL_SUM", "MARKET_DATA_OVERRIDE=px_volume", "CALC_INTERVAL=5D"), "")</f>
        <v>#N/A N/A</v>
      </c>
      <c r="Z301" t="str" cm="1">
        <f t="array" ref="Z301">_xll.BDP(B301, "CF_ACT_CASH_PAID_FOR_INT_DEBT")</f>
        <v>#N/A N/A</v>
      </c>
      <c r="AA301" t="str" cm="1">
        <f t="array" ref="AA301">_xll.BDP(B301, "TYPE_OF_BOND")</f>
        <v>#N/A Field Not Applicable</v>
      </c>
    </row>
    <row r="302" spans="1:27" x14ac:dyDescent="0.25">
      <c r="A302">
        <v>300</v>
      </c>
      <c r="B302" t="s">
        <v>685</v>
      </c>
      <c r="C302" s="4" t="s">
        <v>587</v>
      </c>
      <c r="D302" s="4">
        <v>5000000000</v>
      </c>
      <c r="E302" t="s">
        <v>17</v>
      </c>
      <c r="F302" s="1">
        <v>46765</v>
      </c>
      <c r="G302">
        <v>5.125</v>
      </c>
      <c r="H302" t="s">
        <v>9</v>
      </c>
      <c r="L302" t="s">
        <v>1168</v>
      </c>
      <c r="M302" t="s">
        <v>588</v>
      </c>
      <c r="N302" t="s">
        <v>589</v>
      </c>
      <c r="O302" t="s">
        <v>3159</v>
      </c>
      <c r="P302" t="s">
        <v>2663</v>
      </c>
      <c r="Q302" t="s">
        <v>2663</v>
      </c>
      <c r="R302" t="s">
        <v>686</v>
      </c>
      <c r="S302">
        <v>27624255.003346801</v>
      </c>
      <c r="T302">
        <v>84</v>
      </c>
      <c r="U302" t="s">
        <v>1169</v>
      </c>
      <c r="W302" t="s">
        <v>591</v>
      </c>
      <c r="X302" t="str">
        <f t="shared" si="4"/>
        <v>YS411820@TRAC Corp</v>
      </c>
      <c r="Y302" t="str">
        <f>_xlfn.IFNA(_xll.BDP(X302,"INTERVAL_SUM", "MARKET_DATA_OVERRIDE=px_volume", "CALC_INTERVAL=5D"), "")</f>
        <v>#N/A N/A</v>
      </c>
      <c r="Z302" t="str" cm="1">
        <f t="array" ref="Z302">_xll.BDP(B302, "CF_ACT_CASH_PAID_FOR_INT_DEBT")</f>
        <v>#N/A N/A</v>
      </c>
      <c r="AA302" t="str" cm="1">
        <f t="array" ref="AA302">_xll.BDP(B302, "TYPE_OF_BOND")</f>
        <v>#N/A Field Not Applicable</v>
      </c>
    </row>
    <row r="303" spans="1:27" x14ac:dyDescent="0.25">
      <c r="A303">
        <v>301</v>
      </c>
      <c r="B303" t="s">
        <v>687</v>
      </c>
      <c r="C303" s="4" t="s">
        <v>587</v>
      </c>
      <c r="D303" s="4">
        <v>750000000</v>
      </c>
      <c r="E303" t="s">
        <v>17</v>
      </c>
      <c r="F303" s="1">
        <v>50104</v>
      </c>
      <c r="G303">
        <v>3.75</v>
      </c>
      <c r="H303" t="s">
        <v>9</v>
      </c>
      <c r="L303" t="s">
        <v>1171</v>
      </c>
      <c r="M303" t="s">
        <v>588</v>
      </c>
      <c r="N303" t="s">
        <v>589</v>
      </c>
      <c r="O303" t="s">
        <v>3159</v>
      </c>
      <c r="P303" t="s">
        <v>2663</v>
      </c>
      <c r="Q303" t="s">
        <v>2663</v>
      </c>
      <c r="R303" t="s">
        <v>688</v>
      </c>
      <c r="S303">
        <v>16139285.3433553</v>
      </c>
      <c r="T303">
        <v>63</v>
      </c>
      <c r="U303" t="s">
        <v>1172</v>
      </c>
      <c r="W303" t="s">
        <v>591</v>
      </c>
      <c r="X303" t="str">
        <f t="shared" si="4"/>
        <v>YR797565@TRAC Corp</v>
      </c>
      <c r="Y303" t="str">
        <f>_xlfn.IFNA(_xll.BDP(X303,"INTERVAL_SUM", "MARKET_DATA_OVERRIDE=px_volume", "CALC_INTERVAL=5D"), "")</f>
        <v>#N/A N/A</v>
      </c>
      <c r="Z303" t="str" cm="1">
        <f t="array" ref="Z303">_xll.BDP(B303, "CF_ACT_CASH_PAID_FOR_INT_DEBT")</f>
        <v>#N/A N/A</v>
      </c>
      <c r="AA303" t="str" cm="1">
        <f t="array" ref="AA303">_xll.BDP(B303, "TYPE_OF_BOND")</f>
        <v>#N/A Field Not Applicable</v>
      </c>
    </row>
    <row r="304" spans="1:27" x14ac:dyDescent="0.25">
      <c r="A304">
        <v>302</v>
      </c>
      <c r="B304" t="s">
        <v>689</v>
      </c>
      <c r="C304" s="4" t="s">
        <v>587</v>
      </c>
      <c r="D304" s="4">
        <v>1500000000</v>
      </c>
      <c r="E304" t="s">
        <v>17</v>
      </c>
      <c r="F304" s="1">
        <v>48278</v>
      </c>
      <c r="G304">
        <v>3.375</v>
      </c>
      <c r="H304" t="s">
        <v>9</v>
      </c>
      <c r="L304" t="s">
        <v>1171</v>
      </c>
      <c r="M304" t="s">
        <v>588</v>
      </c>
      <c r="N304" t="s">
        <v>589</v>
      </c>
      <c r="O304" t="s">
        <v>3159</v>
      </c>
      <c r="P304" t="s">
        <v>2663</v>
      </c>
      <c r="Q304" t="s">
        <v>2663</v>
      </c>
      <c r="R304" t="s">
        <v>690</v>
      </c>
      <c r="S304">
        <v>29685513.075744301</v>
      </c>
      <c r="T304">
        <v>83</v>
      </c>
      <c r="U304" t="s">
        <v>1172</v>
      </c>
      <c r="W304" t="s">
        <v>591</v>
      </c>
      <c r="X304" t="str">
        <f t="shared" si="4"/>
        <v>YR797564@TRAC Corp</v>
      </c>
      <c r="Y304" t="str">
        <f>_xlfn.IFNA(_xll.BDP(X304,"INTERVAL_SUM", "MARKET_DATA_OVERRIDE=px_volume", "CALC_INTERVAL=5D"), "")</f>
        <v>#N/A N/A</v>
      </c>
      <c r="Z304" t="str" cm="1">
        <f t="array" ref="Z304">_xll.BDP(B304, "CF_ACT_CASH_PAID_FOR_INT_DEBT")</f>
        <v>#N/A N/A</v>
      </c>
      <c r="AA304" t="str" cm="1">
        <f t="array" ref="AA304">_xll.BDP(B304, "TYPE_OF_BOND")</f>
        <v>#N/A Field Not Applicable</v>
      </c>
    </row>
    <row r="305" spans="1:27" x14ac:dyDescent="0.25">
      <c r="A305">
        <v>303</v>
      </c>
      <c r="B305" t="s">
        <v>691</v>
      </c>
      <c r="C305" s="4" t="s">
        <v>587</v>
      </c>
      <c r="D305" s="4">
        <v>1000000000</v>
      </c>
      <c r="E305" t="s">
        <v>17</v>
      </c>
      <c r="F305" s="1">
        <v>49367</v>
      </c>
      <c r="G305">
        <v>5.375</v>
      </c>
      <c r="H305" t="s">
        <v>9</v>
      </c>
      <c r="L305" t="s">
        <v>1168</v>
      </c>
      <c r="M305" t="s">
        <v>595</v>
      </c>
      <c r="N305" t="s">
        <v>537</v>
      </c>
      <c r="O305" t="s">
        <v>3160</v>
      </c>
      <c r="P305" t="s">
        <v>2664</v>
      </c>
      <c r="Q305" t="s">
        <v>3161</v>
      </c>
      <c r="R305" t="s">
        <v>692</v>
      </c>
      <c r="S305">
        <v>14456101.0704452</v>
      </c>
      <c r="T305">
        <v>39</v>
      </c>
      <c r="W305" t="s">
        <v>591</v>
      </c>
      <c r="X305" t="str">
        <f t="shared" si="4"/>
        <v>YR598064@TRAC Corp</v>
      </c>
      <c r="Y305">
        <f>_xlfn.IFNA(_xll.BDP(X305,"INTERVAL_SUM", "MARKET_DATA_OVERRIDE=px_volume", "CALC_INTERVAL=5D"), "")</f>
        <v>2550</v>
      </c>
      <c r="Z305" t="str" cm="1">
        <f t="array" ref="Z305">_xll.BDP(B305, "CF_ACT_CASH_PAID_FOR_INT_DEBT")</f>
        <v>#N/A N/A</v>
      </c>
      <c r="AA305" t="str" cm="1">
        <f t="array" ref="AA305">_xll.BDP(B305, "TYPE_OF_BOND")</f>
        <v>Sukuk Al Mudarabah</v>
      </c>
    </row>
    <row r="306" spans="1:27" x14ac:dyDescent="0.25">
      <c r="A306">
        <v>304</v>
      </c>
      <c r="B306" t="s">
        <v>693</v>
      </c>
      <c r="C306" s="4" t="s">
        <v>587</v>
      </c>
      <c r="D306" s="4">
        <v>1000000000</v>
      </c>
      <c r="E306" t="s">
        <v>17</v>
      </c>
      <c r="F306" s="1">
        <v>46810</v>
      </c>
      <c r="G306">
        <v>5</v>
      </c>
      <c r="H306" t="s">
        <v>9</v>
      </c>
      <c r="L306" t="s">
        <v>1168</v>
      </c>
      <c r="M306" t="s">
        <v>595</v>
      </c>
      <c r="N306" t="s">
        <v>537</v>
      </c>
      <c r="O306" t="s">
        <v>3160</v>
      </c>
      <c r="P306" t="s">
        <v>2664</v>
      </c>
      <c r="Q306" t="s">
        <v>3161</v>
      </c>
      <c r="R306" t="s">
        <v>694</v>
      </c>
      <c r="S306">
        <v>13949086.226172701</v>
      </c>
      <c r="T306">
        <v>52</v>
      </c>
      <c r="W306" t="s">
        <v>591</v>
      </c>
      <c r="X306" t="str">
        <f t="shared" si="4"/>
        <v>YR598060@TRAC Corp</v>
      </c>
      <c r="Y306">
        <f>_xlfn.IFNA(_xll.BDP(X306,"INTERVAL_SUM", "MARKET_DATA_OVERRIDE=px_volume", "CALC_INTERVAL=5D"), "")</f>
        <v>10996</v>
      </c>
      <c r="Z306" t="str" cm="1">
        <f t="array" ref="Z306">_xll.BDP(B306, "CF_ACT_CASH_PAID_FOR_INT_DEBT")</f>
        <v>#N/A N/A</v>
      </c>
      <c r="AA306" t="str" cm="1">
        <f t="array" ref="AA306">_xll.BDP(B306, "TYPE_OF_BOND")</f>
        <v>Sukuk Al Mudarabah</v>
      </c>
    </row>
    <row r="307" spans="1:27" x14ac:dyDescent="0.25">
      <c r="A307">
        <v>305</v>
      </c>
      <c r="B307" t="s">
        <v>695</v>
      </c>
      <c r="C307" s="4" t="s">
        <v>587</v>
      </c>
      <c r="D307" s="4">
        <v>1100000000</v>
      </c>
      <c r="E307" t="s">
        <v>17</v>
      </c>
      <c r="F307" s="1">
        <v>47574</v>
      </c>
      <c r="G307">
        <v>5</v>
      </c>
      <c r="H307" t="s">
        <v>9</v>
      </c>
      <c r="L307" t="s">
        <v>1168</v>
      </c>
      <c r="M307" t="s">
        <v>10</v>
      </c>
      <c r="N307" t="s">
        <v>36</v>
      </c>
      <c r="O307" t="s">
        <v>3162</v>
      </c>
      <c r="P307" t="s">
        <v>2666</v>
      </c>
      <c r="Q307" t="s">
        <v>3163</v>
      </c>
      <c r="R307" t="s">
        <v>696</v>
      </c>
      <c r="S307">
        <v>5509297.9848987898</v>
      </c>
      <c r="T307">
        <v>9</v>
      </c>
      <c r="W307" t="s">
        <v>591</v>
      </c>
      <c r="X307" t="str">
        <f t="shared" si="4"/>
        <v>YQ987822@TRAC Corp</v>
      </c>
      <c r="Y307">
        <f>_xlfn.IFNA(_xll.BDP(X307,"INTERVAL_SUM", "MARKET_DATA_OVERRIDE=px_volume", "CALC_INTERVAL=5D"), "")</f>
        <v>13500</v>
      </c>
      <c r="Z307" cm="1">
        <f t="array" ref="Z307">_xll.BDP(B307, "CF_ACT_CASH_PAID_FOR_INT_DEBT")</f>
        <v>55.819000000000003</v>
      </c>
      <c r="AA307" t="str" cm="1">
        <f t="array" ref="AA307">_xll.BDP(B307, "TYPE_OF_BOND")</f>
        <v>Convertible</v>
      </c>
    </row>
    <row r="308" spans="1:27" x14ac:dyDescent="0.25">
      <c r="A308">
        <v>306</v>
      </c>
      <c r="B308" t="s">
        <v>697</v>
      </c>
      <c r="C308" s="4" t="s">
        <v>587</v>
      </c>
      <c r="D308" s="4">
        <v>16900000000</v>
      </c>
      <c r="E308" t="s">
        <v>17</v>
      </c>
      <c r="F308" s="1">
        <v>51281</v>
      </c>
      <c r="G308">
        <v>5.2848699999999997</v>
      </c>
      <c r="H308" t="s">
        <v>13</v>
      </c>
      <c r="I308" t="s">
        <v>2665</v>
      </c>
      <c r="L308" t="s">
        <v>1187</v>
      </c>
      <c r="M308" t="s">
        <v>588</v>
      </c>
      <c r="N308" t="s">
        <v>589</v>
      </c>
      <c r="O308" t="s">
        <v>3159</v>
      </c>
      <c r="P308" t="s">
        <v>2663</v>
      </c>
      <c r="Q308" t="s">
        <v>2663</v>
      </c>
      <c r="R308" t="s">
        <v>698</v>
      </c>
      <c r="S308">
        <v>509189419.94858599</v>
      </c>
      <c r="T308">
        <v>64</v>
      </c>
      <c r="U308">
        <v>5364</v>
      </c>
      <c r="W308" t="s">
        <v>591</v>
      </c>
      <c r="X308" t="str">
        <f t="shared" si="4"/>
        <v>YO763060@TRAC Corp</v>
      </c>
      <c r="Y308" t="str">
        <f>_xlfn.IFNA(_xll.BDP(X308,"INTERVAL_SUM", "MARKET_DATA_OVERRIDE=px_volume", "CALC_INTERVAL=5D"), "")</f>
        <v>#N/A N/A</v>
      </c>
      <c r="Z308" t="str" cm="1">
        <f t="array" ref="Z308">_xll.BDP(B308, "CF_ACT_CASH_PAID_FOR_INT_DEBT")</f>
        <v>#N/A N/A</v>
      </c>
      <c r="AA308" t="str" cm="1">
        <f t="array" ref="AA308">_xll.BDP(B308, "TYPE_OF_BOND")</f>
        <v>Sukuk Al Mudarabah</v>
      </c>
    </row>
    <row r="309" spans="1:27" x14ac:dyDescent="0.25">
      <c r="A309">
        <v>307</v>
      </c>
      <c r="B309" t="s">
        <v>699</v>
      </c>
      <c r="C309" s="4" t="s">
        <v>587</v>
      </c>
      <c r="D309" s="4">
        <v>1820603000</v>
      </c>
      <c r="E309" t="s">
        <v>17</v>
      </c>
      <c r="F309" s="1">
        <v>49454</v>
      </c>
      <c r="G309">
        <v>5.2348699999999999</v>
      </c>
      <c r="H309" t="s">
        <v>13</v>
      </c>
      <c r="I309" t="s">
        <v>2665</v>
      </c>
      <c r="L309" t="s">
        <v>1187</v>
      </c>
      <c r="M309" t="s">
        <v>588</v>
      </c>
      <c r="N309" t="s">
        <v>589</v>
      </c>
      <c r="O309" t="s">
        <v>3159</v>
      </c>
      <c r="P309" t="s">
        <v>2663</v>
      </c>
      <c r="Q309" t="s">
        <v>2663</v>
      </c>
      <c r="R309" t="s">
        <v>700</v>
      </c>
      <c r="S309">
        <v>213910207.85176</v>
      </c>
      <c r="T309">
        <v>46</v>
      </c>
      <c r="U309">
        <v>5363</v>
      </c>
      <c r="W309" t="s">
        <v>591</v>
      </c>
      <c r="X309" t="str">
        <f t="shared" si="4"/>
        <v>YO763030@TRAC Corp</v>
      </c>
      <c r="Y309" t="str">
        <f>_xlfn.IFNA(_xll.BDP(X309,"INTERVAL_SUM", "MARKET_DATA_OVERRIDE=px_volume", "CALC_INTERVAL=5D"), "")</f>
        <v>#N/A N/A</v>
      </c>
      <c r="Z309" t="str" cm="1">
        <f t="array" ref="Z309">_xll.BDP(B309, "CF_ACT_CASH_PAID_FOR_INT_DEBT")</f>
        <v>#N/A N/A</v>
      </c>
      <c r="AA309" t="str" cm="1">
        <f t="array" ref="AA309">_xll.BDP(B309, "TYPE_OF_BOND")</f>
        <v>Sukuk Al Mudarabah</v>
      </c>
    </row>
    <row r="310" spans="1:27" x14ac:dyDescent="0.25">
      <c r="A310">
        <v>308</v>
      </c>
      <c r="B310" t="s">
        <v>701</v>
      </c>
      <c r="C310" s="4" t="s">
        <v>587</v>
      </c>
      <c r="D310" s="4">
        <v>1250000000</v>
      </c>
      <c r="E310" t="s">
        <v>17</v>
      </c>
      <c r="F310" s="1">
        <v>48342</v>
      </c>
      <c r="G310">
        <v>4.875</v>
      </c>
      <c r="H310" t="s">
        <v>9</v>
      </c>
      <c r="L310" t="s">
        <v>1168</v>
      </c>
      <c r="M310" t="s">
        <v>595</v>
      </c>
      <c r="N310" t="s">
        <v>537</v>
      </c>
      <c r="O310" t="s">
        <v>3129</v>
      </c>
      <c r="P310" t="s">
        <v>2648</v>
      </c>
      <c r="Q310" t="s">
        <v>2648</v>
      </c>
      <c r="R310" t="s">
        <v>702</v>
      </c>
      <c r="S310">
        <v>38278505.684870698</v>
      </c>
      <c r="T310">
        <v>60</v>
      </c>
      <c r="U310" t="s">
        <v>1189</v>
      </c>
      <c r="W310" t="s">
        <v>591</v>
      </c>
      <c r="X310" t="str">
        <f t="shared" si="4"/>
        <v>YO117956@TRAC Corp</v>
      </c>
      <c r="Y310">
        <f>_xlfn.IFNA(_xll.BDP(X310,"INTERVAL_SUM", "MARKET_DATA_OVERRIDE=px_volume", "CALC_INTERVAL=5D"), "")</f>
        <v>8000</v>
      </c>
      <c r="Z310" cm="1">
        <f t="array" ref="Z310">_xll.BDP(B310, "CF_ACT_CASH_PAID_FOR_INT_DEBT")</f>
        <v>4462.7824758241495</v>
      </c>
      <c r="AA310" t="str" cm="1">
        <f t="array" ref="AA310">_xll.BDP(B310, "TYPE_OF_BOND")</f>
        <v>Sukuk Al-Wakala Bel-Istithma</v>
      </c>
    </row>
    <row r="311" spans="1:27" x14ac:dyDescent="0.25">
      <c r="A311">
        <v>309</v>
      </c>
      <c r="B311" t="s">
        <v>703</v>
      </c>
      <c r="C311" s="4" t="s">
        <v>587</v>
      </c>
      <c r="D311" s="4">
        <v>2000000000</v>
      </c>
      <c r="E311" t="s">
        <v>17</v>
      </c>
      <c r="F311" s="1">
        <v>49567</v>
      </c>
      <c r="G311">
        <v>5</v>
      </c>
      <c r="H311" t="s">
        <v>9</v>
      </c>
      <c r="L311" t="s">
        <v>1168</v>
      </c>
      <c r="M311" t="s">
        <v>595</v>
      </c>
      <c r="N311" t="s">
        <v>537</v>
      </c>
      <c r="O311" t="s">
        <v>3129</v>
      </c>
      <c r="P311" t="s">
        <v>2648</v>
      </c>
      <c r="Q311" t="s">
        <v>2648</v>
      </c>
      <c r="R311" t="s">
        <v>704</v>
      </c>
      <c r="S311">
        <v>19405829.951127101</v>
      </c>
      <c r="T311">
        <v>50</v>
      </c>
      <c r="U311" t="s">
        <v>1189</v>
      </c>
      <c r="W311" t="s">
        <v>591</v>
      </c>
      <c r="X311" t="str">
        <f t="shared" si="4"/>
        <v>YL973406@TRAC Corp</v>
      </c>
      <c r="Y311" t="str">
        <f>_xlfn.IFNA(_xll.BDP(X311,"INTERVAL_SUM", "MARKET_DATA_OVERRIDE=px_volume", "CALC_INTERVAL=5D"), "")</f>
        <v>#N/A N/A</v>
      </c>
      <c r="Z311" cm="1">
        <f t="array" ref="Z311">_xll.BDP(B311, "CF_ACT_CASH_PAID_FOR_INT_DEBT")</f>
        <v>4462.7824758241495</v>
      </c>
      <c r="AA311" t="str" cm="1">
        <f t="array" ref="AA311">_xll.BDP(B311, "TYPE_OF_BOND")</f>
        <v>#N/A Field Not Applicable</v>
      </c>
    </row>
    <row r="312" spans="1:27" x14ac:dyDescent="0.25">
      <c r="A312">
        <v>310</v>
      </c>
      <c r="B312" t="s">
        <v>705</v>
      </c>
      <c r="C312" s="4" t="s">
        <v>587</v>
      </c>
      <c r="D312" s="4">
        <v>3250000000</v>
      </c>
      <c r="E312" t="s">
        <v>17</v>
      </c>
      <c r="F312" s="1">
        <v>49561</v>
      </c>
      <c r="G312">
        <v>4.875</v>
      </c>
      <c r="H312" t="s">
        <v>9</v>
      </c>
      <c r="L312" t="s">
        <v>1168</v>
      </c>
      <c r="M312" t="s">
        <v>595</v>
      </c>
      <c r="N312" t="s">
        <v>589</v>
      </c>
      <c r="O312" t="s">
        <v>3159</v>
      </c>
      <c r="P312" t="s">
        <v>2663</v>
      </c>
      <c r="Q312" t="s">
        <v>2663</v>
      </c>
      <c r="R312" t="s">
        <v>706</v>
      </c>
      <c r="S312">
        <v>15721054.030908899</v>
      </c>
      <c r="T312">
        <v>73</v>
      </c>
      <c r="U312" t="s">
        <v>1169</v>
      </c>
      <c r="W312" t="s">
        <v>591</v>
      </c>
      <c r="X312" t="str">
        <f t="shared" si="4"/>
        <v>YL816136@TRAC Corp</v>
      </c>
      <c r="Y312" t="str">
        <f>_xlfn.IFNA(_xll.BDP(X312,"INTERVAL_SUM", "MARKET_DATA_OVERRIDE=px_volume", "CALC_INTERVAL=5D"), "")</f>
        <v>#N/A N/A</v>
      </c>
      <c r="Z312" t="str" cm="1">
        <f t="array" ref="Z312">_xll.BDP(B312, "CF_ACT_CASH_PAID_FOR_INT_DEBT")</f>
        <v>#N/A N/A</v>
      </c>
      <c r="AA312" t="str" cm="1">
        <f t="array" ref="AA312">_xll.BDP(B312, "TYPE_OF_BOND")</f>
        <v>Sukuk Al Ijara</v>
      </c>
    </row>
    <row r="313" spans="1:27" x14ac:dyDescent="0.25">
      <c r="A313">
        <v>311</v>
      </c>
      <c r="B313" t="s">
        <v>707</v>
      </c>
      <c r="C313" s="4" t="s">
        <v>587</v>
      </c>
      <c r="D313" s="4">
        <v>2250000000</v>
      </c>
      <c r="E313" t="s">
        <v>17</v>
      </c>
      <c r="F313" s="1">
        <v>47735</v>
      </c>
      <c r="G313">
        <v>4.25</v>
      </c>
      <c r="H313" t="s">
        <v>9</v>
      </c>
      <c r="L313" t="s">
        <v>1168</v>
      </c>
      <c r="M313" t="s">
        <v>595</v>
      </c>
      <c r="N313" t="s">
        <v>589</v>
      </c>
      <c r="O313" t="s">
        <v>3159</v>
      </c>
      <c r="P313" t="s">
        <v>2663</v>
      </c>
      <c r="Q313" t="s">
        <v>2663</v>
      </c>
      <c r="R313" t="s">
        <v>708</v>
      </c>
      <c r="S313">
        <v>58830171.781946503</v>
      </c>
      <c r="T313">
        <v>78</v>
      </c>
      <c r="U313" t="s">
        <v>1169</v>
      </c>
      <c r="W313" t="s">
        <v>591</v>
      </c>
      <c r="X313" t="str">
        <f t="shared" si="4"/>
        <v>YL816135@TRAC Corp</v>
      </c>
      <c r="Y313" t="str">
        <f>_xlfn.IFNA(_xll.BDP(X313,"INTERVAL_SUM", "MARKET_DATA_OVERRIDE=px_volume", "CALC_INTERVAL=5D"), "")</f>
        <v>#N/A N/A</v>
      </c>
      <c r="Z313" t="str" cm="1">
        <f t="array" ref="Z313">_xll.BDP(B313, "CF_ACT_CASH_PAID_FOR_INT_DEBT")</f>
        <v>#N/A N/A</v>
      </c>
      <c r="AA313" t="str" cm="1">
        <f t="array" ref="AA313">_xll.BDP(B313, "TYPE_OF_BOND")</f>
        <v>Sukuk Al Ijara</v>
      </c>
    </row>
    <row r="314" spans="1:27" x14ac:dyDescent="0.25">
      <c r="A314">
        <v>312</v>
      </c>
      <c r="B314" t="s">
        <v>709</v>
      </c>
      <c r="C314" s="4" t="s">
        <v>587</v>
      </c>
      <c r="D314" s="4">
        <v>850000000</v>
      </c>
      <c r="E314" t="s">
        <v>17</v>
      </c>
      <c r="F314" s="1">
        <v>48501</v>
      </c>
      <c r="G314">
        <v>3.375</v>
      </c>
      <c r="H314" t="s">
        <v>9</v>
      </c>
      <c r="L314" t="s">
        <v>1171</v>
      </c>
      <c r="M314" t="s">
        <v>595</v>
      </c>
      <c r="N314" t="s">
        <v>537</v>
      </c>
      <c r="O314" t="s">
        <v>3129</v>
      </c>
      <c r="P314" t="s">
        <v>2648</v>
      </c>
      <c r="Q314" t="s">
        <v>2648</v>
      </c>
      <c r="R314" t="s">
        <v>710</v>
      </c>
      <c r="S314">
        <v>25272987.113127001</v>
      </c>
      <c r="T314">
        <v>74</v>
      </c>
      <c r="U314" t="s">
        <v>1189</v>
      </c>
      <c r="W314" t="s">
        <v>591</v>
      </c>
      <c r="X314" t="str">
        <f t="shared" si="4"/>
        <v>YK791474@TRAC Corp</v>
      </c>
      <c r="Y314" t="str">
        <f>_xlfn.IFNA(_xll.BDP(X314,"INTERVAL_SUM", "MARKET_DATA_OVERRIDE=px_volume", "CALC_INTERVAL=5D"), "")</f>
        <v>#N/A N/A</v>
      </c>
      <c r="Z314" cm="1">
        <f t="array" ref="Z314">_xll.BDP(B314, "CF_ACT_CASH_PAID_FOR_INT_DEBT")</f>
        <v>4462.7824758241495</v>
      </c>
      <c r="AA314" t="str" cm="1">
        <f t="array" ref="AA314">_xll.BDP(B314, "TYPE_OF_BOND")</f>
        <v>#N/A Field Not Applicable</v>
      </c>
    </row>
    <row r="315" spans="1:27" x14ac:dyDescent="0.25">
      <c r="A315">
        <v>313</v>
      </c>
      <c r="B315" t="s">
        <v>711</v>
      </c>
      <c r="C315" s="4" t="s">
        <v>587</v>
      </c>
      <c r="D315" s="4">
        <v>800000000</v>
      </c>
      <c r="E315" t="s">
        <v>17</v>
      </c>
      <c r="F315" s="1">
        <v>47040</v>
      </c>
      <c r="G315">
        <v>2.75</v>
      </c>
      <c r="H315" t="s">
        <v>9</v>
      </c>
      <c r="L315" t="s">
        <v>1171</v>
      </c>
      <c r="M315" t="s">
        <v>595</v>
      </c>
      <c r="N315" t="s">
        <v>537</v>
      </c>
      <c r="O315" t="s">
        <v>3129</v>
      </c>
      <c r="P315" t="s">
        <v>2648</v>
      </c>
      <c r="Q315" t="s">
        <v>2648</v>
      </c>
      <c r="R315" t="s">
        <v>712</v>
      </c>
      <c r="S315">
        <v>16750891.751027601</v>
      </c>
      <c r="T315">
        <v>72</v>
      </c>
      <c r="U315" t="s">
        <v>1190</v>
      </c>
      <c r="W315" t="s">
        <v>591</v>
      </c>
      <c r="X315" t="str">
        <f t="shared" si="4"/>
        <v>YK791473@TRAC Corp</v>
      </c>
      <c r="Y315" t="str">
        <f>_xlfn.IFNA(_xll.BDP(X315,"INTERVAL_SUM", "MARKET_DATA_OVERRIDE=px_volume", "CALC_INTERVAL=5D"), "")</f>
        <v>#N/A N/A</v>
      </c>
      <c r="Z315" cm="1">
        <f t="array" ref="Z315">_xll.BDP(B315, "CF_ACT_CASH_PAID_FOR_INT_DEBT")</f>
        <v>4462.7824758241495</v>
      </c>
      <c r="AA315" t="str" cm="1">
        <f t="array" ref="AA315">_xll.BDP(B315, "TYPE_OF_BOND")</f>
        <v>#N/A Field Not Applicable</v>
      </c>
    </row>
    <row r="316" spans="1:27" x14ac:dyDescent="0.25">
      <c r="A316">
        <v>314</v>
      </c>
      <c r="B316" t="s">
        <v>713</v>
      </c>
      <c r="C316" s="4" t="s">
        <v>587</v>
      </c>
      <c r="D316" s="4">
        <v>1000000000</v>
      </c>
      <c r="E316" t="s">
        <v>17</v>
      </c>
      <c r="F316" s="1">
        <v>49584</v>
      </c>
      <c r="G316">
        <v>4.875</v>
      </c>
      <c r="H316" t="s">
        <v>9</v>
      </c>
      <c r="L316" t="s">
        <v>1168</v>
      </c>
      <c r="M316" t="s">
        <v>595</v>
      </c>
      <c r="N316" t="s">
        <v>537</v>
      </c>
      <c r="O316" t="s">
        <v>3160</v>
      </c>
      <c r="P316" t="s">
        <v>2664</v>
      </c>
      <c r="Q316" t="s">
        <v>3161</v>
      </c>
      <c r="R316" t="s">
        <v>714</v>
      </c>
      <c r="S316">
        <v>23287134.7700556</v>
      </c>
      <c r="T316">
        <v>48</v>
      </c>
      <c r="U316" t="s">
        <v>1189</v>
      </c>
      <c r="W316" t="s">
        <v>591</v>
      </c>
      <c r="X316" t="str">
        <f t="shared" si="4"/>
        <v>YK402542@TRAC Corp</v>
      </c>
      <c r="Y316">
        <f>_xlfn.IFNA(_xll.BDP(X316,"INTERVAL_SUM", "MARKET_DATA_OVERRIDE=px_volume", "CALC_INTERVAL=5D"), "")</f>
        <v>4600</v>
      </c>
      <c r="Z316" t="str" cm="1">
        <f t="array" ref="Z316">_xll.BDP(B316, "CF_ACT_CASH_PAID_FOR_INT_DEBT")</f>
        <v>#N/A N/A</v>
      </c>
      <c r="AA316" t="str" cm="1">
        <f t="array" ref="AA316">_xll.BDP(B316, "TYPE_OF_BOND")</f>
        <v>Sukuk Al Mudarabah</v>
      </c>
    </row>
    <row r="317" spans="1:27" x14ac:dyDescent="0.25">
      <c r="A317">
        <v>315</v>
      </c>
      <c r="B317" t="s">
        <v>715</v>
      </c>
      <c r="C317" s="4" t="s">
        <v>587</v>
      </c>
      <c r="D317" s="4">
        <v>1500000000</v>
      </c>
      <c r="E317" t="s">
        <v>17</v>
      </c>
      <c r="F317" s="1">
        <v>47210</v>
      </c>
      <c r="G317">
        <v>4.375</v>
      </c>
      <c r="H317" t="s">
        <v>9</v>
      </c>
      <c r="L317" t="s">
        <v>1168</v>
      </c>
      <c r="M317" t="s">
        <v>595</v>
      </c>
      <c r="N317" t="s">
        <v>537</v>
      </c>
      <c r="O317" t="s">
        <v>3160</v>
      </c>
      <c r="P317" t="s">
        <v>2664</v>
      </c>
      <c r="Q317" t="s">
        <v>3161</v>
      </c>
      <c r="R317" t="s">
        <v>716</v>
      </c>
      <c r="S317">
        <v>12282451.059840299</v>
      </c>
      <c r="T317">
        <v>59</v>
      </c>
      <c r="U317" t="s">
        <v>1189</v>
      </c>
      <c r="W317" t="s">
        <v>591</v>
      </c>
      <c r="X317" t="str">
        <f t="shared" si="4"/>
        <v>YK402541@TRAC Corp</v>
      </c>
      <c r="Y317" t="str">
        <f>_xlfn.IFNA(_xll.BDP(X317,"INTERVAL_SUM", "MARKET_DATA_OVERRIDE=px_volume", "CALC_INTERVAL=5D"), "")</f>
        <v>#N/A N/A</v>
      </c>
      <c r="Z317" t="str" cm="1">
        <f t="array" ref="Z317">_xll.BDP(B317, "CF_ACT_CASH_PAID_FOR_INT_DEBT")</f>
        <v>#N/A N/A</v>
      </c>
      <c r="AA317" t="str" cm="1">
        <f t="array" ref="AA317">_xll.BDP(B317, "TYPE_OF_BOND")</f>
        <v>Sukuk Al Mudarabah</v>
      </c>
    </row>
    <row r="318" spans="1:27" x14ac:dyDescent="0.25">
      <c r="A318">
        <v>316</v>
      </c>
      <c r="B318" t="s">
        <v>717</v>
      </c>
      <c r="C318" s="4" t="s">
        <v>587</v>
      </c>
      <c r="D318" s="4">
        <v>2000000000</v>
      </c>
      <c r="E318" t="s">
        <v>17</v>
      </c>
      <c r="F318" s="1">
        <v>49702</v>
      </c>
      <c r="G318">
        <v>5.133</v>
      </c>
      <c r="H318" t="s">
        <v>9</v>
      </c>
      <c r="L318" t="s">
        <v>1168</v>
      </c>
      <c r="M318" t="s">
        <v>595</v>
      </c>
      <c r="N318" t="s">
        <v>537</v>
      </c>
      <c r="O318" t="s">
        <v>3129</v>
      </c>
      <c r="P318" t="s">
        <v>2648</v>
      </c>
      <c r="Q318" t="s">
        <v>2648</v>
      </c>
      <c r="R318" t="s">
        <v>718</v>
      </c>
      <c r="S318">
        <v>19483161.321904801</v>
      </c>
      <c r="T318">
        <v>51</v>
      </c>
      <c r="U318" t="s">
        <v>1189</v>
      </c>
      <c r="W318" t="s">
        <v>591</v>
      </c>
      <c r="X318" t="str">
        <f t="shared" si="4"/>
        <v>YI241947@TRAC Corp</v>
      </c>
      <c r="Y318" t="str">
        <f>_xlfn.IFNA(_xll.BDP(X318,"INTERVAL_SUM", "MARKET_DATA_OVERRIDE=px_volume", "CALC_INTERVAL=5D"), "")</f>
        <v>#N/A N/A</v>
      </c>
      <c r="Z318" cm="1">
        <f t="array" ref="Z318">_xll.BDP(B318, "CF_ACT_CASH_PAID_FOR_INT_DEBT")</f>
        <v>4462.7824758241495</v>
      </c>
      <c r="AA318" t="str" cm="1">
        <f t="array" ref="AA318">_xll.BDP(B318, "TYPE_OF_BOND")</f>
        <v>Sukuk Al-Wakala Bel-Istithma</v>
      </c>
    </row>
    <row r="319" spans="1:27" x14ac:dyDescent="0.25">
      <c r="A319">
        <v>317</v>
      </c>
      <c r="B319" t="s">
        <v>719</v>
      </c>
      <c r="C319" s="4" t="s">
        <v>587</v>
      </c>
      <c r="D319" s="4">
        <v>16131225000</v>
      </c>
      <c r="E319" t="s">
        <v>17</v>
      </c>
      <c r="F319" s="1">
        <v>51704</v>
      </c>
      <c r="G319">
        <v>5.69</v>
      </c>
      <c r="H319" t="s">
        <v>9</v>
      </c>
      <c r="L319" t="s">
        <v>1187</v>
      </c>
      <c r="M319" t="s">
        <v>588</v>
      </c>
      <c r="N319" t="s">
        <v>589</v>
      </c>
      <c r="O319" t="s">
        <v>3159</v>
      </c>
      <c r="P319" t="s">
        <v>2663</v>
      </c>
      <c r="Q319" t="s">
        <v>2663</v>
      </c>
      <c r="R319" t="s">
        <v>720</v>
      </c>
      <c r="S319">
        <v>901371097.38033795</v>
      </c>
      <c r="T319">
        <v>65</v>
      </c>
      <c r="U319">
        <v>5379</v>
      </c>
      <c r="W319" t="s">
        <v>591</v>
      </c>
      <c r="X319" t="str">
        <f t="shared" si="4"/>
        <v>YI080099@TRAC Corp</v>
      </c>
      <c r="Y319" t="str">
        <f>_xlfn.IFNA(_xll.BDP(X319,"INTERVAL_SUM", "MARKET_DATA_OVERRIDE=px_volume", "CALC_INTERVAL=5D"), "")</f>
        <v>#N/A N/A</v>
      </c>
      <c r="Z319" t="str" cm="1">
        <f t="array" ref="Z319">_xll.BDP(B319, "CF_ACT_CASH_PAID_FOR_INT_DEBT")</f>
        <v>#N/A N/A</v>
      </c>
      <c r="AA319" t="str" cm="1">
        <f t="array" ref="AA319">_xll.BDP(B319, "TYPE_OF_BOND")</f>
        <v>Sukuk Al Mudarabah</v>
      </c>
    </row>
    <row r="320" spans="1:27" x14ac:dyDescent="0.25">
      <c r="A320">
        <v>318</v>
      </c>
      <c r="B320" t="s">
        <v>721</v>
      </c>
      <c r="C320" s="4" t="s">
        <v>587</v>
      </c>
      <c r="D320" s="4">
        <v>6500000000</v>
      </c>
      <c r="E320" t="s">
        <v>17</v>
      </c>
      <c r="F320" s="1">
        <v>53626</v>
      </c>
      <c r="G320">
        <v>4.5</v>
      </c>
      <c r="H320" t="s">
        <v>9</v>
      </c>
      <c r="L320" t="s">
        <v>1168</v>
      </c>
      <c r="M320" t="s">
        <v>588</v>
      </c>
      <c r="N320" t="s">
        <v>589</v>
      </c>
      <c r="O320" t="s">
        <v>3159</v>
      </c>
      <c r="P320" t="s">
        <v>2663</v>
      </c>
      <c r="Q320" t="s">
        <v>2663</v>
      </c>
      <c r="R320" t="s">
        <v>722</v>
      </c>
      <c r="S320">
        <v>22323592.670320898</v>
      </c>
      <c r="T320">
        <v>61</v>
      </c>
      <c r="U320" t="s">
        <v>1169</v>
      </c>
      <c r="W320" t="s">
        <v>591</v>
      </c>
      <c r="X320" t="str">
        <f t="shared" si="4"/>
        <v>QZ853233@TRAC Corp</v>
      </c>
      <c r="Y320" t="str">
        <f>_xlfn.IFNA(_xll.BDP(X320,"INTERVAL_SUM", "MARKET_DATA_OVERRIDE=px_volume", "CALC_INTERVAL=5D"), "")</f>
        <v>#N/A N/A</v>
      </c>
      <c r="Z320" t="str" cm="1">
        <f t="array" ref="Z320">_xll.BDP(B320, "CF_ACT_CASH_PAID_FOR_INT_DEBT")</f>
        <v>#N/A N/A</v>
      </c>
      <c r="AA320" t="str" cm="1">
        <f t="array" ref="AA320">_xll.BDP(B320, "TYPE_OF_BOND")</f>
        <v>#N/A Field Not Applicable</v>
      </c>
    </row>
    <row r="321" spans="1:27" x14ac:dyDescent="0.25">
      <c r="A321">
        <v>319</v>
      </c>
      <c r="B321" t="s">
        <v>723</v>
      </c>
      <c r="C321" s="4" t="s">
        <v>587</v>
      </c>
      <c r="D321" s="4">
        <v>5212325000</v>
      </c>
      <c r="E321" t="s">
        <v>17</v>
      </c>
      <c r="F321" s="1">
        <v>46321</v>
      </c>
      <c r="G321">
        <v>3.25</v>
      </c>
      <c r="H321" t="s">
        <v>9</v>
      </c>
      <c r="L321" t="s">
        <v>1168</v>
      </c>
      <c r="M321" t="s">
        <v>588</v>
      </c>
      <c r="N321" t="s">
        <v>589</v>
      </c>
      <c r="O321" t="s">
        <v>3159</v>
      </c>
      <c r="P321" t="s">
        <v>2663</v>
      </c>
      <c r="Q321" t="s">
        <v>2663</v>
      </c>
      <c r="R321" t="s">
        <v>724</v>
      </c>
      <c r="S321">
        <v>30832404.640655801</v>
      </c>
      <c r="T321">
        <v>95</v>
      </c>
      <c r="U321" t="s">
        <v>1169</v>
      </c>
      <c r="W321" t="s">
        <v>591</v>
      </c>
      <c r="X321" t="str">
        <f t="shared" si="4"/>
        <v>QZ853230@TRAC Corp</v>
      </c>
      <c r="Y321" t="str">
        <f>_xlfn.IFNA(_xll.BDP(X321,"INTERVAL_SUM", "MARKET_DATA_OVERRIDE=px_volume", "CALC_INTERVAL=5D"), "")</f>
        <v>#N/A N/A</v>
      </c>
      <c r="Z321" t="str" cm="1">
        <f t="array" ref="Z321">_xll.BDP(B321, "CF_ACT_CASH_PAID_FOR_INT_DEBT")</f>
        <v>#N/A N/A</v>
      </c>
      <c r="AA321" t="str" cm="1">
        <f t="array" ref="AA321">_xll.BDP(B321, "TYPE_OF_BOND")</f>
        <v>#N/A Field Not Applicable</v>
      </c>
    </row>
    <row r="322" spans="1:27" x14ac:dyDescent="0.25">
      <c r="A322">
        <v>320</v>
      </c>
      <c r="B322" t="s">
        <v>3668</v>
      </c>
      <c r="C322" s="4" t="s">
        <v>587</v>
      </c>
      <c r="D322" s="4">
        <v>1500000000</v>
      </c>
      <c r="E322" t="s">
        <v>17</v>
      </c>
      <c r="F322" s="1">
        <v>49870</v>
      </c>
      <c r="G322">
        <v>5.375</v>
      </c>
      <c r="H322" t="s">
        <v>9</v>
      </c>
      <c r="L322" t="s">
        <v>1168</v>
      </c>
      <c r="M322" t="s">
        <v>595</v>
      </c>
      <c r="N322" t="s">
        <v>537</v>
      </c>
      <c r="O322" t="s">
        <v>3160</v>
      </c>
      <c r="P322" t="s">
        <v>2664</v>
      </c>
      <c r="Q322" t="s">
        <v>3161</v>
      </c>
      <c r="R322" t="s">
        <v>3669</v>
      </c>
      <c r="S322">
        <v>13432867.847386099</v>
      </c>
      <c r="T322">
        <v>43</v>
      </c>
      <c r="U322" t="s">
        <v>1189</v>
      </c>
      <c r="W322" t="s">
        <v>591</v>
      </c>
      <c r="X322" t="str">
        <f t="shared" si="4"/>
        <v>DM906323@TRAC Corp</v>
      </c>
      <c r="Y322">
        <f>_xlfn.IFNA(_xll.BDP(X322,"INTERVAL_SUM", "MARKET_DATA_OVERRIDE=px_volume", "CALC_INTERVAL=5D"), "")</f>
        <v>5000</v>
      </c>
      <c r="Z322" t="str" cm="1">
        <f t="array" ref="Z322">_xll.BDP(B322, "CF_ACT_CASH_PAID_FOR_INT_DEBT")</f>
        <v>#N/A N/A</v>
      </c>
      <c r="AA322" t="str" cm="1">
        <f t="array" ref="AA322">_xll.BDP(B322, "TYPE_OF_BOND")</f>
        <v>Sukuk Al Mudarabah</v>
      </c>
    </row>
    <row r="323" spans="1:27" x14ac:dyDescent="0.25">
      <c r="A323">
        <v>321</v>
      </c>
      <c r="B323" t="s">
        <v>3670</v>
      </c>
      <c r="C323" s="4" t="s">
        <v>587</v>
      </c>
      <c r="D323" s="4">
        <v>1250000000</v>
      </c>
      <c r="E323" t="s">
        <v>17</v>
      </c>
      <c r="F323" s="1">
        <v>48227</v>
      </c>
      <c r="G323">
        <v>5</v>
      </c>
      <c r="H323" t="s">
        <v>9</v>
      </c>
      <c r="L323" t="s">
        <v>1168</v>
      </c>
      <c r="M323" t="s">
        <v>595</v>
      </c>
      <c r="N323" t="s">
        <v>537</v>
      </c>
      <c r="O323" t="s">
        <v>3160</v>
      </c>
      <c r="P323" t="s">
        <v>2664</v>
      </c>
      <c r="Q323" t="s">
        <v>3161</v>
      </c>
      <c r="R323" t="s">
        <v>3671</v>
      </c>
      <c r="S323">
        <v>11370027.754684299</v>
      </c>
      <c r="T323">
        <v>56</v>
      </c>
      <c r="U323" t="s">
        <v>1189</v>
      </c>
      <c r="W323" t="s">
        <v>591</v>
      </c>
      <c r="X323" t="str">
        <f t="shared" ref="X323:X386" si="5">SUBSTITUTE(B323," Corp","@TRAC Corp")</f>
        <v>DM906322@TRAC Corp</v>
      </c>
      <c r="Y323" t="str">
        <f>_xlfn.IFNA(_xll.BDP(X323,"INTERVAL_SUM", "MARKET_DATA_OVERRIDE=px_volume", "CALC_INTERVAL=5D"), "")</f>
        <v>#N/A N/A</v>
      </c>
      <c r="Z323" t="str" cm="1">
        <f t="array" ref="Z323">_xll.BDP(B323, "CF_ACT_CASH_PAID_FOR_INT_DEBT")</f>
        <v>#N/A N/A</v>
      </c>
      <c r="AA323" t="str" cm="1">
        <f t="array" ref="AA323">_xll.BDP(B323, "TYPE_OF_BOND")</f>
        <v>Sukuk Al Mudarabah</v>
      </c>
    </row>
    <row r="324" spans="1:27" x14ac:dyDescent="0.25">
      <c r="A324">
        <v>322</v>
      </c>
      <c r="B324" t="s">
        <v>3164</v>
      </c>
      <c r="C324" s="4" t="s">
        <v>587</v>
      </c>
      <c r="D324" s="4">
        <v>650000000</v>
      </c>
      <c r="E324" t="s">
        <v>17</v>
      </c>
      <c r="F324" s="1">
        <v>48029</v>
      </c>
      <c r="G324">
        <v>5.5</v>
      </c>
      <c r="H324" t="s">
        <v>9</v>
      </c>
      <c r="L324" t="s">
        <v>1168</v>
      </c>
      <c r="M324" t="s">
        <v>595</v>
      </c>
      <c r="N324" t="s">
        <v>537</v>
      </c>
      <c r="O324" t="s">
        <v>3165</v>
      </c>
      <c r="P324" t="s">
        <v>2664</v>
      </c>
      <c r="Q324" t="s">
        <v>3166</v>
      </c>
      <c r="R324" t="s">
        <v>3167</v>
      </c>
      <c r="S324">
        <v>32954898.028639901</v>
      </c>
      <c r="T324">
        <v>47</v>
      </c>
      <c r="U324" t="s">
        <v>1169</v>
      </c>
      <c r="W324" t="s">
        <v>591</v>
      </c>
      <c r="X324" t="str">
        <f t="shared" si="5"/>
        <v>DM262434@TRAC Corp</v>
      </c>
      <c r="Y324">
        <f>_xlfn.IFNA(_xll.BDP(X324,"INTERVAL_SUM", "MARKET_DATA_OVERRIDE=px_volume", "CALC_INTERVAL=5D"), "")</f>
        <v>7000</v>
      </c>
      <c r="Z324" cm="1">
        <f t="array" ref="Z324">_xll.BDP(B324, "CF_ACT_CASH_PAID_FOR_INT_DEBT")</f>
        <v>4462.7824758241495</v>
      </c>
      <c r="AA324" t="str" cm="1">
        <f t="array" ref="AA324">_xll.BDP(B324, "TYPE_OF_BOND")</f>
        <v>#N/A Field Not Applicable</v>
      </c>
    </row>
    <row r="325" spans="1:27" x14ac:dyDescent="0.25">
      <c r="A325">
        <v>323</v>
      </c>
      <c r="B325" t="s">
        <v>725</v>
      </c>
      <c r="C325" s="4" t="s">
        <v>587</v>
      </c>
      <c r="D325" s="4">
        <v>2500000000</v>
      </c>
      <c r="E325" t="s">
        <v>17</v>
      </c>
      <c r="F325" s="1">
        <v>57114</v>
      </c>
      <c r="G325">
        <v>6.25</v>
      </c>
      <c r="H325" t="s">
        <v>9</v>
      </c>
      <c r="L325" t="s">
        <v>1168</v>
      </c>
      <c r="M325" t="s">
        <v>595</v>
      </c>
      <c r="N325" t="s">
        <v>537</v>
      </c>
      <c r="O325" t="s">
        <v>3129</v>
      </c>
      <c r="P325" t="s">
        <v>2648</v>
      </c>
      <c r="Q325" t="s">
        <v>2648</v>
      </c>
      <c r="R325" t="s">
        <v>726</v>
      </c>
      <c r="S325">
        <v>25287907.7016696</v>
      </c>
      <c r="T325">
        <v>47</v>
      </c>
      <c r="U325" t="s">
        <v>1189</v>
      </c>
      <c r="W325" t="s">
        <v>591</v>
      </c>
      <c r="X325" t="str">
        <f t="shared" si="5"/>
        <v>DK431762@TRAC Corp</v>
      </c>
      <c r="Y325" t="str">
        <f>_xlfn.IFNA(_xll.BDP(X325,"INTERVAL_SUM", "MARKET_DATA_OVERRIDE=px_volume", "CALC_INTERVAL=5D"), "")</f>
        <v>#N/A N/A</v>
      </c>
      <c r="Z325" cm="1">
        <f t="array" ref="Z325">_xll.BDP(B325, "CF_ACT_CASH_PAID_FOR_INT_DEBT")</f>
        <v>4462.7824758241495</v>
      </c>
      <c r="AA325" t="str" cm="1">
        <f t="array" ref="AA325">_xll.BDP(B325, "TYPE_OF_BOND")</f>
        <v>#N/A Field Not Applicable</v>
      </c>
    </row>
    <row r="326" spans="1:27" x14ac:dyDescent="0.25">
      <c r="A326">
        <v>324</v>
      </c>
      <c r="B326" t="s">
        <v>727</v>
      </c>
      <c r="C326" s="4" t="s">
        <v>587</v>
      </c>
      <c r="D326" s="4">
        <v>2750000000</v>
      </c>
      <c r="E326" t="s">
        <v>17</v>
      </c>
      <c r="F326" s="1">
        <v>47252</v>
      </c>
      <c r="G326">
        <v>4.875</v>
      </c>
      <c r="H326" t="s">
        <v>9</v>
      </c>
      <c r="L326" t="s">
        <v>1168</v>
      </c>
      <c r="M326" t="s">
        <v>595</v>
      </c>
      <c r="N326" t="s">
        <v>537</v>
      </c>
      <c r="O326" t="s">
        <v>3129</v>
      </c>
      <c r="P326" t="s">
        <v>2648</v>
      </c>
      <c r="Q326" t="s">
        <v>2648</v>
      </c>
      <c r="R326" t="s">
        <v>728</v>
      </c>
      <c r="S326">
        <v>29684238.043088902</v>
      </c>
      <c r="T326">
        <v>74</v>
      </c>
      <c r="U326" t="s">
        <v>1189</v>
      </c>
      <c r="W326" t="s">
        <v>591</v>
      </c>
      <c r="X326" t="str">
        <f t="shared" si="5"/>
        <v>DK431761@TRAC Corp</v>
      </c>
      <c r="Y326" t="str">
        <f>_xlfn.IFNA(_xll.BDP(X326,"INTERVAL_SUM", "MARKET_DATA_OVERRIDE=px_volume", "CALC_INTERVAL=5D"), "")</f>
        <v>#N/A N/A</v>
      </c>
      <c r="Z326" cm="1">
        <f t="array" ref="Z326">_xll.BDP(B326, "CF_ACT_CASH_PAID_FOR_INT_DEBT")</f>
        <v>4462.7824758241495</v>
      </c>
      <c r="AA326" t="str" cm="1">
        <f t="array" ref="AA326">_xll.BDP(B326, "TYPE_OF_BOND")</f>
        <v>#N/A Field Not Applicable</v>
      </c>
    </row>
    <row r="327" spans="1:27" x14ac:dyDescent="0.25">
      <c r="A327">
        <v>325</v>
      </c>
      <c r="B327" t="s">
        <v>729</v>
      </c>
      <c r="C327" s="4" t="s">
        <v>587</v>
      </c>
      <c r="D327" s="4">
        <v>1750000000</v>
      </c>
      <c r="E327" t="s">
        <v>17</v>
      </c>
      <c r="F327" s="1">
        <v>48713</v>
      </c>
      <c r="G327">
        <v>5.25</v>
      </c>
      <c r="H327" t="s">
        <v>9</v>
      </c>
      <c r="L327" t="s">
        <v>1168</v>
      </c>
      <c r="M327" t="s">
        <v>595</v>
      </c>
      <c r="N327" t="s">
        <v>537</v>
      </c>
      <c r="O327" t="s">
        <v>3129</v>
      </c>
      <c r="P327" t="s">
        <v>2648</v>
      </c>
      <c r="Q327" t="s">
        <v>2648</v>
      </c>
      <c r="R327" t="s">
        <v>730</v>
      </c>
      <c r="S327">
        <v>26011037.872861899</v>
      </c>
      <c r="T327">
        <v>57</v>
      </c>
      <c r="U327" t="s">
        <v>1189</v>
      </c>
      <c r="W327" t="s">
        <v>591</v>
      </c>
      <c r="X327" t="str">
        <f t="shared" si="5"/>
        <v>DK431760@TRAC Corp</v>
      </c>
      <c r="Y327" t="str">
        <f>_xlfn.IFNA(_xll.BDP(X327,"INTERVAL_SUM", "MARKET_DATA_OVERRIDE=px_volume", "CALC_INTERVAL=5D"), "")</f>
        <v>#N/A N/A</v>
      </c>
      <c r="Z327" cm="1">
        <f t="array" ref="Z327">_xll.BDP(B327, "CF_ACT_CASH_PAID_FOR_INT_DEBT")</f>
        <v>4462.7824758241495</v>
      </c>
      <c r="AA327" t="str" cm="1">
        <f t="array" ref="AA327">_xll.BDP(B327, "TYPE_OF_BOND")</f>
        <v>#N/A Field Not Applicable</v>
      </c>
    </row>
    <row r="328" spans="1:27" x14ac:dyDescent="0.25">
      <c r="A328">
        <v>326</v>
      </c>
      <c r="B328" t="s">
        <v>731</v>
      </c>
      <c r="C328" s="4" t="s">
        <v>587</v>
      </c>
      <c r="D328" s="4">
        <v>3500000000</v>
      </c>
      <c r="E328" t="s">
        <v>17</v>
      </c>
      <c r="F328" s="1">
        <v>56991</v>
      </c>
      <c r="G328">
        <v>5.875</v>
      </c>
      <c r="H328" t="s">
        <v>9</v>
      </c>
      <c r="L328" t="s">
        <v>1168</v>
      </c>
      <c r="M328" t="s">
        <v>588</v>
      </c>
      <c r="N328" t="s">
        <v>589</v>
      </c>
      <c r="O328" t="s">
        <v>3159</v>
      </c>
      <c r="P328" t="s">
        <v>2663</v>
      </c>
      <c r="Q328" t="s">
        <v>2663</v>
      </c>
      <c r="R328" t="s">
        <v>732</v>
      </c>
      <c r="S328">
        <v>14054707.9701843</v>
      </c>
      <c r="T328">
        <v>59</v>
      </c>
      <c r="U328" t="s">
        <v>1169</v>
      </c>
      <c r="W328" t="s">
        <v>591</v>
      </c>
      <c r="X328" t="str">
        <f t="shared" si="5"/>
        <v>DC701675@TRAC Corp</v>
      </c>
      <c r="Y328" t="str">
        <f>_xlfn.IFNA(_xll.BDP(X328,"INTERVAL_SUM", "MARKET_DATA_OVERRIDE=px_volume", "CALC_INTERVAL=5D"), "")</f>
        <v>#N/A N/A</v>
      </c>
      <c r="Z328" t="str" cm="1">
        <f t="array" ref="Z328">_xll.BDP(B328, "CF_ACT_CASH_PAID_FOR_INT_DEBT")</f>
        <v>#N/A N/A</v>
      </c>
      <c r="AA328" t="str" cm="1">
        <f t="array" ref="AA328">_xll.BDP(B328, "TYPE_OF_BOND")</f>
        <v>#N/A Field Not Applicable</v>
      </c>
    </row>
    <row r="329" spans="1:27" x14ac:dyDescent="0.25">
      <c r="A329">
        <v>327</v>
      </c>
      <c r="B329" t="s">
        <v>733</v>
      </c>
      <c r="C329" s="4" t="s">
        <v>587</v>
      </c>
      <c r="D329" s="4">
        <v>2750000000</v>
      </c>
      <c r="E329" t="s">
        <v>17</v>
      </c>
      <c r="F329" s="1">
        <v>49686</v>
      </c>
      <c r="G329">
        <v>4.875</v>
      </c>
      <c r="H329" t="s">
        <v>9</v>
      </c>
      <c r="L329" t="s">
        <v>1168</v>
      </c>
      <c r="M329" t="s">
        <v>588</v>
      </c>
      <c r="N329" t="s">
        <v>589</v>
      </c>
      <c r="O329" t="s">
        <v>3159</v>
      </c>
      <c r="P329" t="s">
        <v>2663</v>
      </c>
      <c r="Q329" t="s">
        <v>2663</v>
      </c>
      <c r="R329" t="s">
        <v>734</v>
      </c>
      <c r="S329">
        <v>21575584.015160199</v>
      </c>
      <c r="T329">
        <v>72</v>
      </c>
      <c r="U329" t="s">
        <v>1169</v>
      </c>
      <c r="W329" t="s">
        <v>591</v>
      </c>
      <c r="X329" t="str">
        <f t="shared" si="5"/>
        <v>DC701674@TRAC Corp</v>
      </c>
      <c r="Y329" t="str">
        <f>_xlfn.IFNA(_xll.BDP(X329,"INTERVAL_SUM", "MARKET_DATA_OVERRIDE=px_volume", "CALC_INTERVAL=5D"), "")</f>
        <v>#N/A N/A</v>
      </c>
      <c r="Z329" t="str" cm="1">
        <f t="array" ref="Z329">_xll.BDP(B329, "CF_ACT_CASH_PAID_FOR_INT_DEBT")</f>
        <v>#N/A N/A</v>
      </c>
      <c r="AA329" t="str" cm="1">
        <f t="array" ref="AA329">_xll.BDP(B329, "TYPE_OF_BOND")</f>
        <v>#N/A Field Not Applicable</v>
      </c>
    </row>
    <row r="330" spans="1:27" x14ac:dyDescent="0.25">
      <c r="A330">
        <v>328</v>
      </c>
      <c r="B330" t="s">
        <v>735</v>
      </c>
      <c r="C330" s="4" t="s">
        <v>587</v>
      </c>
      <c r="D330" s="4">
        <v>2750000000</v>
      </c>
      <c r="E330" t="s">
        <v>17</v>
      </c>
      <c r="F330" s="1">
        <v>47860</v>
      </c>
      <c r="G330">
        <v>4.375</v>
      </c>
      <c r="H330" t="s">
        <v>9</v>
      </c>
      <c r="L330" t="s">
        <v>1168</v>
      </c>
      <c r="M330" t="s">
        <v>588</v>
      </c>
      <c r="N330" t="s">
        <v>589</v>
      </c>
      <c r="O330" t="s">
        <v>3159</v>
      </c>
      <c r="P330" t="s">
        <v>2663</v>
      </c>
      <c r="Q330" t="s">
        <v>2663</v>
      </c>
      <c r="R330" t="s">
        <v>736</v>
      </c>
      <c r="S330">
        <v>34104942.932677299</v>
      </c>
      <c r="T330">
        <v>78</v>
      </c>
      <c r="U330" t="s">
        <v>1169</v>
      </c>
      <c r="W330" t="s">
        <v>591</v>
      </c>
      <c r="X330" t="str">
        <f t="shared" si="5"/>
        <v>DC701673@TRAC Corp</v>
      </c>
      <c r="Y330" t="str">
        <f>_xlfn.IFNA(_xll.BDP(X330,"INTERVAL_SUM", "MARKET_DATA_OVERRIDE=px_volume", "CALC_INTERVAL=5D"), "")</f>
        <v>#N/A N/A</v>
      </c>
      <c r="Z330" t="str" cm="1">
        <f t="array" ref="Z330">_xll.BDP(B330, "CF_ACT_CASH_PAID_FOR_INT_DEBT")</f>
        <v>#N/A N/A</v>
      </c>
      <c r="AA330" t="str" cm="1">
        <f t="array" ref="AA330">_xll.BDP(B330, "TYPE_OF_BOND")</f>
        <v>#N/A Field Not Applicable</v>
      </c>
    </row>
    <row r="331" spans="1:27" x14ac:dyDescent="0.25">
      <c r="A331">
        <v>329</v>
      </c>
      <c r="B331" t="s">
        <v>737</v>
      </c>
      <c r="C331" s="4" t="s">
        <v>587</v>
      </c>
      <c r="D331" s="4">
        <v>2500000000</v>
      </c>
      <c r="E331" t="s">
        <v>17</v>
      </c>
      <c r="F331" s="1">
        <v>47130</v>
      </c>
      <c r="G331">
        <v>4.125</v>
      </c>
      <c r="H331" t="s">
        <v>9</v>
      </c>
      <c r="L331" t="s">
        <v>1168</v>
      </c>
      <c r="M331" t="s">
        <v>588</v>
      </c>
      <c r="N331" t="s">
        <v>589</v>
      </c>
      <c r="O331" t="s">
        <v>3159</v>
      </c>
      <c r="P331" t="s">
        <v>2663</v>
      </c>
      <c r="Q331" t="s">
        <v>2663</v>
      </c>
      <c r="R331" t="s">
        <v>738</v>
      </c>
      <c r="S331">
        <v>30084738.622909401</v>
      </c>
      <c r="T331">
        <v>82</v>
      </c>
      <c r="U331" t="s">
        <v>1169</v>
      </c>
      <c r="W331" t="s">
        <v>591</v>
      </c>
      <c r="X331" t="str">
        <f t="shared" si="5"/>
        <v>DC701670@TRAC Corp</v>
      </c>
      <c r="Y331" t="str">
        <f>_xlfn.IFNA(_xll.BDP(X331,"INTERVAL_SUM", "MARKET_DATA_OVERRIDE=px_volume", "CALC_INTERVAL=5D"), "")</f>
        <v>#N/A N/A</v>
      </c>
      <c r="Z331" t="str" cm="1">
        <f t="array" ref="Z331">_xll.BDP(B331, "CF_ACT_CASH_PAID_FOR_INT_DEBT")</f>
        <v>#N/A N/A</v>
      </c>
      <c r="AA331" t="str" cm="1">
        <f t="array" ref="AA331">_xll.BDP(B331, "TYPE_OF_BOND")</f>
        <v>#N/A Field Not Applicable</v>
      </c>
    </row>
    <row r="332" spans="1:27" x14ac:dyDescent="0.25">
      <c r="A332">
        <v>330</v>
      </c>
      <c r="B332" t="s">
        <v>739</v>
      </c>
      <c r="C332" s="4" t="s">
        <v>587</v>
      </c>
      <c r="D332" s="4">
        <v>975000000</v>
      </c>
      <c r="E332" t="s">
        <v>17</v>
      </c>
      <c r="F332" s="1">
        <v>48153</v>
      </c>
      <c r="G332">
        <v>7</v>
      </c>
      <c r="H332" t="s">
        <v>9</v>
      </c>
      <c r="L332" t="s">
        <v>1168</v>
      </c>
      <c r="M332" t="s">
        <v>10</v>
      </c>
      <c r="N332" t="s">
        <v>36</v>
      </c>
      <c r="O332" t="s">
        <v>3162</v>
      </c>
      <c r="P332" t="s">
        <v>2666</v>
      </c>
      <c r="Q332" t="s">
        <v>3163</v>
      </c>
      <c r="R332" t="s">
        <v>740</v>
      </c>
      <c r="S332">
        <v>4159539.5658947099</v>
      </c>
      <c r="T332">
        <v>8</v>
      </c>
      <c r="W332" t="s">
        <v>591</v>
      </c>
      <c r="X332" t="str">
        <f t="shared" si="5"/>
        <v>DA348427@TRAC Corp</v>
      </c>
      <c r="Y332">
        <f>_xlfn.IFNA(_xll.BDP(X332,"INTERVAL_SUM", "MARKET_DATA_OVERRIDE=px_volume", "CALC_INTERVAL=5D"), "")</f>
        <v>3000</v>
      </c>
      <c r="Z332" cm="1">
        <f t="array" ref="Z332">_xll.BDP(B332, "CF_ACT_CASH_PAID_FOR_INT_DEBT")</f>
        <v>55.819000000000003</v>
      </c>
      <c r="AA332" t="str" cm="1">
        <f t="array" ref="AA332">_xll.BDP(B332, "TYPE_OF_BOND")</f>
        <v>Convertible</v>
      </c>
    </row>
    <row r="333" spans="1:27" x14ac:dyDescent="0.25">
      <c r="A333">
        <v>331</v>
      </c>
      <c r="B333" t="s">
        <v>741</v>
      </c>
      <c r="C333" s="4" t="s">
        <v>587</v>
      </c>
      <c r="D333" s="4">
        <v>850000000</v>
      </c>
      <c r="E333" t="s">
        <v>17</v>
      </c>
      <c r="F333" s="1">
        <v>47799</v>
      </c>
      <c r="G333">
        <v>4.75</v>
      </c>
      <c r="H333" t="s">
        <v>9</v>
      </c>
      <c r="L333" t="s">
        <v>1168</v>
      </c>
      <c r="M333" t="s">
        <v>595</v>
      </c>
      <c r="N333" t="s">
        <v>537</v>
      </c>
      <c r="O333" t="s">
        <v>3165</v>
      </c>
      <c r="P333" t="s">
        <v>2664</v>
      </c>
      <c r="Q333" t="s">
        <v>3166</v>
      </c>
      <c r="R333" t="s">
        <v>742</v>
      </c>
      <c r="S333">
        <v>26646789.713999402</v>
      </c>
      <c r="T333">
        <v>55</v>
      </c>
      <c r="U333" t="s">
        <v>1169</v>
      </c>
      <c r="W333" t="s">
        <v>591</v>
      </c>
      <c r="X333" t="str">
        <f t="shared" si="5"/>
        <v>DA069590@TRAC Corp</v>
      </c>
      <c r="Y333" t="str">
        <f>_xlfn.IFNA(_xll.BDP(X333,"INTERVAL_SUM", "MARKET_DATA_OVERRIDE=px_volume", "CALC_INTERVAL=5D"), "")</f>
        <v>#N/A N/A</v>
      </c>
      <c r="Z333" cm="1">
        <f t="array" ref="Z333">_xll.BDP(B333, "CF_ACT_CASH_PAID_FOR_INT_DEBT")</f>
        <v>4462.7824758241495</v>
      </c>
      <c r="AA333" t="str" cm="1">
        <f t="array" ref="AA333">_xll.BDP(B333, "TYPE_OF_BOND")</f>
        <v>#N/A Field Not Applicable</v>
      </c>
    </row>
    <row r="334" spans="1:27" x14ac:dyDescent="0.25">
      <c r="A334">
        <v>332</v>
      </c>
      <c r="B334" t="s">
        <v>743</v>
      </c>
      <c r="C334" s="4" t="s">
        <v>587</v>
      </c>
      <c r="D334" s="4">
        <v>2500000000</v>
      </c>
      <c r="E334" t="s">
        <v>17</v>
      </c>
      <c r="F334" s="1">
        <v>48512</v>
      </c>
      <c r="G334">
        <v>5.5</v>
      </c>
      <c r="H334" t="s">
        <v>9</v>
      </c>
      <c r="L334" t="s">
        <v>1168</v>
      </c>
      <c r="M334" t="s">
        <v>588</v>
      </c>
      <c r="N334" t="s">
        <v>589</v>
      </c>
      <c r="O334" t="s">
        <v>3159</v>
      </c>
      <c r="P334" t="s">
        <v>2663</v>
      </c>
      <c r="Q334" t="s">
        <v>2663</v>
      </c>
      <c r="R334" t="s">
        <v>744</v>
      </c>
      <c r="S334">
        <v>17080317.330615301</v>
      </c>
      <c r="T334">
        <v>67</v>
      </c>
      <c r="U334" t="s">
        <v>1169</v>
      </c>
      <c r="W334" t="s">
        <v>591</v>
      </c>
      <c r="X334" t="str">
        <f t="shared" si="5"/>
        <v>BZ808876@TRAC Corp</v>
      </c>
      <c r="Y334" t="str">
        <f>_xlfn.IFNA(_xll.BDP(X334,"INTERVAL_SUM", "MARKET_DATA_OVERRIDE=px_volume", "CALC_INTERVAL=5D"), "")</f>
        <v>#N/A N/A</v>
      </c>
      <c r="Z334" t="str" cm="1">
        <f t="array" ref="Z334">_xll.BDP(B334, "CF_ACT_CASH_PAID_FOR_INT_DEBT")</f>
        <v>#N/A N/A</v>
      </c>
      <c r="AA334" t="str" cm="1">
        <f t="array" ref="AA334">_xll.BDP(B334, "TYPE_OF_BOND")</f>
        <v>#N/A Field Not Applicable</v>
      </c>
    </row>
    <row r="335" spans="1:27" x14ac:dyDescent="0.25">
      <c r="A335">
        <v>333</v>
      </c>
      <c r="B335" t="s">
        <v>745</v>
      </c>
      <c r="C335" s="4" t="s">
        <v>587</v>
      </c>
      <c r="D335" s="4">
        <v>2500000000</v>
      </c>
      <c r="E335" s="1" t="s">
        <v>17</v>
      </c>
      <c r="F335" s="1">
        <v>47051</v>
      </c>
      <c r="G335">
        <v>5.2679999999999998</v>
      </c>
      <c r="H335" t="s">
        <v>9</v>
      </c>
      <c r="L335" t="s">
        <v>1168</v>
      </c>
      <c r="M335" t="s">
        <v>595</v>
      </c>
      <c r="N335" t="s">
        <v>589</v>
      </c>
      <c r="O335" t="s">
        <v>3159</v>
      </c>
      <c r="P335" t="s">
        <v>2663</v>
      </c>
      <c r="Q335" t="s">
        <v>2663</v>
      </c>
      <c r="R335" t="s">
        <v>746</v>
      </c>
      <c r="S335">
        <v>30699692.3971164</v>
      </c>
      <c r="T335">
        <v>79</v>
      </c>
      <c r="U335" t="s">
        <v>1169</v>
      </c>
      <c r="W335" t="s">
        <v>591</v>
      </c>
      <c r="X335" t="str">
        <f t="shared" si="5"/>
        <v>BZ808875@TRAC Corp</v>
      </c>
      <c r="Y335" t="str">
        <f>_xlfn.IFNA(_xll.BDP(X335,"INTERVAL_SUM", "MARKET_DATA_OVERRIDE=px_volume", "CALC_INTERVAL=5D"), "")</f>
        <v>#N/A N/A</v>
      </c>
      <c r="Z335" t="str" cm="1">
        <f t="array" ref="Z335">_xll.BDP(B335, "CF_ACT_CASH_PAID_FOR_INT_DEBT")</f>
        <v>#N/A N/A</v>
      </c>
      <c r="AA335" t="str" cm="1">
        <f t="array" ref="AA335">_xll.BDP(B335, "TYPE_OF_BOND")</f>
        <v>Sukuk Al Mudarabah</v>
      </c>
    </row>
    <row r="336" spans="1:27" x14ac:dyDescent="0.25">
      <c r="A336">
        <v>334</v>
      </c>
      <c r="B336" t="s">
        <v>747</v>
      </c>
      <c r="C336" s="4" t="s">
        <v>587</v>
      </c>
      <c r="D336" s="4">
        <v>500000000</v>
      </c>
      <c r="E336" s="1" t="s">
        <v>17</v>
      </c>
      <c r="F336" s="1">
        <v>81371</v>
      </c>
      <c r="G336">
        <v>5.375</v>
      </c>
      <c r="H336" t="s">
        <v>9</v>
      </c>
      <c r="L336" t="s">
        <v>1168</v>
      </c>
      <c r="M336" t="s">
        <v>595</v>
      </c>
      <c r="N336" t="s">
        <v>537</v>
      </c>
      <c r="O336" t="s">
        <v>3129</v>
      </c>
      <c r="P336" t="s">
        <v>2648</v>
      </c>
      <c r="Q336" t="s">
        <v>2648</v>
      </c>
      <c r="R336" t="s">
        <v>748</v>
      </c>
      <c r="S336">
        <v>11850174.932275901</v>
      </c>
      <c r="T336">
        <v>32</v>
      </c>
      <c r="W336" t="s">
        <v>591</v>
      </c>
      <c r="X336" t="str">
        <f t="shared" si="5"/>
        <v>BZ539770@TRAC Corp</v>
      </c>
      <c r="Y336" t="str">
        <f>_xlfn.IFNA(_xll.BDP(X336,"INTERVAL_SUM", "MARKET_DATA_OVERRIDE=px_volume", "CALC_INTERVAL=5D"), "")</f>
        <v>#N/A N/A</v>
      </c>
      <c r="Z336" cm="1">
        <f t="array" ref="Z336">_xll.BDP(B336, "CF_ACT_CASH_PAID_FOR_INT_DEBT")</f>
        <v>4462.7824758241495</v>
      </c>
      <c r="AA336" t="str" cm="1">
        <f t="array" ref="AA336">_xll.BDP(B336, "TYPE_OF_BOND")</f>
        <v>#N/A Field Not Applicable</v>
      </c>
    </row>
    <row r="337" spans="1:27" x14ac:dyDescent="0.25">
      <c r="A337">
        <v>335</v>
      </c>
      <c r="B337" t="s">
        <v>749</v>
      </c>
      <c r="C337" s="4" t="s">
        <v>587</v>
      </c>
      <c r="D337" s="4">
        <v>1750000000</v>
      </c>
      <c r="E337" t="s">
        <v>17</v>
      </c>
      <c r="F337" s="1">
        <v>48500</v>
      </c>
      <c r="G337">
        <v>5.25</v>
      </c>
      <c r="H337" t="s">
        <v>9</v>
      </c>
      <c r="L337" t="s">
        <v>1168</v>
      </c>
      <c r="M337" t="s">
        <v>595</v>
      </c>
      <c r="N337" t="s">
        <v>537</v>
      </c>
      <c r="O337" t="s">
        <v>3129</v>
      </c>
      <c r="P337" t="s">
        <v>2648</v>
      </c>
      <c r="Q337" t="s">
        <v>2648</v>
      </c>
      <c r="R337" t="s">
        <v>750</v>
      </c>
      <c r="S337">
        <v>29236227.464582499</v>
      </c>
      <c r="T337">
        <v>59</v>
      </c>
      <c r="W337" t="s">
        <v>591</v>
      </c>
      <c r="X337" t="str">
        <f t="shared" si="5"/>
        <v>BZ343560@TRAC Corp</v>
      </c>
      <c r="Y337" t="str">
        <f>_xlfn.IFNA(_xll.BDP(X337,"INTERVAL_SUM", "MARKET_DATA_OVERRIDE=px_volume", "CALC_INTERVAL=5D"), "")</f>
        <v>#N/A N/A</v>
      </c>
      <c r="Z337" cm="1">
        <f t="array" ref="Z337">_xll.BDP(B337, "CF_ACT_CASH_PAID_FOR_INT_DEBT")</f>
        <v>4462.7824758241495</v>
      </c>
      <c r="AA337" t="str" cm="1">
        <f t="array" ref="AA337">_xll.BDP(B337, "TYPE_OF_BOND")</f>
        <v>#N/A Field Not Applicable</v>
      </c>
    </row>
    <row r="338" spans="1:27" x14ac:dyDescent="0.25">
      <c r="A338">
        <v>336</v>
      </c>
      <c r="B338" t="s">
        <v>751</v>
      </c>
      <c r="C338" s="4" t="s">
        <v>587</v>
      </c>
      <c r="D338" s="4">
        <v>1250000000</v>
      </c>
      <c r="E338" t="s">
        <v>17</v>
      </c>
      <c r="F338" s="1">
        <v>46673</v>
      </c>
      <c r="G338">
        <v>5</v>
      </c>
      <c r="H338" t="s">
        <v>9</v>
      </c>
      <c r="L338" t="s">
        <v>1168</v>
      </c>
      <c r="M338" t="s">
        <v>595</v>
      </c>
      <c r="N338" t="s">
        <v>537</v>
      </c>
      <c r="O338" t="s">
        <v>3129</v>
      </c>
      <c r="P338" t="s">
        <v>2648</v>
      </c>
      <c r="Q338" t="s">
        <v>2648</v>
      </c>
      <c r="R338" t="s">
        <v>752</v>
      </c>
      <c r="S338">
        <v>32972765.4241919</v>
      </c>
      <c r="T338">
        <v>74</v>
      </c>
      <c r="W338" t="s">
        <v>591</v>
      </c>
      <c r="X338" t="str">
        <f t="shared" si="5"/>
        <v>BZ343554@TRAC Corp</v>
      </c>
      <c r="Y338" t="str">
        <f>_xlfn.IFNA(_xll.BDP(X338,"INTERVAL_SUM", "MARKET_DATA_OVERRIDE=px_volume", "CALC_INTERVAL=5D"), "")</f>
        <v>#N/A N/A</v>
      </c>
      <c r="Z338" cm="1">
        <f t="array" ref="Z338">_xll.BDP(B338, "CF_ACT_CASH_PAID_FOR_INT_DEBT")</f>
        <v>4462.7824758241495</v>
      </c>
      <c r="AA338" t="str" cm="1">
        <f t="array" ref="AA338">_xll.BDP(B338, "TYPE_OF_BOND")</f>
        <v>#N/A Field Not Applicable</v>
      </c>
    </row>
    <row r="339" spans="1:27" x14ac:dyDescent="0.25">
      <c r="A339">
        <v>337</v>
      </c>
      <c r="B339" t="s">
        <v>753</v>
      </c>
      <c r="C339" s="4" t="s">
        <v>587</v>
      </c>
      <c r="D339" s="4">
        <v>3000000000</v>
      </c>
      <c r="E339" t="s">
        <v>17</v>
      </c>
      <c r="F339" s="1">
        <v>48482</v>
      </c>
      <c r="G339">
        <v>4.0199999999999996</v>
      </c>
      <c r="H339" t="s">
        <v>9</v>
      </c>
      <c r="L339" t="s">
        <v>1187</v>
      </c>
      <c r="M339" t="s">
        <v>588</v>
      </c>
      <c r="N339" t="s">
        <v>537</v>
      </c>
      <c r="O339" t="s">
        <v>3160</v>
      </c>
      <c r="P339" t="s">
        <v>2664</v>
      </c>
      <c r="Q339" t="s">
        <v>3161</v>
      </c>
      <c r="R339" t="s">
        <v>754</v>
      </c>
      <c r="S339">
        <v>-9997</v>
      </c>
      <c r="U339" t="s">
        <v>1188</v>
      </c>
      <c r="W339" t="s">
        <v>591</v>
      </c>
      <c r="X339" t="str">
        <f t="shared" si="5"/>
        <v>BZ168973@TRAC Corp</v>
      </c>
      <c r="Y339" t="str">
        <f>_xlfn.IFNA(_xll.BDP(X339,"INTERVAL_SUM", "MARKET_DATA_OVERRIDE=px_volume", "CALC_INTERVAL=5D"), "")</f>
        <v>#N/A N/A</v>
      </c>
      <c r="Z339" t="str" cm="1">
        <f t="array" ref="Z339">_xll.BDP(B339, "CF_ACT_CASH_PAID_FOR_INT_DEBT")</f>
        <v>#N/A N/A</v>
      </c>
      <c r="AA339" t="str" cm="1">
        <f t="array" ref="AA339">_xll.BDP(B339, "TYPE_OF_BOND")</f>
        <v>Sukuk Al Mudarabah</v>
      </c>
    </row>
    <row r="340" spans="1:27" x14ac:dyDescent="0.25">
      <c r="A340">
        <v>338</v>
      </c>
      <c r="B340" t="s">
        <v>755</v>
      </c>
      <c r="C340" s="4" t="s">
        <v>587</v>
      </c>
      <c r="D340" s="4">
        <v>6163130000</v>
      </c>
      <c r="E340" t="s">
        <v>17</v>
      </c>
      <c r="F340" s="1">
        <v>49118</v>
      </c>
      <c r="G340">
        <v>4.3</v>
      </c>
      <c r="H340" t="s">
        <v>9</v>
      </c>
      <c r="L340" t="s">
        <v>1187</v>
      </c>
      <c r="M340" t="s">
        <v>588</v>
      </c>
      <c r="N340" t="s">
        <v>589</v>
      </c>
      <c r="O340" t="s">
        <v>3159</v>
      </c>
      <c r="P340" t="s">
        <v>2663</v>
      </c>
      <c r="Q340" t="s">
        <v>2663</v>
      </c>
      <c r="R340" t="s">
        <v>756</v>
      </c>
      <c r="S340">
        <v>1027012454.83356</v>
      </c>
      <c r="T340">
        <v>71</v>
      </c>
      <c r="U340">
        <v>5326</v>
      </c>
      <c r="W340" t="s">
        <v>591</v>
      </c>
      <c r="X340" t="str">
        <f t="shared" si="5"/>
        <v>BX289119@TRAC Corp</v>
      </c>
      <c r="Y340" t="str">
        <f>_xlfn.IFNA(_xll.BDP(X340,"INTERVAL_SUM", "MARKET_DATA_OVERRIDE=px_volume", "CALC_INTERVAL=5D"), "")</f>
        <v>#N/A N/A</v>
      </c>
      <c r="Z340" t="str" cm="1">
        <f t="array" ref="Z340">_xll.BDP(B340, "CF_ACT_CASH_PAID_FOR_INT_DEBT")</f>
        <v>#N/A N/A</v>
      </c>
      <c r="AA340" t="str" cm="1">
        <f t="array" ref="AA340">_xll.BDP(B340, "TYPE_OF_BOND")</f>
        <v>Sukuk Al Mudarabah</v>
      </c>
    </row>
    <row r="341" spans="1:27" x14ac:dyDescent="0.25">
      <c r="A341">
        <v>339</v>
      </c>
      <c r="B341" t="s">
        <v>757</v>
      </c>
      <c r="C341" s="4" t="s">
        <v>587</v>
      </c>
      <c r="D341" s="4">
        <v>10216000000</v>
      </c>
      <c r="E341" t="s">
        <v>17</v>
      </c>
      <c r="F341" s="1">
        <v>47657</v>
      </c>
      <c r="G341">
        <v>3.95</v>
      </c>
      <c r="H341" t="s">
        <v>9</v>
      </c>
      <c r="L341" t="s">
        <v>1187</v>
      </c>
      <c r="M341" t="s">
        <v>588</v>
      </c>
      <c r="N341" t="s">
        <v>589</v>
      </c>
      <c r="O341" t="s">
        <v>3159</v>
      </c>
      <c r="P341" t="s">
        <v>2663</v>
      </c>
      <c r="Q341" t="s">
        <v>2663</v>
      </c>
      <c r="R341" t="s">
        <v>758</v>
      </c>
      <c r="S341">
        <v>709989029.389292</v>
      </c>
      <c r="T341">
        <v>81</v>
      </c>
      <c r="U341">
        <v>5325</v>
      </c>
      <c r="W341" t="s">
        <v>591</v>
      </c>
      <c r="X341" t="str">
        <f t="shared" si="5"/>
        <v>BX289118@TRAC Corp</v>
      </c>
      <c r="Y341" t="str">
        <f>_xlfn.IFNA(_xll.BDP(X341,"INTERVAL_SUM", "MARKET_DATA_OVERRIDE=px_volume", "CALC_INTERVAL=5D"), "")</f>
        <v>#N/A N/A</v>
      </c>
      <c r="Z341" t="str" cm="1">
        <f t="array" ref="Z341">_xll.BDP(B341, "CF_ACT_CASH_PAID_FOR_INT_DEBT")</f>
        <v>#N/A N/A</v>
      </c>
      <c r="AA341" t="str" cm="1">
        <f t="array" ref="AA341">_xll.BDP(B341, "TYPE_OF_BOND")</f>
        <v>Sukuk Al Mudarabah</v>
      </c>
    </row>
    <row r="342" spans="1:27" x14ac:dyDescent="0.25">
      <c r="A342">
        <v>340</v>
      </c>
      <c r="B342" t="s">
        <v>759</v>
      </c>
      <c r="C342" s="4" t="s">
        <v>587</v>
      </c>
      <c r="D342" s="4">
        <v>4000000000</v>
      </c>
      <c r="E342" t="s">
        <v>17</v>
      </c>
      <c r="F342" s="1">
        <v>47579</v>
      </c>
      <c r="G342">
        <v>3.53</v>
      </c>
      <c r="H342" t="s">
        <v>9</v>
      </c>
      <c r="L342" t="s">
        <v>1187</v>
      </c>
      <c r="M342" t="s">
        <v>588</v>
      </c>
      <c r="N342" t="s">
        <v>537</v>
      </c>
      <c r="O342" t="s">
        <v>3160</v>
      </c>
      <c r="P342" t="s">
        <v>2664</v>
      </c>
      <c r="Q342" t="s">
        <v>3161</v>
      </c>
      <c r="R342" t="s">
        <v>760</v>
      </c>
      <c r="S342">
        <v>-9997</v>
      </c>
      <c r="U342" t="s">
        <v>1188</v>
      </c>
      <c r="W342" t="s">
        <v>591</v>
      </c>
      <c r="X342" t="str">
        <f t="shared" si="5"/>
        <v>BV790215@TRAC Corp</v>
      </c>
      <c r="Y342" t="str">
        <f>_xlfn.IFNA(_xll.BDP(X342,"INTERVAL_SUM", "MARKET_DATA_OVERRIDE=px_volume", "CALC_INTERVAL=5D"), "")</f>
        <v>#N/A N/A</v>
      </c>
      <c r="Z342" t="str" cm="1">
        <f t="array" ref="Z342">_xll.BDP(B342, "CF_ACT_CASH_PAID_FOR_INT_DEBT")</f>
        <v>#N/A N/A</v>
      </c>
      <c r="AA342" t="str" cm="1">
        <f t="array" ref="AA342">_xll.BDP(B342, "TYPE_OF_BOND")</f>
        <v>Sukuk Al Mudarabah</v>
      </c>
    </row>
    <row r="343" spans="1:27" x14ac:dyDescent="0.25">
      <c r="A343">
        <v>341</v>
      </c>
      <c r="B343" t="s">
        <v>761</v>
      </c>
      <c r="C343" s="4" t="s">
        <v>587</v>
      </c>
      <c r="D343" s="4">
        <v>4485944000</v>
      </c>
      <c r="E343" t="s">
        <v>17</v>
      </c>
      <c r="F343" s="1">
        <v>46463</v>
      </c>
      <c r="G343">
        <v>2.6</v>
      </c>
      <c r="H343" t="s">
        <v>9</v>
      </c>
      <c r="L343" t="s">
        <v>1187</v>
      </c>
      <c r="M343" t="s">
        <v>588</v>
      </c>
      <c r="N343" t="s">
        <v>589</v>
      </c>
      <c r="O343" t="s">
        <v>3159</v>
      </c>
      <c r="P343" t="s">
        <v>2663</v>
      </c>
      <c r="Q343" t="s">
        <v>2663</v>
      </c>
      <c r="R343" t="s">
        <v>762</v>
      </c>
      <c r="S343">
        <v>308105105.68305397</v>
      </c>
      <c r="T343">
        <v>93</v>
      </c>
      <c r="U343">
        <v>5320</v>
      </c>
      <c r="W343" t="s">
        <v>591</v>
      </c>
      <c r="X343" t="str">
        <f t="shared" si="5"/>
        <v>BV337531@TRAC Corp</v>
      </c>
      <c r="Y343" t="str">
        <f>_xlfn.IFNA(_xll.BDP(X343,"INTERVAL_SUM", "MARKET_DATA_OVERRIDE=px_volume", "CALC_INTERVAL=5D"), "")</f>
        <v>#N/A N/A</v>
      </c>
      <c r="Z343" t="str" cm="1">
        <f t="array" ref="Z343">_xll.BDP(B343, "CF_ACT_CASH_PAID_FOR_INT_DEBT")</f>
        <v>#N/A N/A</v>
      </c>
      <c r="AA343" t="str" cm="1">
        <f t="array" ref="AA343">_xll.BDP(B343, "TYPE_OF_BOND")</f>
        <v>Sukuk Al Mudarabah</v>
      </c>
    </row>
    <row r="344" spans="1:27" x14ac:dyDescent="0.25">
      <c r="A344">
        <v>342</v>
      </c>
      <c r="B344" t="s">
        <v>763</v>
      </c>
      <c r="C344" s="4" t="s">
        <v>587</v>
      </c>
      <c r="D344" s="4">
        <v>1345000000</v>
      </c>
      <c r="E344" t="s">
        <v>17</v>
      </c>
      <c r="F344" s="1">
        <v>47194</v>
      </c>
      <c r="G344">
        <v>2.7</v>
      </c>
      <c r="H344" t="s">
        <v>9</v>
      </c>
      <c r="L344" t="s">
        <v>1187</v>
      </c>
      <c r="M344" t="s">
        <v>588</v>
      </c>
      <c r="N344" t="s">
        <v>589</v>
      </c>
      <c r="O344" t="s">
        <v>3159</v>
      </c>
      <c r="P344" t="s">
        <v>2663</v>
      </c>
      <c r="Q344" t="s">
        <v>2663</v>
      </c>
      <c r="R344" t="s">
        <v>764</v>
      </c>
      <c r="S344">
        <v>103969414.62015501</v>
      </c>
      <c r="T344">
        <v>58</v>
      </c>
      <c r="U344">
        <v>5321</v>
      </c>
      <c r="W344" t="s">
        <v>591</v>
      </c>
      <c r="X344" t="str">
        <f t="shared" si="5"/>
        <v>BV336738@TRAC Corp</v>
      </c>
      <c r="Y344" t="str">
        <f>_xlfn.IFNA(_xll.BDP(X344,"INTERVAL_SUM", "MARKET_DATA_OVERRIDE=px_volume", "CALC_INTERVAL=5D"), "")</f>
        <v>#N/A N/A</v>
      </c>
      <c r="Z344" t="str" cm="1">
        <f t="array" ref="Z344">_xll.BDP(B344, "CF_ACT_CASH_PAID_FOR_INT_DEBT")</f>
        <v>#N/A N/A</v>
      </c>
      <c r="AA344" t="str" cm="1">
        <f t="array" ref="AA344">_xll.BDP(B344, "TYPE_OF_BOND")</f>
        <v>Sukuk Al Mudarabah</v>
      </c>
    </row>
    <row r="345" spans="1:27" x14ac:dyDescent="0.25">
      <c r="A345">
        <v>343</v>
      </c>
      <c r="B345" t="s">
        <v>765</v>
      </c>
      <c r="C345" s="4" t="s">
        <v>587</v>
      </c>
      <c r="D345" s="4">
        <v>30361422000</v>
      </c>
      <c r="E345" t="s">
        <v>17</v>
      </c>
      <c r="F345" s="1">
        <v>48290</v>
      </c>
      <c r="G345">
        <v>3.05</v>
      </c>
      <c r="H345" t="s">
        <v>9</v>
      </c>
      <c r="L345" t="s">
        <v>1187</v>
      </c>
      <c r="M345" t="s">
        <v>588</v>
      </c>
      <c r="N345" t="s">
        <v>589</v>
      </c>
      <c r="O345" t="s">
        <v>3159</v>
      </c>
      <c r="P345" t="s">
        <v>2663</v>
      </c>
      <c r="Q345" t="s">
        <v>2663</v>
      </c>
      <c r="R345" t="s">
        <v>766</v>
      </c>
      <c r="S345">
        <v>745530939.61543095</v>
      </c>
      <c r="T345">
        <v>78</v>
      </c>
      <c r="U345">
        <v>5322</v>
      </c>
      <c r="W345" t="s">
        <v>591</v>
      </c>
      <c r="X345" t="str">
        <f t="shared" si="5"/>
        <v>BV335981@TRAC Corp</v>
      </c>
      <c r="Y345" t="str">
        <f>_xlfn.IFNA(_xll.BDP(X345,"INTERVAL_SUM", "MARKET_DATA_OVERRIDE=px_volume", "CALC_INTERVAL=5D"), "")</f>
        <v>#N/A N/A</v>
      </c>
      <c r="Z345" t="str" cm="1">
        <f t="array" ref="Z345">_xll.BDP(B345, "CF_ACT_CASH_PAID_FOR_INT_DEBT")</f>
        <v>#N/A N/A</v>
      </c>
      <c r="AA345" t="str" cm="1">
        <f t="array" ref="AA345">_xll.BDP(B345, "TYPE_OF_BOND")</f>
        <v>Sukuk Al Mudarabah</v>
      </c>
    </row>
    <row r="346" spans="1:27" x14ac:dyDescent="0.25">
      <c r="A346">
        <v>344</v>
      </c>
      <c r="B346" t="s">
        <v>767</v>
      </c>
      <c r="C346" s="4" t="s">
        <v>587</v>
      </c>
      <c r="D346" s="4">
        <v>20604164000</v>
      </c>
      <c r="E346" s="1" t="s">
        <v>17</v>
      </c>
      <c r="F346" s="1">
        <v>50116</v>
      </c>
      <c r="G346">
        <v>3.35</v>
      </c>
      <c r="H346" t="s">
        <v>9</v>
      </c>
      <c r="L346" t="s">
        <v>1187</v>
      </c>
      <c r="M346" t="s">
        <v>588</v>
      </c>
      <c r="N346" t="s">
        <v>589</v>
      </c>
      <c r="O346" t="s">
        <v>3159</v>
      </c>
      <c r="P346" t="s">
        <v>2663</v>
      </c>
      <c r="Q346" t="s">
        <v>2663</v>
      </c>
      <c r="R346" t="s">
        <v>768</v>
      </c>
      <c r="S346">
        <v>802222038.142923</v>
      </c>
      <c r="T346">
        <v>68</v>
      </c>
      <c r="U346">
        <v>5323</v>
      </c>
      <c r="W346" t="s">
        <v>591</v>
      </c>
      <c r="X346" t="str">
        <f t="shared" si="5"/>
        <v>BV333941@TRAC Corp</v>
      </c>
      <c r="Y346" t="str">
        <f>_xlfn.IFNA(_xll.BDP(X346,"INTERVAL_SUM", "MARKET_DATA_OVERRIDE=px_volume", "CALC_INTERVAL=5D"), "")</f>
        <v>#N/A N/A</v>
      </c>
      <c r="Z346" t="str" cm="1">
        <f t="array" ref="Z346">_xll.BDP(B346, "CF_ACT_CASH_PAID_FOR_INT_DEBT")</f>
        <v>#N/A N/A</v>
      </c>
      <c r="AA346" t="str" cm="1">
        <f t="array" ref="AA346">_xll.BDP(B346, "TYPE_OF_BOND")</f>
        <v>Sukuk Al Mudarabah</v>
      </c>
    </row>
    <row r="347" spans="1:27" x14ac:dyDescent="0.25">
      <c r="A347">
        <v>345</v>
      </c>
      <c r="B347" t="s">
        <v>769</v>
      </c>
      <c r="C347" s="4" t="s">
        <v>587</v>
      </c>
      <c r="D347" s="4">
        <v>14033100000</v>
      </c>
      <c r="E347" s="1" t="s">
        <v>17</v>
      </c>
      <c r="F347" s="1">
        <v>48964</v>
      </c>
      <c r="G347">
        <v>3.12</v>
      </c>
      <c r="H347" t="s">
        <v>9</v>
      </c>
      <c r="L347" t="s">
        <v>1187</v>
      </c>
      <c r="M347" t="s">
        <v>588</v>
      </c>
      <c r="N347" t="s">
        <v>589</v>
      </c>
      <c r="O347" t="s">
        <v>3159</v>
      </c>
      <c r="P347" t="s">
        <v>2663</v>
      </c>
      <c r="Q347" t="s">
        <v>2663</v>
      </c>
      <c r="R347" t="s">
        <v>770</v>
      </c>
      <c r="S347">
        <v>836857334.47238195</v>
      </c>
      <c r="T347">
        <v>75</v>
      </c>
      <c r="U347">
        <v>5319</v>
      </c>
      <c r="W347" t="s">
        <v>591</v>
      </c>
      <c r="X347" t="str">
        <f t="shared" si="5"/>
        <v>BT560194@TRAC Corp</v>
      </c>
      <c r="Y347" t="str">
        <f>_xlfn.IFNA(_xll.BDP(X347,"INTERVAL_SUM", "MARKET_DATA_OVERRIDE=px_volume", "CALC_INTERVAL=5D"), "")</f>
        <v>#N/A N/A</v>
      </c>
      <c r="Z347" t="str" cm="1">
        <f t="array" ref="Z347">_xll.BDP(B347, "CF_ACT_CASH_PAID_FOR_INT_DEBT")</f>
        <v>#N/A N/A</v>
      </c>
      <c r="AA347" t="str" cm="1">
        <f t="array" ref="AA347">_xll.BDP(B347, "TYPE_OF_BOND")</f>
        <v>Sukuk Al Mudarabah</v>
      </c>
    </row>
    <row r="348" spans="1:27" x14ac:dyDescent="0.25">
      <c r="A348">
        <v>346</v>
      </c>
      <c r="B348" t="s">
        <v>771</v>
      </c>
      <c r="C348" s="4" t="s">
        <v>587</v>
      </c>
      <c r="D348" s="4">
        <v>12351000000</v>
      </c>
      <c r="E348" s="1" t="s">
        <v>17</v>
      </c>
      <c r="F348" s="1">
        <v>47503</v>
      </c>
      <c r="G348">
        <v>2.77</v>
      </c>
      <c r="H348" t="s">
        <v>9</v>
      </c>
      <c r="L348" t="s">
        <v>1187</v>
      </c>
      <c r="M348" t="s">
        <v>588</v>
      </c>
      <c r="N348" t="s">
        <v>589</v>
      </c>
      <c r="O348" t="s">
        <v>3159</v>
      </c>
      <c r="P348" t="s">
        <v>2663</v>
      </c>
      <c r="Q348" t="s">
        <v>2663</v>
      </c>
      <c r="R348" t="s">
        <v>772</v>
      </c>
      <c r="S348">
        <v>444336031.70436198</v>
      </c>
      <c r="T348">
        <v>82</v>
      </c>
      <c r="U348">
        <v>5318</v>
      </c>
      <c r="W348" t="s">
        <v>591</v>
      </c>
      <c r="X348" t="str">
        <f t="shared" si="5"/>
        <v>BT560193@TRAC Corp</v>
      </c>
      <c r="Y348" t="str">
        <f>_xlfn.IFNA(_xll.BDP(X348,"INTERVAL_SUM", "MARKET_DATA_OVERRIDE=px_volume", "CALC_INTERVAL=5D"), "")</f>
        <v>#N/A N/A</v>
      </c>
      <c r="Z348" t="str" cm="1">
        <f t="array" ref="Z348">_xll.BDP(B348, "CF_ACT_CASH_PAID_FOR_INT_DEBT")</f>
        <v>#N/A N/A</v>
      </c>
      <c r="AA348" t="str" cm="1">
        <f t="array" ref="AA348">_xll.BDP(B348, "TYPE_OF_BOND")</f>
        <v>Sukuk Al Mudarabah</v>
      </c>
    </row>
    <row r="349" spans="1:27" x14ac:dyDescent="0.25">
      <c r="A349">
        <v>347</v>
      </c>
      <c r="B349" t="s">
        <v>773</v>
      </c>
      <c r="C349" s="4" t="s">
        <v>587</v>
      </c>
      <c r="D349" s="4">
        <v>2000000000</v>
      </c>
      <c r="E349" s="1" t="s">
        <v>17</v>
      </c>
      <c r="F349" s="1">
        <v>48191</v>
      </c>
      <c r="G349">
        <v>3.04</v>
      </c>
      <c r="H349" t="s">
        <v>9</v>
      </c>
      <c r="L349" t="s">
        <v>1187</v>
      </c>
      <c r="M349" t="s">
        <v>588</v>
      </c>
      <c r="N349" t="s">
        <v>537</v>
      </c>
      <c r="O349" t="s">
        <v>3160</v>
      </c>
      <c r="P349" t="s">
        <v>2664</v>
      </c>
      <c r="Q349" t="s">
        <v>3161</v>
      </c>
      <c r="R349" t="s">
        <v>774</v>
      </c>
      <c r="S349">
        <v>-9997</v>
      </c>
      <c r="U349" t="s">
        <v>1188</v>
      </c>
      <c r="W349" t="s">
        <v>591</v>
      </c>
      <c r="X349" t="str">
        <f t="shared" si="5"/>
        <v>BT012258@TRAC Corp</v>
      </c>
      <c r="Y349" t="str">
        <f>_xlfn.IFNA(_xll.BDP(X349,"INTERVAL_SUM", "MARKET_DATA_OVERRIDE=px_volume", "CALC_INTERVAL=5D"), "")</f>
        <v>#N/A N/A</v>
      </c>
      <c r="Z349" t="str" cm="1">
        <f t="array" ref="Z349">_xll.BDP(B349, "CF_ACT_CASH_PAID_FOR_INT_DEBT")</f>
        <v>#N/A N/A</v>
      </c>
      <c r="AA349" t="str" cm="1">
        <f t="array" ref="AA349">_xll.BDP(B349, "TYPE_OF_BOND")</f>
        <v>Sukuk Al Mudarabah</v>
      </c>
    </row>
    <row r="350" spans="1:27" x14ac:dyDescent="0.25">
      <c r="A350">
        <v>348</v>
      </c>
      <c r="B350" t="s">
        <v>775</v>
      </c>
      <c r="C350" s="4" t="s">
        <v>587</v>
      </c>
      <c r="D350" s="4">
        <v>204300000</v>
      </c>
      <c r="E350" s="1" t="s">
        <v>17</v>
      </c>
      <c r="F350" s="1">
        <v>46371</v>
      </c>
      <c r="G350">
        <v>1.25</v>
      </c>
      <c r="H350" t="s">
        <v>9</v>
      </c>
      <c r="L350" t="s">
        <v>1168</v>
      </c>
      <c r="M350" t="s">
        <v>10</v>
      </c>
      <c r="N350" t="s">
        <v>36</v>
      </c>
      <c r="O350" t="s">
        <v>3162</v>
      </c>
      <c r="P350" t="s">
        <v>2666</v>
      </c>
      <c r="Q350" t="s">
        <v>3163</v>
      </c>
      <c r="R350" t="s">
        <v>776</v>
      </c>
      <c r="S350">
        <v>4474931.1112354696</v>
      </c>
      <c r="T350">
        <v>33</v>
      </c>
      <c r="W350" t="s">
        <v>591</v>
      </c>
      <c r="X350" t="str">
        <f t="shared" si="5"/>
        <v>BS959314@TRAC Corp</v>
      </c>
      <c r="Y350">
        <f>_xlfn.IFNA(_xll.BDP(X350,"INTERVAL_SUM", "MARKET_DATA_OVERRIDE=px_volume", "CALC_INTERVAL=5D"), "")</f>
        <v>7500</v>
      </c>
      <c r="Z350" cm="1">
        <f t="array" ref="Z350">_xll.BDP(B350, "CF_ACT_CASH_PAID_FOR_INT_DEBT")</f>
        <v>55.819000000000003</v>
      </c>
      <c r="AA350" t="str" cm="1">
        <f t="array" ref="AA350">_xll.BDP(B350, "TYPE_OF_BOND")</f>
        <v>Convertible</v>
      </c>
    </row>
    <row r="351" spans="1:27" x14ac:dyDescent="0.25">
      <c r="A351">
        <v>349</v>
      </c>
      <c r="B351" t="s">
        <v>777</v>
      </c>
      <c r="C351" s="4" t="s">
        <v>587</v>
      </c>
      <c r="D351" s="4">
        <v>1250000000</v>
      </c>
      <c r="E351" s="1" t="s">
        <v>17</v>
      </c>
      <c r="F351" s="1">
        <v>55474</v>
      </c>
      <c r="G351">
        <v>3.25</v>
      </c>
      <c r="H351" t="s">
        <v>9</v>
      </c>
      <c r="L351" t="s">
        <v>1168</v>
      </c>
      <c r="M351" t="s">
        <v>588</v>
      </c>
      <c r="N351" t="s">
        <v>589</v>
      </c>
      <c r="O351" t="s">
        <v>3159</v>
      </c>
      <c r="P351" t="s">
        <v>2663</v>
      </c>
      <c r="Q351" t="s">
        <v>2663</v>
      </c>
      <c r="R351" t="s">
        <v>778</v>
      </c>
      <c r="S351">
        <v>19055931.288373999</v>
      </c>
      <c r="T351">
        <v>42</v>
      </c>
      <c r="U351" t="s">
        <v>1169</v>
      </c>
      <c r="W351" t="s">
        <v>591</v>
      </c>
      <c r="X351" t="str">
        <f t="shared" si="5"/>
        <v>BS377685@TRAC Corp</v>
      </c>
      <c r="Y351" t="str">
        <f>_xlfn.IFNA(_xll.BDP(X351,"INTERVAL_SUM", "MARKET_DATA_OVERRIDE=px_volume", "CALC_INTERVAL=5D"), "")</f>
        <v>#N/A N/A</v>
      </c>
      <c r="Z351" t="str" cm="1">
        <f t="array" ref="Z351">_xll.BDP(B351, "CF_ACT_CASH_PAID_FOR_INT_DEBT")</f>
        <v>#N/A N/A</v>
      </c>
      <c r="AA351" t="str" cm="1">
        <f t="array" ref="AA351">_xll.BDP(B351, "TYPE_OF_BOND")</f>
        <v>#N/A Field Not Applicable</v>
      </c>
    </row>
    <row r="352" spans="1:27" x14ac:dyDescent="0.25">
      <c r="A352">
        <v>350</v>
      </c>
      <c r="B352" t="s">
        <v>779</v>
      </c>
      <c r="C352" s="4" t="s">
        <v>587</v>
      </c>
      <c r="D352" s="4">
        <v>2000000000</v>
      </c>
      <c r="E352" s="1" t="s">
        <v>17</v>
      </c>
      <c r="F352" s="1">
        <v>47985</v>
      </c>
      <c r="G352">
        <v>2.25</v>
      </c>
      <c r="H352" t="s">
        <v>9</v>
      </c>
      <c r="L352" t="s">
        <v>1168</v>
      </c>
      <c r="M352" s="4" t="s">
        <v>595</v>
      </c>
      <c r="N352" t="s">
        <v>589</v>
      </c>
      <c r="O352" t="s">
        <v>3159</v>
      </c>
      <c r="P352" t="s">
        <v>2663</v>
      </c>
      <c r="Q352" t="s">
        <v>2663</v>
      </c>
      <c r="R352" t="s">
        <v>780</v>
      </c>
      <c r="S352">
        <v>38639072.235665098</v>
      </c>
      <c r="T352">
        <v>71</v>
      </c>
      <c r="U352" t="s">
        <v>1169</v>
      </c>
      <c r="W352" t="s">
        <v>591</v>
      </c>
      <c r="X352" t="str">
        <f t="shared" si="5"/>
        <v>BS377683@TRAC Corp</v>
      </c>
      <c r="Y352" t="str">
        <f>_xlfn.IFNA(_xll.BDP(X352,"INTERVAL_SUM", "MARKET_DATA_OVERRIDE=px_volume", "CALC_INTERVAL=5D"), "")</f>
        <v>#N/A N/A</v>
      </c>
      <c r="Z352" t="str" cm="1">
        <f t="array" ref="Z352">_xll.BDP(B352, "CF_ACT_CASH_PAID_FOR_INT_DEBT")</f>
        <v>#N/A N/A</v>
      </c>
      <c r="AA352" t="str" cm="1">
        <f t="array" ref="AA352">_xll.BDP(B352, "TYPE_OF_BOND")</f>
        <v>Sukuk Al Mudarabah</v>
      </c>
    </row>
    <row r="353" spans="1:27" x14ac:dyDescent="0.25">
      <c r="A353">
        <v>351</v>
      </c>
      <c r="B353" t="s">
        <v>781</v>
      </c>
      <c r="C353" s="4" t="s">
        <v>587</v>
      </c>
      <c r="D353" s="4">
        <v>5444011000</v>
      </c>
      <c r="E353" s="1" t="s">
        <v>17</v>
      </c>
      <c r="F353" s="1">
        <v>49983</v>
      </c>
      <c r="G353">
        <v>3.5</v>
      </c>
      <c r="H353" t="s">
        <v>9</v>
      </c>
      <c r="L353" t="s">
        <v>1187</v>
      </c>
      <c r="M353" t="s">
        <v>588</v>
      </c>
      <c r="N353" t="s">
        <v>589</v>
      </c>
      <c r="O353" t="s">
        <v>3159</v>
      </c>
      <c r="P353" t="s">
        <v>2663</v>
      </c>
      <c r="Q353" t="s">
        <v>2663</v>
      </c>
      <c r="R353" t="s">
        <v>782</v>
      </c>
      <c r="S353">
        <v>1143507737.3253</v>
      </c>
      <c r="T353">
        <v>68</v>
      </c>
      <c r="U353">
        <v>5317</v>
      </c>
      <c r="W353" t="s">
        <v>591</v>
      </c>
      <c r="X353" t="str">
        <f t="shared" si="5"/>
        <v>BS314246@TRAC Corp</v>
      </c>
      <c r="Y353" t="str">
        <f>_xlfn.IFNA(_xll.BDP(X353,"INTERVAL_SUM", "MARKET_DATA_OVERRIDE=px_volume", "CALC_INTERVAL=5D"), "")</f>
        <v>#N/A N/A</v>
      </c>
      <c r="Z353" t="str" cm="1">
        <f t="array" ref="Z353">_xll.BDP(B353, "CF_ACT_CASH_PAID_FOR_INT_DEBT")</f>
        <v>#N/A N/A</v>
      </c>
      <c r="AA353" t="str" cm="1">
        <f t="array" ref="AA353">_xll.BDP(B353, "TYPE_OF_BOND")</f>
        <v>Sukuk Al Mudarabah</v>
      </c>
    </row>
    <row r="354" spans="1:27" x14ac:dyDescent="0.25">
      <c r="A354">
        <v>352</v>
      </c>
      <c r="B354" t="s">
        <v>783</v>
      </c>
      <c r="C354" s="4" t="s">
        <v>587</v>
      </c>
      <c r="D354" s="4">
        <v>11355810000</v>
      </c>
      <c r="E354" s="1" t="s">
        <v>17</v>
      </c>
      <c r="F354" s="1">
        <v>48887</v>
      </c>
      <c r="G354">
        <v>3.2</v>
      </c>
      <c r="H354" t="s">
        <v>9</v>
      </c>
      <c r="L354" t="s">
        <v>1187</v>
      </c>
      <c r="M354" t="s">
        <v>588</v>
      </c>
      <c r="N354" t="s">
        <v>589</v>
      </c>
      <c r="O354" t="s">
        <v>3159</v>
      </c>
      <c r="P354" t="s">
        <v>2663</v>
      </c>
      <c r="Q354" t="s">
        <v>2663</v>
      </c>
      <c r="R354" t="s">
        <v>784</v>
      </c>
      <c r="S354">
        <v>561273154.38795102</v>
      </c>
      <c r="T354">
        <v>73</v>
      </c>
      <c r="U354">
        <v>5316</v>
      </c>
      <c r="W354" t="s">
        <v>591</v>
      </c>
      <c r="X354" t="str">
        <f t="shared" si="5"/>
        <v>BS314200@TRAC Corp</v>
      </c>
      <c r="Y354" t="str">
        <f>_xlfn.IFNA(_xll.BDP(X354,"INTERVAL_SUM", "MARKET_DATA_OVERRIDE=px_volume", "CALC_INTERVAL=5D"), "")</f>
        <v>#N/A N/A</v>
      </c>
      <c r="Z354" t="str" cm="1">
        <f t="array" ref="Z354">_xll.BDP(B354, "CF_ACT_CASH_PAID_FOR_INT_DEBT")</f>
        <v>#N/A N/A</v>
      </c>
      <c r="AA354" t="str" cm="1">
        <f t="array" ref="AA354">_xll.BDP(B354, "TYPE_OF_BOND")</f>
        <v>Sukuk Al Mudarabah</v>
      </c>
    </row>
    <row r="355" spans="1:27" x14ac:dyDescent="0.25">
      <c r="A355">
        <v>353</v>
      </c>
      <c r="B355" t="s">
        <v>785</v>
      </c>
      <c r="C355" s="4" t="s">
        <v>587</v>
      </c>
      <c r="D355" s="4">
        <v>5781152000</v>
      </c>
      <c r="E355" s="1" t="s">
        <v>17</v>
      </c>
      <c r="F355" s="1">
        <v>48156</v>
      </c>
      <c r="G355">
        <v>2.99</v>
      </c>
      <c r="H355" t="s">
        <v>9</v>
      </c>
      <c r="L355" t="s">
        <v>1187</v>
      </c>
      <c r="M355" t="s">
        <v>588</v>
      </c>
      <c r="N355" t="s">
        <v>589</v>
      </c>
      <c r="O355" t="s">
        <v>3159</v>
      </c>
      <c r="P355" t="s">
        <v>2663</v>
      </c>
      <c r="Q355" t="s">
        <v>2663</v>
      </c>
      <c r="R355" t="s">
        <v>786</v>
      </c>
      <c r="S355">
        <v>287583376.13433897</v>
      </c>
      <c r="T355">
        <v>71</v>
      </c>
      <c r="U355">
        <v>5315</v>
      </c>
      <c r="W355" t="s">
        <v>591</v>
      </c>
      <c r="X355" t="str">
        <f t="shared" si="5"/>
        <v>BS314121@TRAC Corp</v>
      </c>
      <c r="Y355" t="str">
        <f>_xlfn.IFNA(_xll.BDP(X355,"INTERVAL_SUM", "MARKET_DATA_OVERRIDE=px_volume", "CALC_INTERVAL=5D"), "")</f>
        <v>#N/A N/A</v>
      </c>
      <c r="Z355" t="str" cm="1">
        <f t="array" ref="Z355">_xll.BDP(B355, "CF_ACT_CASH_PAID_FOR_INT_DEBT")</f>
        <v>#N/A N/A</v>
      </c>
      <c r="AA355" t="str" cm="1">
        <f t="array" ref="AA355">_xll.BDP(B355, "TYPE_OF_BOND")</f>
        <v>Sukuk Al Mudarabah</v>
      </c>
    </row>
    <row r="356" spans="1:27" x14ac:dyDescent="0.25">
      <c r="A356">
        <v>354</v>
      </c>
      <c r="B356" t="s">
        <v>787</v>
      </c>
      <c r="C356" s="4" t="s">
        <v>587</v>
      </c>
      <c r="D356" s="4">
        <v>8371458000</v>
      </c>
      <c r="E356" s="1" t="s">
        <v>17</v>
      </c>
      <c r="F356" s="1">
        <v>47122</v>
      </c>
      <c r="G356">
        <v>2.6</v>
      </c>
      <c r="H356" t="s">
        <v>9</v>
      </c>
      <c r="L356" t="s">
        <v>1187</v>
      </c>
      <c r="M356" t="s">
        <v>588</v>
      </c>
      <c r="N356" t="s">
        <v>589</v>
      </c>
      <c r="O356" t="s">
        <v>3159</v>
      </c>
      <c r="P356" t="s">
        <v>2663</v>
      </c>
      <c r="Q356" t="s">
        <v>2663</v>
      </c>
      <c r="R356" t="s">
        <v>788</v>
      </c>
      <c r="S356">
        <v>341960860.43455303</v>
      </c>
      <c r="T356">
        <v>87</v>
      </c>
      <c r="U356">
        <v>5314</v>
      </c>
      <c r="W356" t="s">
        <v>591</v>
      </c>
      <c r="X356" t="str">
        <f t="shared" si="5"/>
        <v>BS314093@TRAC Corp</v>
      </c>
      <c r="Y356" t="str">
        <f>_xlfn.IFNA(_xll.BDP(X356,"INTERVAL_SUM", "MARKET_DATA_OVERRIDE=px_volume", "CALC_INTERVAL=5D"), "")</f>
        <v>#N/A N/A</v>
      </c>
      <c r="Z356" t="str" cm="1">
        <f t="array" ref="Z356">_xll.BDP(B356, "CF_ACT_CASH_PAID_FOR_INT_DEBT")</f>
        <v>#N/A N/A</v>
      </c>
      <c r="AA356" t="str" cm="1">
        <f t="array" ref="AA356">_xll.BDP(B356, "TYPE_OF_BOND")</f>
        <v>Sukuk Al Mudarabah</v>
      </c>
    </row>
    <row r="357" spans="1:27" x14ac:dyDescent="0.25">
      <c r="A357">
        <v>355</v>
      </c>
      <c r="B357" t="s">
        <v>789</v>
      </c>
      <c r="C357" s="4" t="s">
        <v>587</v>
      </c>
      <c r="D357" s="4">
        <v>9909895000</v>
      </c>
      <c r="E357" s="1" t="s">
        <v>17</v>
      </c>
      <c r="F357" s="1">
        <v>47349</v>
      </c>
      <c r="G357">
        <v>2.4300000000000002</v>
      </c>
      <c r="H357" t="s">
        <v>9</v>
      </c>
      <c r="L357" t="s">
        <v>1187</v>
      </c>
      <c r="M357" t="s">
        <v>588</v>
      </c>
      <c r="N357" t="s">
        <v>589</v>
      </c>
      <c r="O357" t="s">
        <v>3159</v>
      </c>
      <c r="P357" t="s">
        <v>2663</v>
      </c>
      <c r="Q357" t="s">
        <v>2663</v>
      </c>
      <c r="R357" t="s">
        <v>790</v>
      </c>
      <c r="S357">
        <v>171701922.48982999</v>
      </c>
      <c r="T357">
        <v>77</v>
      </c>
      <c r="U357">
        <v>5312</v>
      </c>
      <c r="W357" t="s">
        <v>591</v>
      </c>
      <c r="X357" t="str">
        <f t="shared" si="5"/>
        <v>BR033185@TRAC Corp</v>
      </c>
      <c r="Y357" t="str">
        <f>_xlfn.IFNA(_xll.BDP(X357,"INTERVAL_SUM", "MARKET_DATA_OVERRIDE=px_volume", "CALC_INTERVAL=5D"), "")</f>
        <v>#N/A N/A</v>
      </c>
      <c r="Z357" t="str" cm="1">
        <f t="array" ref="Z357">_xll.BDP(B357, "CF_ACT_CASH_PAID_FOR_INT_DEBT")</f>
        <v>#N/A N/A</v>
      </c>
      <c r="AA357" t="str" cm="1">
        <f t="array" ref="AA357">_xll.BDP(B357, "TYPE_OF_BOND")</f>
        <v>Sukuk Al Mudarabah</v>
      </c>
    </row>
    <row r="358" spans="1:27" x14ac:dyDescent="0.25">
      <c r="A358">
        <v>356</v>
      </c>
      <c r="B358" t="s">
        <v>791</v>
      </c>
      <c r="C358" s="4" t="s">
        <v>587</v>
      </c>
      <c r="D358" s="4">
        <v>5014104000</v>
      </c>
      <c r="E358" s="1" t="s">
        <v>17</v>
      </c>
      <c r="F358" s="1">
        <v>49906</v>
      </c>
      <c r="G358">
        <v>3.21</v>
      </c>
      <c r="H358" t="s">
        <v>9</v>
      </c>
      <c r="L358" t="s">
        <v>1187</v>
      </c>
      <c r="M358" t="s">
        <v>588</v>
      </c>
      <c r="N358" t="s">
        <v>589</v>
      </c>
      <c r="O358" t="s">
        <v>3159</v>
      </c>
      <c r="P358" t="s">
        <v>2663</v>
      </c>
      <c r="Q358" t="s">
        <v>2663</v>
      </c>
      <c r="R358" t="s">
        <v>792</v>
      </c>
      <c r="S358">
        <v>413682930.56038898</v>
      </c>
      <c r="T358">
        <v>54</v>
      </c>
      <c r="U358">
        <v>5313</v>
      </c>
      <c r="W358" t="s">
        <v>591</v>
      </c>
      <c r="X358" t="str">
        <f t="shared" si="5"/>
        <v>BR033184@TRAC Corp</v>
      </c>
      <c r="Y358" t="str">
        <f>_xlfn.IFNA(_xll.BDP(X358,"INTERVAL_SUM", "MARKET_DATA_OVERRIDE=px_volume", "CALC_INTERVAL=5D"), "")</f>
        <v>#N/A N/A</v>
      </c>
      <c r="Z358" t="str" cm="1">
        <f t="array" ref="Z358">_xll.BDP(B358, "CF_ACT_CASH_PAID_FOR_INT_DEBT")</f>
        <v>#N/A N/A</v>
      </c>
      <c r="AA358" t="str" cm="1">
        <f t="array" ref="AA358">_xll.BDP(B358, "TYPE_OF_BOND")</f>
        <v>Sukuk Al Mudarabah</v>
      </c>
    </row>
    <row r="359" spans="1:27" x14ac:dyDescent="0.25">
      <c r="A359">
        <v>357</v>
      </c>
      <c r="B359" t="s">
        <v>793</v>
      </c>
      <c r="C359" s="4" t="s">
        <v>587</v>
      </c>
      <c r="D359" s="4">
        <v>17108358000</v>
      </c>
      <c r="E359" s="1" t="s">
        <v>17</v>
      </c>
      <c r="F359" s="1">
        <v>48016</v>
      </c>
      <c r="G359">
        <v>2.6</v>
      </c>
      <c r="H359" t="s">
        <v>9</v>
      </c>
      <c r="L359" t="s">
        <v>1187</v>
      </c>
      <c r="M359" t="s">
        <v>588</v>
      </c>
      <c r="N359" t="s">
        <v>589</v>
      </c>
      <c r="O359" t="s">
        <v>3159</v>
      </c>
      <c r="P359" t="s">
        <v>2663</v>
      </c>
      <c r="Q359" t="s">
        <v>2663</v>
      </c>
      <c r="R359" t="s">
        <v>794</v>
      </c>
      <c r="S359">
        <v>424736563.36595398</v>
      </c>
      <c r="T359">
        <v>77</v>
      </c>
      <c r="U359">
        <v>5311</v>
      </c>
      <c r="W359" t="s">
        <v>591</v>
      </c>
      <c r="X359" t="str">
        <f t="shared" si="5"/>
        <v>BQ021481@TRAC Corp</v>
      </c>
      <c r="Y359" t="str">
        <f>_xlfn.IFNA(_xll.BDP(X359,"INTERVAL_SUM", "MARKET_DATA_OVERRIDE=px_volume", "CALC_INTERVAL=5D"), "")</f>
        <v>#N/A N/A</v>
      </c>
      <c r="Z359" t="str" cm="1">
        <f t="array" ref="Z359">_xll.BDP(B359, "CF_ACT_CASH_PAID_FOR_INT_DEBT")</f>
        <v>#N/A N/A</v>
      </c>
      <c r="AA359" t="str" cm="1">
        <f t="array" ref="AA359">_xll.BDP(B359, "TYPE_OF_BOND")</f>
        <v>Sukuk Al Mudarabah</v>
      </c>
    </row>
    <row r="360" spans="1:27" x14ac:dyDescent="0.25">
      <c r="A360">
        <v>358</v>
      </c>
      <c r="B360" t="s">
        <v>795</v>
      </c>
      <c r="C360" s="4" t="s">
        <v>587</v>
      </c>
      <c r="D360" s="4">
        <v>12786070000</v>
      </c>
      <c r="E360" s="1" t="s">
        <v>17</v>
      </c>
      <c r="F360" s="1">
        <v>47925</v>
      </c>
      <c r="G360">
        <v>2.8</v>
      </c>
      <c r="H360" t="s">
        <v>9</v>
      </c>
      <c r="L360" t="s">
        <v>1187</v>
      </c>
      <c r="M360" t="s">
        <v>588</v>
      </c>
      <c r="N360" t="s">
        <v>589</v>
      </c>
      <c r="O360" t="s">
        <v>3159</v>
      </c>
      <c r="P360" t="s">
        <v>2663</v>
      </c>
      <c r="Q360" t="s">
        <v>2663</v>
      </c>
      <c r="R360" t="s">
        <v>796</v>
      </c>
      <c r="S360">
        <v>425029579.69191903</v>
      </c>
      <c r="T360">
        <v>76</v>
      </c>
      <c r="U360">
        <v>5309</v>
      </c>
      <c r="W360" t="s">
        <v>591</v>
      </c>
      <c r="X360" t="str">
        <f t="shared" si="5"/>
        <v>BO578667@TRAC Corp</v>
      </c>
      <c r="Y360" t="str">
        <f>_xlfn.IFNA(_xll.BDP(X360,"INTERVAL_SUM", "MARKET_DATA_OVERRIDE=px_volume", "CALC_INTERVAL=5D"), "")</f>
        <v>#N/A N/A</v>
      </c>
      <c r="Z360" t="str" cm="1">
        <f t="array" ref="Z360">_xll.BDP(B360, "CF_ACT_CASH_PAID_FOR_INT_DEBT")</f>
        <v>#N/A N/A</v>
      </c>
      <c r="AA360" t="str" cm="1">
        <f t="array" ref="AA360">_xll.BDP(B360, "TYPE_OF_BOND")</f>
        <v>Sukuk Al Mudarabah</v>
      </c>
    </row>
    <row r="361" spans="1:27" x14ac:dyDescent="0.25">
      <c r="A361">
        <v>359</v>
      </c>
      <c r="B361" t="s">
        <v>797</v>
      </c>
      <c r="C361" s="4" t="s">
        <v>587</v>
      </c>
      <c r="D361" s="4">
        <v>3000000000</v>
      </c>
      <c r="E361" s="1" t="s">
        <v>17</v>
      </c>
      <c r="F361" s="1">
        <v>47910</v>
      </c>
      <c r="G361">
        <v>2.65</v>
      </c>
      <c r="H361" t="s">
        <v>9</v>
      </c>
      <c r="L361" t="s">
        <v>1187</v>
      </c>
      <c r="M361" t="s">
        <v>588</v>
      </c>
      <c r="N361" t="s">
        <v>537</v>
      </c>
      <c r="O361" t="s">
        <v>3160</v>
      </c>
      <c r="P361" t="s">
        <v>2664</v>
      </c>
      <c r="Q361" t="s">
        <v>3161</v>
      </c>
      <c r="R361" t="s">
        <v>798</v>
      </c>
      <c r="S361">
        <v>-9997</v>
      </c>
      <c r="U361" t="s">
        <v>1191</v>
      </c>
      <c r="W361" t="s">
        <v>591</v>
      </c>
      <c r="X361" t="str">
        <f t="shared" si="5"/>
        <v>BO485222@TRAC Corp</v>
      </c>
      <c r="Y361" t="str">
        <f>_xlfn.IFNA(_xll.BDP(X361,"INTERVAL_SUM", "MARKET_DATA_OVERRIDE=px_volume", "CALC_INTERVAL=5D"), "")</f>
        <v>#N/A N/A</v>
      </c>
      <c r="Z361" t="str" cm="1">
        <f t="array" ref="Z361">_xll.BDP(B361, "CF_ACT_CASH_PAID_FOR_INT_DEBT")</f>
        <v>#N/A N/A</v>
      </c>
      <c r="AA361" t="str" cm="1">
        <f t="array" ref="AA361">_xll.BDP(B361, "TYPE_OF_BOND")</f>
        <v>Sukuk Al Mudarabah</v>
      </c>
    </row>
    <row r="362" spans="1:27" x14ac:dyDescent="0.25">
      <c r="A362">
        <v>360</v>
      </c>
      <c r="B362" t="s">
        <v>799</v>
      </c>
      <c r="C362" s="4" t="s">
        <v>587</v>
      </c>
      <c r="D362" s="4">
        <v>1000000000</v>
      </c>
      <c r="E362" s="1" t="s">
        <v>17</v>
      </c>
      <c r="F362" s="1">
        <v>46815</v>
      </c>
      <c r="G362">
        <v>2.11</v>
      </c>
      <c r="H362" t="s">
        <v>9</v>
      </c>
      <c r="L362" t="s">
        <v>1187</v>
      </c>
      <c r="M362" t="s">
        <v>588</v>
      </c>
      <c r="N362" t="s">
        <v>537</v>
      </c>
      <c r="O362" t="s">
        <v>3160</v>
      </c>
      <c r="P362" t="s">
        <v>2664</v>
      </c>
      <c r="Q362" t="s">
        <v>3161</v>
      </c>
      <c r="R362" t="s">
        <v>800</v>
      </c>
      <c r="S362">
        <v>-9997</v>
      </c>
      <c r="U362" t="s">
        <v>1188</v>
      </c>
      <c r="W362" t="s">
        <v>591</v>
      </c>
      <c r="X362" t="str">
        <f t="shared" si="5"/>
        <v>BO484136@TRAC Corp</v>
      </c>
      <c r="Y362" t="str">
        <f>_xlfn.IFNA(_xll.BDP(X362,"INTERVAL_SUM", "MARKET_DATA_OVERRIDE=px_volume", "CALC_INTERVAL=5D"), "")</f>
        <v>#N/A N/A</v>
      </c>
      <c r="Z362" t="str" cm="1">
        <f t="array" ref="Z362">_xll.BDP(B362, "CF_ACT_CASH_PAID_FOR_INT_DEBT")</f>
        <v>#N/A N/A</v>
      </c>
      <c r="AA362" t="str" cm="1">
        <f t="array" ref="AA362">_xll.BDP(B362, "TYPE_OF_BOND")</f>
        <v>Sukuk Al Mudarabah</v>
      </c>
    </row>
    <row r="363" spans="1:27" x14ac:dyDescent="0.25">
      <c r="A363">
        <v>361</v>
      </c>
      <c r="B363" t="s">
        <v>801</v>
      </c>
      <c r="C363" s="4" t="s">
        <v>587</v>
      </c>
      <c r="D363" s="4">
        <v>500000000</v>
      </c>
      <c r="E363" t="s">
        <v>17</v>
      </c>
      <c r="F363" s="1">
        <v>47545</v>
      </c>
      <c r="G363">
        <v>0.625</v>
      </c>
      <c r="H363" t="s">
        <v>9</v>
      </c>
      <c r="L363" t="s">
        <v>1171</v>
      </c>
      <c r="M363" t="s">
        <v>588</v>
      </c>
      <c r="N363" t="s">
        <v>589</v>
      </c>
      <c r="O363" t="s">
        <v>3159</v>
      </c>
      <c r="P363" t="s">
        <v>2663</v>
      </c>
      <c r="Q363" t="s">
        <v>2663</v>
      </c>
      <c r="R363" t="s">
        <v>802</v>
      </c>
      <c r="S363">
        <v>32085043.5824495</v>
      </c>
      <c r="T363">
        <v>75</v>
      </c>
      <c r="U363" t="s">
        <v>1172</v>
      </c>
      <c r="W363" t="s">
        <v>591</v>
      </c>
      <c r="X363" t="str">
        <f t="shared" si="5"/>
        <v>BO249246@TRAC Corp</v>
      </c>
      <c r="Y363" t="str">
        <f>_xlfn.IFNA(_xll.BDP(X363,"INTERVAL_SUM", "MARKET_DATA_OVERRIDE=px_volume", "CALC_INTERVAL=5D"), "")</f>
        <v>#N/A N/A</v>
      </c>
      <c r="Z363" t="str" cm="1">
        <f t="array" ref="Z363">_xll.BDP(B363, "CF_ACT_CASH_PAID_FOR_INT_DEBT")</f>
        <v>#N/A N/A</v>
      </c>
      <c r="AA363" t="str" cm="1">
        <f t="array" ref="AA363">_xll.BDP(B363, "TYPE_OF_BOND")</f>
        <v>#N/A Field Not Applicable</v>
      </c>
    </row>
    <row r="364" spans="1:27" x14ac:dyDescent="0.25">
      <c r="A364">
        <v>362</v>
      </c>
      <c r="B364" t="s">
        <v>803</v>
      </c>
      <c r="C364" s="4" t="s">
        <v>587</v>
      </c>
      <c r="D364" s="4">
        <v>2250000000</v>
      </c>
      <c r="E364" t="s">
        <v>17</v>
      </c>
      <c r="F364" s="1">
        <v>58839</v>
      </c>
      <c r="G364">
        <v>3.45</v>
      </c>
      <c r="H364" t="s">
        <v>9</v>
      </c>
      <c r="L364" t="s">
        <v>1168</v>
      </c>
      <c r="M364" t="s">
        <v>588</v>
      </c>
      <c r="N364" t="s">
        <v>589</v>
      </c>
      <c r="O364" t="s">
        <v>3159</v>
      </c>
      <c r="P364" t="s">
        <v>2663</v>
      </c>
      <c r="Q364" t="s">
        <v>2663</v>
      </c>
      <c r="R364" t="s">
        <v>804</v>
      </c>
      <c r="S364">
        <v>19261555.2800918</v>
      </c>
      <c r="T364">
        <v>50</v>
      </c>
      <c r="U364" t="s">
        <v>1169</v>
      </c>
      <c r="W364" t="s">
        <v>591</v>
      </c>
      <c r="X364" t="str">
        <f t="shared" si="5"/>
        <v>BN744368@TRAC Corp</v>
      </c>
      <c r="Y364" t="str">
        <f>_xlfn.IFNA(_xll.BDP(X364,"INTERVAL_SUM", "MARKET_DATA_OVERRIDE=px_volume", "CALC_INTERVAL=5D"), "")</f>
        <v>#N/A N/A</v>
      </c>
      <c r="Z364" t="str" cm="1">
        <f t="array" ref="Z364">_xll.BDP(B364, "CF_ACT_CASH_PAID_FOR_INT_DEBT")</f>
        <v>#N/A N/A</v>
      </c>
      <c r="AA364" t="str" cm="1">
        <f t="array" ref="AA364">_xll.BDP(B364, "TYPE_OF_BOND")</f>
        <v>#N/A Field Not Applicable</v>
      </c>
    </row>
    <row r="365" spans="1:27" x14ac:dyDescent="0.25">
      <c r="A365">
        <v>363</v>
      </c>
      <c r="B365" t="s">
        <v>805</v>
      </c>
      <c r="C365" s="4" t="s">
        <v>587</v>
      </c>
      <c r="D365" s="4">
        <v>2750000000</v>
      </c>
      <c r="E365" s="1" t="s">
        <v>17</v>
      </c>
      <c r="F365" s="1">
        <v>48612</v>
      </c>
      <c r="G365">
        <v>2.25</v>
      </c>
      <c r="H365" t="s">
        <v>9</v>
      </c>
      <c r="L365" t="s">
        <v>1168</v>
      </c>
      <c r="M365" t="s">
        <v>588</v>
      </c>
      <c r="N365" t="s">
        <v>589</v>
      </c>
      <c r="O365" t="s">
        <v>3159</v>
      </c>
      <c r="P365" t="s">
        <v>2663</v>
      </c>
      <c r="Q365" t="s">
        <v>2663</v>
      </c>
      <c r="R365" t="s">
        <v>806</v>
      </c>
      <c r="S365">
        <v>31729937.2518555</v>
      </c>
      <c r="T365">
        <v>70</v>
      </c>
      <c r="U365" t="s">
        <v>1169</v>
      </c>
      <c r="W365" t="s">
        <v>591</v>
      </c>
      <c r="X365" t="str">
        <f t="shared" si="5"/>
        <v>BN744311@TRAC Corp</v>
      </c>
      <c r="Y365" t="str">
        <f>_xlfn.IFNA(_xll.BDP(X365,"INTERVAL_SUM", "MARKET_DATA_OVERRIDE=px_volume", "CALC_INTERVAL=5D"), "")</f>
        <v>#N/A N/A</v>
      </c>
      <c r="Z365" t="str" cm="1">
        <f t="array" ref="Z365">_xll.BDP(B365, "CF_ACT_CASH_PAID_FOR_INT_DEBT")</f>
        <v>#N/A N/A</v>
      </c>
      <c r="AA365" t="str" cm="1">
        <f t="array" ref="AA365">_xll.BDP(B365, "TYPE_OF_BOND")</f>
        <v>#N/A Field Not Applicable</v>
      </c>
    </row>
    <row r="366" spans="1:27" x14ac:dyDescent="0.25">
      <c r="A366">
        <v>364</v>
      </c>
      <c r="B366" t="s">
        <v>807</v>
      </c>
      <c r="C366" s="4" t="s">
        <v>587</v>
      </c>
      <c r="D366" s="4">
        <v>20518431000</v>
      </c>
      <c r="E366" s="1" t="s">
        <v>17</v>
      </c>
      <c r="F366" s="1">
        <v>48600</v>
      </c>
      <c r="G366">
        <v>2.5499999999999998</v>
      </c>
      <c r="H366" t="s">
        <v>9</v>
      </c>
      <c r="L366" t="s">
        <v>1187</v>
      </c>
      <c r="M366" t="s">
        <v>588</v>
      </c>
      <c r="N366" t="s">
        <v>589</v>
      </c>
      <c r="O366" t="s">
        <v>3159</v>
      </c>
      <c r="P366" t="s">
        <v>2663</v>
      </c>
      <c r="Q366" t="s">
        <v>2663</v>
      </c>
      <c r="R366" t="s">
        <v>808</v>
      </c>
      <c r="S366">
        <v>395681571.799532</v>
      </c>
      <c r="T366">
        <v>71</v>
      </c>
      <c r="U366">
        <v>5308</v>
      </c>
      <c r="W366" t="s">
        <v>591</v>
      </c>
      <c r="X366" t="str">
        <f t="shared" si="5"/>
        <v>BN585999@TRAC Corp</v>
      </c>
      <c r="Y366" t="str">
        <f>_xlfn.IFNA(_xll.BDP(X366,"INTERVAL_SUM", "MARKET_DATA_OVERRIDE=px_volume", "CALC_INTERVAL=5D"), "")</f>
        <v>#N/A N/A</v>
      </c>
      <c r="Z366" t="str" cm="1">
        <f t="array" ref="Z366">_xll.BDP(B366, "CF_ACT_CASH_PAID_FOR_INT_DEBT")</f>
        <v>#N/A N/A</v>
      </c>
      <c r="AA366" t="str" cm="1">
        <f t="array" ref="AA366">_xll.BDP(B366, "TYPE_OF_BOND")</f>
        <v>Sukuk Al Mudarabah</v>
      </c>
    </row>
    <row r="367" spans="1:27" x14ac:dyDescent="0.25">
      <c r="A367">
        <v>365</v>
      </c>
      <c r="B367" t="s">
        <v>809</v>
      </c>
      <c r="C367" s="4" t="s">
        <v>587</v>
      </c>
      <c r="D367" s="4">
        <v>16314000000</v>
      </c>
      <c r="E367" s="1" t="s">
        <v>17</v>
      </c>
      <c r="F367" s="1">
        <v>46773</v>
      </c>
      <c r="G367">
        <v>1.97</v>
      </c>
      <c r="H367" t="s">
        <v>9</v>
      </c>
      <c r="L367" t="s">
        <v>1187</v>
      </c>
      <c r="M367" t="s">
        <v>588</v>
      </c>
      <c r="N367" t="s">
        <v>589</v>
      </c>
      <c r="O367" t="s">
        <v>3159</v>
      </c>
      <c r="P367" t="s">
        <v>2663</v>
      </c>
      <c r="Q367" t="s">
        <v>2663</v>
      </c>
      <c r="R367" t="s">
        <v>810</v>
      </c>
      <c r="S367">
        <v>154186285.53644001</v>
      </c>
      <c r="T367">
        <v>88</v>
      </c>
      <c r="U367">
        <v>5306</v>
      </c>
      <c r="W367" t="s">
        <v>591</v>
      </c>
      <c r="X367" t="str">
        <f t="shared" si="5"/>
        <v>BN582659@TRAC Corp</v>
      </c>
      <c r="Y367" t="str">
        <f>_xlfn.IFNA(_xll.BDP(X367,"INTERVAL_SUM", "MARKET_DATA_OVERRIDE=px_volume", "CALC_INTERVAL=5D"), "")</f>
        <v>#N/A N/A</v>
      </c>
      <c r="Z367" t="str" cm="1">
        <f t="array" ref="Z367">_xll.BDP(B367, "CF_ACT_CASH_PAID_FOR_INT_DEBT")</f>
        <v>#N/A N/A</v>
      </c>
      <c r="AA367" t="str" cm="1">
        <f t="array" ref="AA367">_xll.BDP(B367, "TYPE_OF_BOND")</f>
        <v>Sukuk Al Mudarabah</v>
      </c>
    </row>
    <row r="368" spans="1:27" x14ac:dyDescent="0.25">
      <c r="A368">
        <v>366</v>
      </c>
      <c r="B368" t="s">
        <v>811</v>
      </c>
      <c r="C368" s="4" t="s">
        <v>587</v>
      </c>
      <c r="D368" s="4">
        <v>18359578000</v>
      </c>
      <c r="E368" s="1" t="s">
        <v>17</v>
      </c>
      <c r="F368" s="1">
        <v>49516</v>
      </c>
      <c r="G368">
        <v>3.1</v>
      </c>
      <c r="H368" t="s">
        <v>9</v>
      </c>
      <c r="L368" t="s">
        <v>1187</v>
      </c>
      <c r="M368" t="s">
        <v>588</v>
      </c>
      <c r="N368" t="s">
        <v>589</v>
      </c>
      <c r="O368" t="s">
        <v>3159</v>
      </c>
      <c r="P368" t="s">
        <v>2663</v>
      </c>
      <c r="Q368" t="s">
        <v>2663</v>
      </c>
      <c r="R368" t="s">
        <v>812</v>
      </c>
      <c r="S368">
        <v>485137225.62543499</v>
      </c>
      <c r="T368">
        <v>63</v>
      </c>
      <c r="U368">
        <v>5303</v>
      </c>
      <c r="W368" t="s">
        <v>591</v>
      </c>
      <c r="X368" t="str">
        <f t="shared" si="5"/>
        <v>BK666008@TRAC Corp</v>
      </c>
      <c r="Y368" t="str">
        <f>_xlfn.IFNA(_xll.BDP(X368,"INTERVAL_SUM", "MARKET_DATA_OVERRIDE=px_volume", "CALC_INTERVAL=5D"), "")</f>
        <v>#N/A N/A</v>
      </c>
      <c r="Z368" t="str" cm="1">
        <f t="array" ref="Z368">_xll.BDP(B368, "CF_ACT_CASH_PAID_FOR_INT_DEBT")</f>
        <v>#N/A N/A</v>
      </c>
      <c r="AA368" t="str" cm="1">
        <f t="array" ref="AA368">_xll.BDP(B368, "TYPE_OF_BOND")</f>
        <v>Sukuk Al Mudarabah</v>
      </c>
    </row>
    <row r="369" spans="1:27" x14ac:dyDescent="0.25">
      <c r="A369">
        <v>367</v>
      </c>
      <c r="B369" t="s">
        <v>813</v>
      </c>
      <c r="C369" s="4" t="s">
        <v>587</v>
      </c>
      <c r="D369" s="4">
        <v>12042560000</v>
      </c>
      <c r="E369" s="1" t="s">
        <v>17</v>
      </c>
      <c r="F369" s="1">
        <v>48421</v>
      </c>
      <c r="G369">
        <v>2.89</v>
      </c>
      <c r="H369" t="s">
        <v>9</v>
      </c>
      <c r="L369" t="s">
        <v>1187</v>
      </c>
      <c r="M369" t="s">
        <v>588</v>
      </c>
      <c r="N369" t="s">
        <v>589</v>
      </c>
      <c r="O369" t="s">
        <v>3159</v>
      </c>
      <c r="P369" t="s">
        <v>2663</v>
      </c>
      <c r="Q369" t="s">
        <v>2663</v>
      </c>
      <c r="R369" t="s">
        <v>814</v>
      </c>
      <c r="S369">
        <v>405108899.463476</v>
      </c>
      <c r="T369">
        <v>74</v>
      </c>
      <c r="U369">
        <v>5302</v>
      </c>
      <c r="W369" t="s">
        <v>591</v>
      </c>
      <c r="X369" t="str">
        <f t="shared" si="5"/>
        <v>BK665967@TRAC Corp</v>
      </c>
      <c r="Y369" t="str">
        <f>_xlfn.IFNA(_xll.BDP(X369,"INTERVAL_SUM", "MARKET_DATA_OVERRIDE=px_volume", "CALC_INTERVAL=5D"), "")</f>
        <v>#N/A N/A</v>
      </c>
      <c r="Z369" t="str" cm="1">
        <f t="array" ref="Z369">_xll.BDP(B369, "CF_ACT_CASH_PAID_FOR_INT_DEBT")</f>
        <v>#N/A N/A</v>
      </c>
      <c r="AA369" t="str" cm="1">
        <f t="array" ref="AA369">_xll.BDP(B369, "TYPE_OF_BOND")</f>
        <v>Sukuk Al Mudarabah</v>
      </c>
    </row>
    <row r="370" spans="1:27" x14ac:dyDescent="0.25">
      <c r="A370">
        <v>368</v>
      </c>
      <c r="B370" t="s">
        <v>815</v>
      </c>
      <c r="C370" s="4" t="s">
        <v>587</v>
      </c>
      <c r="D370" s="4">
        <v>5882000000</v>
      </c>
      <c r="E370" s="1" t="s">
        <v>17</v>
      </c>
      <c r="F370" s="1">
        <v>46960</v>
      </c>
      <c r="G370">
        <v>2.29</v>
      </c>
      <c r="H370" t="s">
        <v>9</v>
      </c>
      <c r="L370" t="s">
        <v>1187</v>
      </c>
      <c r="M370" t="s">
        <v>588</v>
      </c>
      <c r="N370" t="s">
        <v>589</v>
      </c>
      <c r="O370" t="s">
        <v>3159</v>
      </c>
      <c r="P370" t="s">
        <v>2663</v>
      </c>
      <c r="Q370" t="s">
        <v>2663</v>
      </c>
      <c r="R370" t="s">
        <v>816</v>
      </c>
      <c r="S370">
        <v>143266663.005586</v>
      </c>
      <c r="T370">
        <v>85</v>
      </c>
      <c r="U370">
        <v>5301</v>
      </c>
      <c r="W370" t="s">
        <v>591</v>
      </c>
      <c r="X370" t="str">
        <f t="shared" si="5"/>
        <v>BK665924@TRAC Corp</v>
      </c>
      <c r="Y370" t="str">
        <f>_xlfn.IFNA(_xll.BDP(X370,"INTERVAL_SUM", "MARKET_DATA_OVERRIDE=px_volume", "CALC_INTERVAL=5D"), "")</f>
        <v>#N/A N/A</v>
      </c>
      <c r="Z370" t="str" cm="1">
        <f t="array" ref="Z370">_xll.BDP(B370, "CF_ACT_CASH_PAID_FOR_INT_DEBT")</f>
        <v>#N/A N/A</v>
      </c>
      <c r="AA370" t="str" cm="1">
        <f t="array" ref="AA370">_xll.BDP(B370, "TYPE_OF_BOND")</f>
        <v>Sukuk Al Mudarabah</v>
      </c>
    </row>
    <row r="371" spans="1:27" x14ac:dyDescent="0.25">
      <c r="A371">
        <v>369</v>
      </c>
      <c r="B371" t="s">
        <v>817</v>
      </c>
      <c r="C371" s="4" t="s">
        <v>587</v>
      </c>
      <c r="D371" s="4">
        <v>982590000</v>
      </c>
      <c r="E371" s="1" t="s">
        <v>17</v>
      </c>
      <c r="F371" s="1">
        <v>46595</v>
      </c>
      <c r="G371">
        <v>1.73</v>
      </c>
      <c r="H371" t="s">
        <v>9</v>
      </c>
      <c r="L371" t="s">
        <v>1187</v>
      </c>
      <c r="M371" t="s">
        <v>588</v>
      </c>
      <c r="N371" t="s">
        <v>589</v>
      </c>
      <c r="O371" t="s">
        <v>3159</v>
      </c>
      <c r="P371" t="s">
        <v>2663</v>
      </c>
      <c r="Q371" t="s">
        <v>2663</v>
      </c>
      <c r="R371" t="s">
        <v>818</v>
      </c>
      <c r="S371">
        <v>121861766.466801</v>
      </c>
      <c r="T371">
        <v>76</v>
      </c>
      <c r="U371">
        <v>5297</v>
      </c>
      <c r="W371" t="s">
        <v>591</v>
      </c>
      <c r="X371" t="str">
        <f t="shared" si="5"/>
        <v>BK589670@TRAC Corp</v>
      </c>
      <c r="Y371" t="str">
        <f>_xlfn.IFNA(_xll.BDP(X371,"INTERVAL_SUM", "MARKET_DATA_OVERRIDE=px_volume", "CALC_INTERVAL=5D"), "")</f>
        <v>#N/A N/A</v>
      </c>
      <c r="Z371" t="str" cm="1">
        <f t="array" ref="Z371">_xll.BDP(B371, "CF_ACT_CASH_PAID_FOR_INT_DEBT")</f>
        <v>#N/A N/A</v>
      </c>
      <c r="AA371" t="str" cm="1">
        <f t="array" ref="AA371">_xll.BDP(B371, "TYPE_OF_BOND")</f>
        <v>Sukuk Al Mudarabah</v>
      </c>
    </row>
    <row r="372" spans="1:27" x14ac:dyDescent="0.25">
      <c r="A372">
        <v>370</v>
      </c>
      <c r="B372" t="s">
        <v>819</v>
      </c>
      <c r="C372" s="4" t="s">
        <v>587</v>
      </c>
      <c r="D372" s="4">
        <v>1500000000</v>
      </c>
      <c r="E372" s="1" t="s">
        <v>17</v>
      </c>
      <c r="F372" s="1">
        <v>47778</v>
      </c>
      <c r="G372">
        <v>3.25</v>
      </c>
      <c r="H372" t="s">
        <v>9</v>
      </c>
      <c r="L372" t="s">
        <v>1168</v>
      </c>
      <c r="M372" t="s">
        <v>588</v>
      </c>
      <c r="N372" t="s">
        <v>589</v>
      </c>
      <c r="O372" t="s">
        <v>3159</v>
      </c>
      <c r="P372" t="s">
        <v>2663</v>
      </c>
      <c r="Q372" t="s">
        <v>2663</v>
      </c>
      <c r="R372" t="s">
        <v>820</v>
      </c>
      <c r="S372">
        <v>13179441.2349828</v>
      </c>
      <c r="T372">
        <v>72</v>
      </c>
      <c r="U372" t="s">
        <v>1169</v>
      </c>
      <c r="W372" t="s">
        <v>591</v>
      </c>
      <c r="X372" t="str">
        <f t="shared" si="5"/>
        <v>BH829642@TRAC Corp</v>
      </c>
      <c r="Y372" t="str">
        <f>_xlfn.IFNA(_xll.BDP(X372,"INTERVAL_SUM", "MARKET_DATA_OVERRIDE=px_volume", "CALC_INTERVAL=5D"), "")</f>
        <v>#N/A N/A</v>
      </c>
      <c r="Z372" t="str" cm="1">
        <f t="array" ref="Z372">_xll.BDP(B372, "CF_ACT_CASH_PAID_FOR_INT_DEBT")</f>
        <v>#N/A N/A</v>
      </c>
      <c r="AA372" t="str" cm="1">
        <f t="array" ref="AA372">_xll.BDP(B372, "TYPE_OF_BOND")</f>
        <v>#N/A Field Not Applicable</v>
      </c>
    </row>
    <row r="373" spans="1:27" x14ac:dyDescent="0.25">
      <c r="A373">
        <v>371</v>
      </c>
      <c r="B373" t="s">
        <v>821</v>
      </c>
      <c r="C373" s="4" t="s">
        <v>587</v>
      </c>
      <c r="D373" s="4">
        <v>3000000000</v>
      </c>
      <c r="E373" s="1" t="s">
        <v>17</v>
      </c>
      <c r="F373" s="1">
        <v>58553</v>
      </c>
      <c r="G373">
        <v>4.5</v>
      </c>
      <c r="H373" t="s">
        <v>9</v>
      </c>
      <c r="L373" t="s">
        <v>1168</v>
      </c>
      <c r="M373" t="s">
        <v>588</v>
      </c>
      <c r="N373" t="s">
        <v>589</v>
      </c>
      <c r="O373" t="s">
        <v>3159</v>
      </c>
      <c r="P373" t="s">
        <v>2663</v>
      </c>
      <c r="Q373" t="s">
        <v>2663</v>
      </c>
      <c r="R373" t="s">
        <v>822</v>
      </c>
      <c r="S373">
        <v>24111075.770781402</v>
      </c>
      <c r="T373">
        <v>51</v>
      </c>
      <c r="U373" t="s">
        <v>1169</v>
      </c>
      <c r="W373" t="s">
        <v>591</v>
      </c>
      <c r="X373" t="str">
        <f t="shared" si="5"/>
        <v>BH829620@TRAC Corp</v>
      </c>
      <c r="Y373" t="str">
        <f>_xlfn.IFNA(_xll.BDP(X373,"INTERVAL_SUM", "MARKET_DATA_OVERRIDE=px_volume", "CALC_INTERVAL=5D"), "")</f>
        <v>#N/A N/A</v>
      </c>
      <c r="Z373" t="str" cm="1">
        <f t="array" ref="Z373">_xll.BDP(B373, "CF_ACT_CASH_PAID_FOR_INT_DEBT")</f>
        <v>#N/A N/A</v>
      </c>
      <c r="AA373" t="str" cm="1">
        <f t="array" ref="AA373">_xll.BDP(B373, "TYPE_OF_BOND")</f>
        <v>#N/A Field Not Applicable</v>
      </c>
    </row>
    <row r="374" spans="1:27" x14ac:dyDescent="0.25">
      <c r="A374">
        <v>372</v>
      </c>
      <c r="B374" t="s">
        <v>823</v>
      </c>
      <c r="C374" s="4" t="s">
        <v>587</v>
      </c>
      <c r="D374" s="4">
        <v>14894020000</v>
      </c>
      <c r="E374" t="s">
        <v>17</v>
      </c>
      <c r="F374" s="1">
        <v>54877</v>
      </c>
      <c r="G374">
        <v>3.68</v>
      </c>
      <c r="H374" t="s">
        <v>9</v>
      </c>
      <c r="L374" t="s">
        <v>1187</v>
      </c>
      <c r="M374" t="s">
        <v>588</v>
      </c>
      <c r="N374" t="s">
        <v>589</v>
      </c>
      <c r="O374" t="s">
        <v>3159</v>
      </c>
      <c r="P374" t="s">
        <v>2663</v>
      </c>
      <c r="Q374" t="s">
        <v>2663</v>
      </c>
      <c r="R374" t="s">
        <v>824</v>
      </c>
      <c r="S374">
        <v>634735788.40330005</v>
      </c>
      <c r="T374">
        <v>40</v>
      </c>
      <c r="U374">
        <v>5285</v>
      </c>
      <c r="W374" t="s">
        <v>591</v>
      </c>
      <c r="X374" t="str">
        <f t="shared" si="5"/>
        <v>BH322022@TRAC Corp</v>
      </c>
      <c r="Y374" t="str">
        <f>_xlfn.IFNA(_xll.BDP(X374,"INTERVAL_SUM", "MARKET_DATA_OVERRIDE=px_volume", "CALC_INTERVAL=5D"), "")</f>
        <v>#N/A N/A</v>
      </c>
      <c r="Z374" t="str" cm="1">
        <f t="array" ref="Z374">_xll.BDP(B374, "CF_ACT_CASH_PAID_FOR_INT_DEBT")</f>
        <v>#N/A N/A</v>
      </c>
      <c r="AA374" t="str" cm="1">
        <f t="array" ref="AA374">_xll.BDP(B374, "TYPE_OF_BOND")</f>
        <v>Sukuk Al Mudarabah</v>
      </c>
    </row>
    <row r="375" spans="1:27" x14ac:dyDescent="0.25">
      <c r="A375">
        <v>373</v>
      </c>
      <c r="B375" t="s">
        <v>825</v>
      </c>
      <c r="C375" s="4" t="s">
        <v>587</v>
      </c>
      <c r="D375" s="4">
        <v>23248721000</v>
      </c>
      <c r="E375" t="s">
        <v>17</v>
      </c>
      <c r="F375" s="1">
        <v>49364</v>
      </c>
      <c r="G375">
        <v>3</v>
      </c>
      <c r="H375" t="s">
        <v>9</v>
      </c>
      <c r="L375" t="s">
        <v>1187</v>
      </c>
      <c r="M375" t="s">
        <v>588</v>
      </c>
      <c r="N375" t="s">
        <v>589</v>
      </c>
      <c r="O375" t="s">
        <v>3159</v>
      </c>
      <c r="P375" t="s">
        <v>2663</v>
      </c>
      <c r="Q375" t="s">
        <v>2663</v>
      </c>
      <c r="R375" t="s">
        <v>826</v>
      </c>
      <c r="S375">
        <v>482465622.021671</v>
      </c>
      <c r="T375">
        <v>63</v>
      </c>
      <c r="U375">
        <v>5284</v>
      </c>
      <c r="W375" t="s">
        <v>591</v>
      </c>
      <c r="X375" t="str">
        <f t="shared" si="5"/>
        <v>BG143361@TRAC Corp</v>
      </c>
      <c r="Y375" t="str">
        <f>_xlfn.IFNA(_xll.BDP(X375,"INTERVAL_SUM", "MARKET_DATA_OVERRIDE=px_volume", "CALC_INTERVAL=5D"), "")</f>
        <v>#N/A N/A</v>
      </c>
      <c r="Z375" t="str" cm="1">
        <f t="array" ref="Z375">_xll.BDP(B375, "CF_ACT_CASH_PAID_FOR_INT_DEBT")</f>
        <v>#N/A N/A</v>
      </c>
      <c r="AA375" t="str" cm="1">
        <f t="array" ref="AA375">_xll.BDP(B375, "TYPE_OF_BOND")</f>
        <v>Sukuk Al Mudarabah</v>
      </c>
    </row>
    <row r="376" spans="1:27" x14ac:dyDescent="0.25">
      <c r="A376">
        <v>374</v>
      </c>
      <c r="B376" t="s">
        <v>827</v>
      </c>
      <c r="C376" s="4" t="s">
        <v>587</v>
      </c>
      <c r="D376" s="4">
        <v>2000000000</v>
      </c>
      <c r="E376" t="s">
        <v>17</v>
      </c>
      <c r="F376" s="1">
        <v>50960</v>
      </c>
      <c r="G376">
        <v>2</v>
      </c>
      <c r="H376" t="s">
        <v>9</v>
      </c>
      <c r="L376" t="s">
        <v>1171</v>
      </c>
      <c r="M376" t="s">
        <v>588</v>
      </c>
      <c r="N376" t="s">
        <v>589</v>
      </c>
      <c r="O376" t="s">
        <v>3159</v>
      </c>
      <c r="P376" t="s">
        <v>2663</v>
      </c>
      <c r="Q376" t="s">
        <v>2663</v>
      </c>
      <c r="R376" t="s">
        <v>828</v>
      </c>
      <c r="S376">
        <v>20458821.6097835</v>
      </c>
      <c r="T376">
        <v>68</v>
      </c>
      <c r="U376" t="s">
        <v>1172</v>
      </c>
      <c r="W376" t="s">
        <v>591</v>
      </c>
      <c r="X376" t="str">
        <f t="shared" si="5"/>
        <v>AZ461252@TRAC Corp</v>
      </c>
      <c r="Y376" t="str">
        <f>_xlfn.IFNA(_xll.BDP(X376,"INTERVAL_SUM", "MARKET_DATA_OVERRIDE=px_volume", "CALC_INTERVAL=5D"), "")</f>
        <v>#N/A N/A</v>
      </c>
      <c r="Z376" t="str" cm="1">
        <f t="array" ref="Z376">_xll.BDP(B376, "CF_ACT_CASH_PAID_FOR_INT_DEBT")</f>
        <v>#N/A N/A</v>
      </c>
      <c r="AA376" t="str" cm="1">
        <f t="array" ref="AA376">_xll.BDP(B376, "TYPE_OF_BOND")</f>
        <v>#N/A Field Not Applicable</v>
      </c>
    </row>
    <row r="377" spans="1:27" x14ac:dyDescent="0.25">
      <c r="A377">
        <v>375</v>
      </c>
      <c r="B377" t="s">
        <v>829</v>
      </c>
      <c r="C377" s="4" t="s">
        <v>587</v>
      </c>
      <c r="D377" s="4">
        <v>1000000000</v>
      </c>
      <c r="E377" t="s">
        <v>17</v>
      </c>
      <c r="F377" s="1">
        <v>46577</v>
      </c>
      <c r="G377">
        <v>0.75</v>
      </c>
      <c r="H377" t="s">
        <v>9</v>
      </c>
      <c r="L377" t="s">
        <v>1171</v>
      </c>
      <c r="M377" t="s">
        <v>588</v>
      </c>
      <c r="N377" t="s">
        <v>589</v>
      </c>
      <c r="O377" t="s">
        <v>3159</v>
      </c>
      <c r="P377" t="s">
        <v>2663</v>
      </c>
      <c r="Q377" t="s">
        <v>2663</v>
      </c>
      <c r="R377" t="s">
        <v>830</v>
      </c>
      <c r="S377">
        <v>62543689.191762701</v>
      </c>
      <c r="T377">
        <v>91</v>
      </c>
      <c r="U377" t="s">
        <v>1172</v>
      </c>
      <c r="W377" t="s">
        <v>591</v>
      </c>
      <c r="X377" t="str">
        <f t="shared" si="5"/>
        <v>AZ461250@TRAC Corp</v>
      </c>
      <c r="Y377" t="str">
        <f>_xlfn.IFNA(_xll.BDP(X377,"INTERVAL_SUM", "MARKET_DATA_OVERRIDE=px_volume", "CALC_INTERVAL=5D"), "")</f>
        <v>#N/A N/A</v>
      </c>
      <c r="Z377" t="str" cm="1">
        <f t="array" ref="Z377">_xll.BDP(B377, "CF_ACT_CASH_PAID_FOR_INT_DEBT")</f>
        <v>#N/A N/A</v>
      </c>
      <c r="AA377" t="str" cm="1">
        <f t="array" ref="AA377">_xll.BDP(B377, "TYPE_OF_BOND")</f>
        <v>#N/A Field Not Applicable</v>
      </c>
    </row>
    <row r="378" spans="1:27" x14ac:dyDescent="0.25">
      <c r="A378">
        <v>376</v>
      </c>
      <c r="B378" t="s">
        <v>831</v>
      </c>
      <c r="C378" s="4" t="s">
        <v>587</v>
      </c>
      <c r="D378" s="4">
        <v>10133010000</v>
      </c>
      <c r="E378" t="s">
        <v>17</v>
      </c>
      <c r="F378" s="1">
        <v>49030</v>
      </c>
      <c r="G378">
        <v>4.01</v>
      </c>
      <c r="H378" t="s">
        <v>9</v>
      </c>
      <c r="L378" t="s">
        <v>1187</v>
      </c>
      <c r="M378" t="s">
        <v>588</v>
      </c>
      <c r="N378" t="s">
        <v>589</v>
      </c>
      <c r="O378" t="s">
        <v>3159</v>
      </c>
      <c r="P378" t="s">
        <v>2663</v>
      </c>
      <c r="Q378" t="s">
        <v>2663</v>
      </c>
      <c r="R378" t="s">
        <v>832</v>
      </c>
      <c r="S378">
        <v>463489044.65729302</v>
      </c>
      <c r="T378">
        <v>70</v>
      </c>
      <c r="U378">
        <v>5279</v>
      </c>
      <c r="W378" t="s">
        <v>591</v>
      </c>
      <c r="X378" t="str">
        <f t="shared" si="5"/>
        <v>AX846092@TRAC Corp</v>
      </c>
      <c r="Y378" t="str">
        <f>_xlfn.IFNA(_xll.BDP(X378,"INTERVAL_SUM", "MARKET_DATA_OVERRIDE=px_volume", "CALC_INTERVAL=5D"), "")</f>
        <v>#N/A N/A</v>
      </c>
      <c r="Z378" t="str" cm="1">
        <f t="array" ref="Z378">_xll.BDP(B378, "CF_ACT_CASH_PAID_FOR_INT_DEBT")</f>
        <v>#N/A N/A</v>
      </c>
      <c r="AA378" t="str" cm="1">
        <f t="array" ref="AA378">_xll.BDP(B378, "TYPE_OF_BOND")</f>
        <v>Sukuk Al Mudarabah</v>
      </c>
    </row>
    <row r="379" spans="1:27" x14ac:dyDescent="0.25">
      <c r="A379">
        <v>377</v>
      </c>
      <c r="B379" t="s">
        <v>833</v>
      </c>
      <c r="C379" s="4" t="s">
        <v>587</v>
      </c>
      <c r="D379" s="4">
        <v>11089528000</v>
      </c>
      <c r="E379" t="s">
        <v>17</v>
      </c>
      <c r="F379" s="1">
        <v>47899</v>
      </c>
      <c r="G379">
        <v>4.0999999999999996</v>
      </c>
      <c r="H379" t="s">
        <v>9</v>
      </c>
      <c r="L379" t="s">
        <v>1187</v>
      </c>
      <c r="M379" t="s">
        <v>588</v>
      </c>
      <c r="N379" t="s">
        <v>589</v>
      </c>
      <c r="O379" t="s">
        <v>3159</v>
      </c>
      <c r="P379" t="s">
        <v>2663</v>
      </c>
      <c r="Q379" t="s">
        <v>2663</v>
      </c>
      <c r="R379" t="s">
        <v>834</v>
      </c>
      <c r="S379">
        <v>220861541.57145101</v>
      </c>
      <c r="T379">
        <v>77</v>
      </c>
      <c r="U379">
        <v>5277</v>
      </c>
      <c r="W379" t="s">
        <v>591</v>
      </c>
      <c r="X379" t="str">
        <f t="shared" si="5"/>
        <v>AX128331@TRAC Corp</v>
      </c>
      <c r="Y379" t="str">
        <f>_xlfn.IFNA(_xll.BDP(X379,"INTERVAL_SUM", "MARKET_DATA_OVERRIDE=px_volume", "CALC_INTERVAL=5D"), "")</f>
        <v>#N/A N/A</v>
      </c>
      <c r="Z379" t="str" cm="1">
        <f t="array" ref="Z379">_xll.BDP(B379, "CF_ACT_CASH_PAID_FOR_INT_DEBT")</f>
        <v>#N/A N/A</v>
      </c>
      <c r="AA379" t="str" cm="1">
        <f t="array" ref="AA379">_xll.BDP(B379, "TYPE_OF_BOND")</f>
        <v>Sukuk Al Mudarabah</v>
      </c>
    </row>
    <row r="380" spans="1:27" x14ac:dyDescent="0.25">
      <c r="A380">
        <v>378</v>
      </c>
      <c r="B380" t="s">
        <v>835</v>
      </c>
      <c r="C380" s="4" t="s">
        <v>587</v>
      </c>
      <c r="D380" s="4">
        <v>38296302000</v>
      </c>
      <c r="E380" t="s">
        <v>17</v>
      </c>
      <c r="F380" s="1">
        <v>47141</v>
      </c>
      <c r="G380">
        <v>3.9</v>
      </c>
      <c r="H380" t="s">
        <v>9</v>
      </c>
      <c r="L380" t="s">
        <v>1187</v>
      </c>
      <c r="M380" t="s">
        <v>588</v>
      </c>
      <c r="N380" t="s">
        <v>589</v>
      </c>
      <c r="O380" t="s">
        <v>3159</v>
      </c>
      <c r="P380" t="s">
        <v>2663</v>
      </c>
      <c r="Q380" t="s">
        <v>2663</v>
      </c>
      <c r="R380" t="s">
        <v>836</v>
      </c>
      <c r="S380">
        <v>218762620.20543799</v>
      </c>
      <c r="T380">
        <v>89</v>
      </c>
      <c r="U380">
        <v>5274</v>
      </c>
      <c r="W380" t="s">
        <v>591</v>
      </c>
      <c r="X380" t="str">
        <f t="shared" si="5"/>
        <v>AW746989@TRAC Corp</v>
      </c>
      <c r="Y380" t="str">
        <f>_xlfn.IFNA(_xll.BDP(X380,"INTERVAL_SUM", "MARKET_DATA_OVERRIDE=px_volume", "CALC_INTERVAL=5D"), "")</f>
        <v>#N/A N/A</v>
      </c>
      <c r="Z380" t="str" cm="1">
        <f t="array" ref="Z380">_xll.BDP(B380, "CF_ACT_CASH_PAID_FOR_INT_DEBT")</f>
        <v>#N/A N/A</v>
      </c>
      <c r="AA380" t="str" cm="1">
        <f t="array" ref="AA380">_xll.BDP(B380, "TYPE_OF_BOND")</f>
        <v>Sukuk Al Mudarabah</v>
      </c>
    </row>
    <row r="381" spans="1:27" x14ac:dyDescent="0.25">
      <c r="A381">
        <v>379</v>
      </c>
      <c r="B381" t="s">
        <v>837</v>
      </c>
      <c r="C381" s="4" t="s">
        <v>587</v>
      </c>
      <c r="D381" s="4">
        <v>4000000000</v>
      </c>
      <c r="E381" t="s">
        <v>17</v>
      </c>
      <c r="F381" s="1">
        <v>47224</v>
      </c>
      <c r="G381">
        <v>4.375</v>
      </c>
      <c r="H381" t="s">
        <v>9</v>
      </c>
      <c r="L381" t="s">
        <v>1168</v>
      </c>
      <c r="M381" t="s">
        <v>588</v>
      </c>
      <c r="N381" t="s">
        <v>589</v>
      </c>
      <c r="O381" t="s">
        <v>3159</v>
      </c>
      <c r="P381" t="s">
        <v>2663</v>
      </c>
      <c r="Q381" t="s">
        <v>2663</v>
      </c>
      <c r="R381" t="s">
        <v>838</v>
      </c>
      <c r="S381">
        <v>23789308.296912901</v>
      </c>
      <c r="T381">
        <v>81</v>
      </c>
      <c r="U381" t="s">
        <v>1169</v>
      </c>
      <c r="W381" t="s">
        <v>591</v>
      </c>
      <c r="X381" t="str">
        <f t="shared" si="5"/>
        <v>AW599767@TRAC Corp</v>
      </c>
      <c r="Y381" t="str">
        <f>_xlfn.IFNA(_xll.BDP(X381,"INTERVAL_SUM", "MARKET_DATA_OVERRIDE=px_volume", "CALC_INTERVAL=5D"), "")</f>
        <v>#N/A N/A</v>
      </c>
      <c r="Z381" t="str" cm="1">
        <f t="array" ref="Z381">_xll.BDP(B381, "CF_ACT_CASH_PAID_FOR_INT_DEBT")</f>
        <v>#N/A N/A</v>
      </c>
      <c r="AA381" t="str" cm="1">
        <f t="array" ref="AA381">_xll.BDP(B381, "TYPE_OF_BOND")</f>
        <v>#N/A Field Not Applicable</v>
      </c>
    </row>
    <row r="382" spans="1:27" x14ac:dyDescent="0.25">
      <c r="A382">
        <v>380</v>
      </c>
      <c r="B382" t="s">
        <v>839</v>
      </c>
      <c r="C382" s="4" t="s">
        <v>587</v>
      </c>
      <c r="D382" s="4">
        <v>3500000000</v>
      </c>
      <c r="E382" t="s">
        <v>17</v>
      </c>
      <c r="F382" s="1">
        <v>54804</v>
      </c>
      <c r="G382">
        <v>5.25</v>
      </c>
      <c r="H382" t="s">
        <v>9</v>
      </c>
      <c r="L382" t="s">
        <v>1168</v>
      </c>
      <c r="M382" t="s">
        <v>588</v>
      </c>
      <c r="N382" t="s">
        <v>589</v>
      </c>
      <c r="O382" t="s">
        <v>3159</v>
      </c>
      <c r="P382" t="s">
        <v>2663</v>
      </c>
      <c r="Q382" t="s">
        <v>2663</v>
      </c>
      <c r="R382" t="s">
        <v>840</v>
      </c>
      <c r="S382">
        <v>13606241.887686299</v>
      </c>
      <c r="T382">
        <v>54</v>
      </c>
      <c r="U382" t="s">
        <v>1169</v>
      </c>
      <c r="W382" t="s">
        <v>591</v>
      </c>
      <c r="X382" t="str">
        <f t="shared" si="5"/>
        <v>AW599765@TRAC Corp</v>
      </c>
      <c r="Y382" t="str">
        <f>_xlfn.IFNA(_xll.BDP(X382,"INTERVAL_SUM", "MARKET_DATA_OVERRIDE=px_volume", "CALC_INTERVAL=5D"), "")</f>
        <v>#N/A N/A</v>
      </c>
      <c r="Z382" t="str" cm="1">
        <f t="array" ref="Z382">_xll.BDP(B382, "CF_ACT_CASH_PAID_FOR_INT_DEBT")</f>
        <v>#N/A N/A</v>
      </c>
      <c r="AA382" t="str" cm="1">
        <f t="array" ref="AA382">_xll.BDP(B382, "TYPE_OF_BOND")</f>
        <v>#N/A Field Not Applicable</v>
      </c>
    </row>
    <row r="383" spans="1:27" x14ac:dyDescent="0.25">
      <c r="A383">
        <v>381</v>
      </c>
      <c r="B383" t="s">
        <v>841</v>
      </c>
      <c r="C383" s="4" t="s">
        <v>587</v>
      </c>
      <c r="D383" s="4">
        <v>2118050000</v>
      </c>
      <c r="E383" t="s">
        <v>17</v>
      </c>
      <c r="F383" s="1">
        <v>47050</v>
      </c>
      <c r="G383">
        <v>4.0599999999999996</v>
      </c>
      <c r="H383" t="s">
        <v>9</v>
      </c>
      <c r="L383" t="s">
        <v>1187</v>
      </c>
      <c r="M383" t="s">
        <v>588</v>
      </c>
      <c r="N383" t="s">
        <v>589</v>
      </c>
      <c r="O383" t="s">
        <v>3159</v>
      </c>
      <c r="P383" t="s">
        <v>2663</v>
      </c>
      <c r="Q383" t="s">
        <v>2663</v>
      </c>
      <c r="R383" t="s">
        <v>842</v>
      </c>
      <c r="S383">
        <v>81514779.6518583</v>
      </c>
      <c r="T383">
        <v>73</v>
      </c>
      <c r="U383">
        <v>5273</v>
      </c>
      <c r="W383" t="s">
        <v>591</v>
      </c>
      <c r="X383" t="str">
        <f t="shared" si="5"/>
        <v>AV169594@TRAC Corp</v>
      </c>
      <c r="Y383" t="str">
        <f>_xlfn.IFNA(_xll.BDP(X383,"INTERVAL_SUM", "MARKET_DATA_OVERRIDE=px_volume", "CALC_INTERVAL=5D"), "")</f>
        <v>#N/A N/A</v>
      </c>
      <c r="Z383" t="str" cm="1">
        <f t="array" ref="Z383">_xll.BDP(B383, "CF_ACT_CASH_PAID_FOR_INT_DEBT")</f>
        <v>#N/A N/A</v>
      </c>
      <c r="AA383" t="str" cm="1">
        <f t="array" ref="AA383">_xll.BDP(B383, "TYPE_OF_BOND")</f>
        <v>Sukuk Al Mudarabah</v>
      </c>
    </row>
    <row r="384" spans="1:27" x14ac:dyDescent="0.25">
      <c r="A384">
        <v>382</v>
      </c>
      <c r="B384" t="s">
        <v>843</v>
      </c>
      <c r="C384" s="4" t="s">
        <v>587</v>
      </c>
      <c r="D384" s="4">
        <v>2000000000</v>
      </c>
      <c r="E384" t="s">
        <v>17</v>
      </c>
      <c r="F384" s="1">
        <v>47137</v>
      </c>
      <c r="G384">
        <v>4.3029999999999999</v>
      </c>
      <c r="H384" t="s">
        <v>9</v>
      </c>
      <c r="L384" t="s">
        <v>1168</v>
      </c>
      <c r="M384" t="s">
        <v>595</v>
      </c>
      <c r="N384" t="s">
        <v>589</v>
      </c>
      <c r="O384" t="s">
        <v>3159</v>
      </c>
      <c r="P384" t="s">
        <v>2663</v>
      </c>
      <c r="Q384" t="s">
        <v>2663</v>
      </c>
      <c r="R384" t="s">
        <v>844</v>
      </c>
      <c r="S384">
        <v>25450377.011598598</v>
      </c>
      <c r="T384">
        <v>73</v>
      </c>
      <c r="U384" t="s">
        <v>1169</v>
      </c>
      <c r="W384" t="s">
        <v>591</v>
      </c>
      <c r="X384" t="str">
        <f t="shared" si="5"/>
        <v>AU498014@TRAC Corp</v>
      </c>
      <c r="Y384" t="str">
        <f>_xlfn.IFNA(_xll.BDP(X384,"INTERVAL_SUM", "MARKET_DATA_OVERRIDE=px_volume", "CALC_INTERVAL=5D"), "")</f>
        <v>#N/A N/A</v>
      </c>
      <c r="Z384" t="str" cm="1">
        <f t="array" ref="Z384">_xll.BDP(B384, "CF_ACT_CASH_PAID_FOR_INT_DEBT")</f>
        <v>#N/A N/A</v>
      </c>
      <c r="AA384" t="str" cm="1">
        <f t="array" ref="AA384">_xll.BDP(B384, "TYPE_OF_BOND")</f>
        <v>Sukuk Al Mudarabah</v>
      </c>
    </row>
    <row r="385" spans="1:27" x14ac:dyDescent="0.25">
      <c r="A385">
        <v>383</v>
      </c>
      <c r="B385" t="s">
        <v>845</v>
      </c>
      <c r="C385" s="4" t="s">
        <v>587</v>
      </c>
      <c r="D385" s="4">
        <v>4123002000</v>
      </c>
      <c r="E385" t="s">
        <v>17</v>
      </c>
      <c r="F385" s="1">
        <v>46959</v>
      </c>
      <c r="G385">
        <v>3.8</v>
      </c>
      <c r="H385" t="s">
        <v>9</v>
      </c>
      <c r="L385" t="s">
        <v>1187</v>
      </c>
      <c r="M385" t="s">
        <v>588</v>
      </c>
      <c r="N385" t="s">
        <v>589</v>
      </c>
      <c r="O385" t="s">
        <v>3159</v>
      </c>
      <c r="P385" t="s">
        <v>2663</v>
      </c>
      <c r="Q385" t="s">
        <v>2663</v>
      </c>
      <c r="R385" t="s">
        <v>846</v>
      </c>
      <c r="S385">
        <v>129111311.10624699</v>
      </c>
      <c r="T385">
        <v>84</v>
      </c>
      <c r="U385">
        <v>5270</v>
      </c>
      <c r="W385" t="s">
        <v>591</v>
      </c>
      <c r="X385" t="str">
        <f t="shared" si="5"/>
        <v>AT696517@TRAC Corp</v>
      </c>
      <c r="Y385" t="str">
        <f>_xlfn.IFNA(_xll.BDP(X385,"INTERVAL_SUM", "MARKET_DATA_OVERRIDE=px_volume", "CALC_INTERVAL=5D"), "")</f>
        <v>#N/A N/A</v>
      </c>
      <c r="Z385" t="str" cm="1">
        <f t="array" ref="Z385">_xll.BDP(B385, "CF_ACT_CASH_PAID_FOR_INT_DEBT")</f>
        <v>#N/A N/A</v>
      </c>
      <c r="AA385" t="str" cm="1">
        <f t="array" ref="AA385">_xll.BDP(B385, "TYPE_OF_BOND")</f>
        <v>Sukuk Al Mudarabah</v>
      </c>
    </row>
    <row r="386" spans="1:27" x14ac:dyDescent="0.25">
      <c r="A386">
        <v>384</v>
      </c>
      <c r="B386" t="s">
        <v>847</v>
      </c>
      <c r="C386" s="4" t="s">
        <v>587</v>
      </c>
      <c r="D386" s="4">
        <v>2403705000</v>
      </c>
      <c r="E386" t="s">
        <v>17</v>
      </c>
      <c r="F386" s="1">
        <v>46868</v>
      </c>
      <c r="G386">
        <v>3.75</v>
      </c>
      <c r="H386" t="s">
        <v>9</v>
      </c>
      <c r="L386" t="s">
        <v>1187</v>
      </c>
      <c r="M386" t="s">
        <v>588</v>
      </c>
      <c r="N386" t="s">
        <v>589</v>
      </c>
      <c r="O386" t="s">
        <v>3159</v>
      </c>
      <c r="P386" t="s">
        <v>2663</v>
      </c>
      <c r="Q386" t="s">
        <v>2663</v>
      </c>
      <c r="R386" t="s">
        <v>848</v>
      </c>
      <c r="S386">
        <v>92877070.3969834</v>
      </c>
      <c r="T386">
        <v>77</v>
      </c>
      <c r="U386">
        <v>5267</v>
      </c>
      <c r="W386" t="s">
        <v>591</v>
      </c>
      <c r="X386" t="str">
        <f t="shared" si="5"/>
        <v>AS408516@TRAC Corp</v>
      </c>
      <c r="Y386" t="str">
        <f>_xlfn.IFNA(_xll.BDP(X386,"INTERVAL_SUM", "MARKET_DATA_OVERRIDE=px_volume", "CALC_INTERVAL=5D"), "")</f>
        <v>#N/A N/A</v>
      </c>
      <c r="Z386" t="str" cm="1">
        <f t="array" ref="Z386">_xll.BDP(B386, "CF_ACT_CASH_PAID_FOR_INT_DEBT")</f>
        <v>#N/A N/A</v>
      </c>
      <c r="AA386" t="str" cm="1">
        <f t="array" ref="AA386">_xll.BDP(B386, "TYPE_OF_BOND")</f>
        <v>Sukuk Al Mudarabah</v>
      </c>
    </row>
    <row r="387" spans="1:27" x14ac:dyDescent="0.25">
      <c r="A387">
        <v>385</v>
      </c>
      <c r="B387" t="s">
        <v>849</v>
      </c>
      <c r="C387" s="4" t="s">
        <v>587</v>
      </c>
      <c r="D387" s="4">
        <v>3500000000</v>
      </c>
      <c r="E387" t="s">
        <v>17</v>
      </c>
      <c r="F387" s="1">
        <v>54530</v>
      </c>
      <c r="G387">
        <v>5</v>
      </c>
      <c r="H387" t="s">
        <v>9</v>
      </c>
      <c r="L387" t="s">
        <v>1168</v>
      </c>
      <c r="M387" t="s">
        <v>588</v>
      </c>
      <c r="N387" t="s">
        <v>589</v>
      </c>
      <c r="O387" t="s">
        <v>3159</v>
      </c>
      <c r="P387" t="s">
        <v>2663</v>
      </c>
      <c r="Q387" t="s">
        <v>2663</v>
      </c>
      <c r="R387" t="s">
        <v>850</v>
      </c>
      <c r="S387">
        <v>16675335.1837606</v>
      </c>
      <c r="T387">
        <v>55</v>
      </c>
      <c r="U387" t="s">
        <v>1169</v>
      </c>
      <c r="W387" t="s">
        <v>591</v>
      </c>
      <c r="X387" t="str">
        <f t="shared" ref="X387:X450" si="6">SUBSTITUTE(B387," Corp","@TRAC Corp")</f>
        <v>AS160956@TRAC Corp</v>
      </c>
      <c r="Y387" t="str">
        <f>_xlfn.IFNA(_xll.BDP(X387,"INTERVAL_SUM", "MARKET_DATA_OVERRIDE=px_volume", "CALC_INTERVAL=5D"), "")</f>
        <v>#N/A N/A</v>
      </c>
      <c r="Z387" t="str" cm="1">
        <f t="array" ref="Z387">_xll.BDP(B387, "CF_ACT_CASH_PAID_FOR_INT_DEBT")</f>
        <v>#N/A N/A</v>
      </c>
      <c r="AA387" t="str" cm="1">
        <f t="array" ref="AA387">_xll.BDP(B387, "TYPE_OF_BOND")</f>
        <v>#N/A Field Not Applicable</v>
      </c>
    </row>
    <row r="388" spans="1:27" x14ac:dyDescent="0.25">
      <c r="A388">
        <v>386</v>
      </c>
      <c r="B388" t="s">
        <v>851</v>
      </c>
      <c r="C388" s="4" t="s">
        <v>587</v>
      </c>
      <c r="D388" s="4">
        <v>3000000000</v>
      </c>
      <c r="E388" t="s">
        <v>17</v>
      </c>
      <c r="F388" s="1">
        <v>47590</v>
      </c>
      <c r="G388">
        <v>4.5</v>
      </c>
      <c r="H388" t="s">
        <v>9</v>
      </c>
      <c r="L388" t="s">
        <v>1168</v>
      </c>
      <c r="M388" t="s">
        <v>588</v>
      </c>
      <c r="N388" t="s">
        <v>589</v>
      </c>
      <c r="O388" t="s">
        <v>3159</v>
      </c>
      <c r="P388" t="s">
        <v>2663</v>
      </c>
      <c r="Q388" t="s">
        <v>2663</v>
      </c>
      <c r="R388" t="s">
        <v>852</v>
      </c>
      <c r="S388">
        <v>26455287.046596099</v>
      </c>
      <c r="T388">
        <v>78</v>
      </c>
      <c r="U388" t="s">
        <v>1169</v>
      </c>
      <c r="W388" t="s">
        <v>591</v>
      </c>
      <c r="X388" t="str">
        <f t="shared" si="6"/>
        <v>AS160922@TRAC Corp</v>
      </c>
      <c r="Y388" t="str">
        <f>_xlfn.IFNA(_xll.BDP(X388,"INTERVAL_SUM", "MARKET_DATA_OVERRIDE=px_volume", "CALC_INTERVAL=5D"), "")</f>
        <v>#N/A N/A</v>
      </c>
      <c r="Z388" t="str" cm="1">
        <f t="array" ref="Z388">_xll.BDP(B388, "CF_ACT_CASH_PAID_FOR_INT_DEBT")</f>
        <v>#N/A N/A</v>
      </c>
      <c r="AA388" t="str" cm="1">
        <f t="array" ref="AA388">_xll.BDP(B388, "TYPE_OF_BOND")</f>
        <v>#N/A Field Not Applicable</v>
      </c>
    </row>
    <row r="389" spans="1:27" x14ac:dyDescent="0.25">
      <c r="A389">
        <v>387</v>
      </c>
      <c r="B389" t="s">
        <v>853</v>
      </c>
      <c r="C389" s="4" t="s">
        <v>587</v>
      </c>
      <c r="D389" s="4">
        <v>200000000</v>
      </c>
      <c r="E389" t="s">
        <v>17</v>
      </c>
      <c r="F389" s="1">
        <v>46229</v>
      </c>
      <c r="G389">
        <v>4.8494700000000002</v>
      </c>
      <c r="H389" t="s">
        <v>13</v>
      </c>
      <c r="I389" t="s">
        <v>2667</v>
      </c>
      <c r="L389" t="s">
        <v>1187</v>
      </c>
      <c r="M389" t="s">
        <v>588</v>
      </c>
      <c r="N389" t="s">
        <v>589</v>
      </c>
      <c r="O389" t="s">
        <v>3159</v>
      </c>
      <c r="P389" t="s">
        <v>2663</v>
      </c>
      <c r="Q389" t="s">
        <v>2663</v>
      </c>
      <c r="R389" t="s">
        <v>854</v>
      </c>
      <c r="S389">
        <v>60190145.019611597</v>
      </c>
      <c r="T389">
        <v>95</v>
      </c>
      <c r="U389">
        <v>5204</v>
      </c>
      <c r="W389" t="s">
        <v>591</v>
      </c>
      <c r="X389" t="str">
        <f t="shared" si="6"/>
        <v>AS139731@TRAC Corp</v>
      </c>
      <c r="Y389" t="str">
        <f>_xlfn.IFNA(_xll.BDP(X389,"INTERVAL_SUM", "MARKET_DATA_OVERRIDE=px_volume", "CALC_INTERVAL=5D"), "")</f>
        <v>#N/A N/A</v>
      </c>
      <c r="Z389" t="str" cm="1">
        <f t="array" ref="Z389">_xll.BDP(B389, "CF_ACT_CASH_PAID_FOR_INT_DEBT")</f>
        <v>#N/A N/A</v>
      </c>
      <c r="AA389" t="str" cm="1">
        <f t="array" ref="AA389">_xll.BDP(B389, "TYPE_OF_BOND")</f>
        <v>Sukuk Al Murabaha</v>
      </c>
    </row>
    <row r="390" spans="1:27" x14ac:dyDescent="0.25">
      <c r="A390">
        <v>388</v>
      </c>
      <c r="B390" t="s">
        <v>855</v>
      </c>
      <c r="C390" s="4" t="s">
        <v>587</v>
      </c>
      <c r="D390" s="4">
        <v>450000000</v>
      </c>
      <c r="E390" t="s">
        <v>17</v>
      </c>
      <c r="F390" s="1">
        <v>46257</v>
      </c>
      <c r="G390">
        <v>4.74125</v>
      </c>
      <c r="H390" t="s">
        <v>13</v>
      </c>
      <c r="I390" t="s">
        <v>2667</v>
      </c>
      <c r="L390" t="s">
        <v>1187</v>
      </c>
      <c r="M390" t="s">
        <v>588</v>
      </c>
      <c r="N390" t="s">
        <v>589</v>
      </c>
      <c r="O390" t="s">
        <v>3159</v>
      </c>
      <c r="P390" t="s">
        <v>2663</v>
      </c>
      <c r="Q390" t="s">
        <v>2663</v>
      </c>
      <c r="R390" t="s">
        <v>856</v>
      </c>
      <c r="S390">
        <v>102284346.748466</v>
      </c>
      <c r="T390">
        <v>96</v>
      </c>
      <c r="U390">
        <v>5205</v>
      </c>
      <c r="W390" t="s">
        <v>591</v>
      </c>
      <c r="X390" t="str">
        <f t="shared" si="6"/>
        <v>AS114231@TRAC Corp</v>
      </c>
      <c r="Y390" t="str">
        <f>_xlfn.IFNA(_xll.BDP(X390,"INTERVAL_SUM", "MARKET_DATA_OVERRIDE=px_volume", "CALC_INTERVAL=5D"), "")</f>
        <v>#N/A N/A</v>
      </c>
      <c r="Z390" t="str" cm="1">
        <f t="array" ref="Z390">_xll.BDP(B390, "CF_ACT_CASH_PAID_FOR_INT_DEBT")</f>
        <v>#N/A N/A</v>
      </c>
      <c r="AA390" t="str" cm="1">
        <f t="array" ref="AA390">_xll.BDP(B390, "TYPE_OF_BOND")</f>
        <v>Sukuk Al Murabaha</v>
      </c>
    </row>
    <row r="391" spans="1:27" x14ac:dyDescent="0.25">
      <c r="A391">
        <v>389</v>
      </c>
      <c r="B391" t="s">
        <v>857</v>
      </c>
      <c r="C391" s="4" t="s">
        <v>587</v>
      </c>
      <c r="D391" s="4">
        <v>610000000</v>
      </c>
      <c r="E391" t="s">
        <v>17</v>
      </c>
      <c r="F391" s="1">
        <v>46229</v>
      </c>
      <c r="G391">
        <v>4.8494700000000002</v>
      </c>
      <c r="H391" t="s">
        <v>13</v>
      </c>
      <c r="I391" t="s">
        <v>2667</v>
      </c>
      <c r="L391" t="s">
        <v>1187</v>
      </c>
      <c r="M391" t="s">
        <v>588</v>
      </c>
      <c r="N391" t="s">
        <v>589</v>
      </c>
      <c r="O391" t="s">
        <v>3159</v>
      </c>
      <c r="P391" t="s">
        <v>2663</v>
      </c>
      <c r="Q391" t="s">
        <v>2663</v>
      </c>
      <c r="R391" t="s">
        <v>858</v>
      </c>
      <c r="S391">
        <v>145120567.019104</v>
      </c>
      <c r="T391">
        <v>98</v>
      </c>
      <c r="U391">
        <v>5220</v>
      </c>
      <c r="W391" t="s">
        <v>591</v>
      </c>
      <c r="X391" t="str">
        <f t="shared" si="6"/>
        <v>AS099853@TRAC Corp</v>
      </c>
      <c r="Y391" t="str">
        <f>_xlfn.IFNA(_xll.BDP(X391,"INTERVAL_SUM", "MARKET_DATA_OVERRIDE=px_volume", "CALC_INTERVAL=5D"), "")</f>
        <v>#N/A N/A</v>
      </c>
      <c r="Z391" t="str" cm="1">
        <f t="array" ref="Z391">_xll.BDP(B391, "CF_ACT_CASH_PAID_FOR_INT_DEBT")</f>
        <v>#N/A N/A</v>
      </c>
      <c r="AA391" t="str" cm="1">
        <f t="array" ref="AA391">_xll.BDP(B391, "TYPE_OF_BOND")</f>
        <v>#N/A Field Not Applicable</v>
      </c>
    </row>
    <row r="392" spans="1:27" x14ac:dyDescent="0.25">
      <c r="A392">
        <v>390</v>
      </c>
      <c r="B392" t="s">
        <v>859</v>
      </c>
      <c r="C392" s="4" t="s">
        <v>587</v>
      </c>
      <c r="D392" s="4">
        <v>1300000000</v>
      </c>
      <c r="E392" t="s">
        <v>17</v>
      </c>
      <c r="F392" s="1">
        <v>46257</v>
      </c>
      <c r="G392">
        <v>4.74125</v>
      </c>
      <c r="H392" t="s">
        <v>13</v>
      </c>
      <c r="I392" t="s">
        <v>2667</v>
      </c>
      <c r="L392" t="s">
        <v>1187</v>
      </c>
      <c r="M392" t="s">
        <v>588</v>
      </c>
      <c r="N392" t="s">
        <v>589</v>
      </c>
      <c r="O392" t="s">
        <v>3159</v>
      </c>
      <c r="P392" t="s">
        <v>2663</v>
      </c>
      <c r="Q392" t="s">
        <v>2663</v>
      </c>
      <c r="R392" t="s">
        <v>860</v>
      </c>
      <c r="S392">
        <v>185110094.85089999</v>
      </c>
      <c r="T392">
        <v>98</v>
      </c>
      <c r="U392">
        <v>5221</v>
      </c>
      <c r="W392" t="s">
        <v>591</v>
      </c>
      <c r="X392" t="str">
        <f t="shared" si="6"/>
        <v>AS097143@TRAC Corp</v>
      </c>
      <c r="Y392" t="str">
        <f>_xlfn.IFNA(_xll.BDP(X392,"INTERVAL_SUM", "MARKET_DATA_OVERRIDE=px_volume", "CALC_INTERVAL=5D"), "")</f>
        <v>#N/A N/A</v>
      </c>
      <c r="Z392" t="str" cm="1">
        <f t="array" ref="Z392">_xll.BDP(B392, "CF_ACT_CASH_PAID_FOR_INT_DEBT")</f>
        <v>#N/A N/A</v>
      </c>
      <c r="AA392" t="str" cm="1">
        <f t="array" ref="AA392">_xll.BDP(B392, "TYPE_OF_BOND")</f>
        <v>#N/A Field Not Applicable</v>
      </c>
    </row>
    <row r="393" spans="1:27" x14ac:dyDescent="0.25">
      <c r="A393">
        <v>391</v>
      </c>
      <c r="B393" t="s">
        <v>861</v>
      </c>
      <c r="C393" s="4" t="s">
        <v>587</v>
      </c>
      <c r="D393" s="4">
        <v>1075000000</v>
      </c>
      <c r="E393" t="s">
        <v>17</v>
      </c>
      <c r="F393" s="1">
        <v>46292</v>
      </c>
      <c r="G393">
        <v>4.7148000000000003</v>
      </c>
      <c r="H393" t="s">
        <v>13</v>
      </c>
      <c r="I393" t="s">
        <v>2667</v>
      </c>
      <c r="L393" t="s">
        <v>1187</v>
      </c>
      <c r="M393" t="s">
        <v>588</v>
      </c>
      <c r="N393" t="s">
        <v>589</v>
      </c>
      <c r="O393" t="s">
        <v>3159</v>
      </c>
      <c r="P393" t="s">
        <v>2663</v>
      </c>
      <c r="Q393" t="s">
        <v>2663</v>
      </c>
      <c r="R393" t="s">
        <v>862</v>
      </c>
      <c r="S393">
        <v>11144117.1922334</v>
      </c>
      <c r="T393">
        <v>40</v>
      </c>
      <c r="U393">
        <v>5222</v>
      </c>
      <c r="W393" t="s">
        <v>591</v>
      </c>
      <c r="X393" t="str">
        <f t="shared" si="6"/>
        <v>AS007906@TRAC Corp</v>
      </c>
      <c r="Y393" t="str">
        <f>_xlfn.IFNA(_xll.BDP(X393,"INTERVAL_SUM", "MARKET_DATA_OVERRIDE=px_volume", "CALC_INTERVAL=5D"), "")</f>
        <v>#N/A N/A</v>
      </c>
      <c r="Z393" t="str" cm="1">
        <f t="array" ref="Z393">_xll.BDP(B393, "CF_ACT_CASH_PAID_FOR_INT_DEBT")</f>
        <v>#N/A N/A</v>
      </c>
      <c r="AA393" t="str" cm="1">
        <f t="array" ref="AA393">_xll.BDP(B393, "TYPE_OF_BOND")</f>
        <v>#N/A Field Not Applicable</v>
      </c>
    </row>
    <row r="394" spans="1:27" x14ac:dyDescent="0.25">
      <c r="A394">
        <v>392</v>
      </c>
      <c r="B394" t="s">
        <v>863</v>
      </c>
      <c r="C394" s="4" t="s">
        <v>587</v>
      </c>
      <c r="D394" s="4">
        <v>1287001000</v>
      </c>
      <c r="E394" t="s">
        <v>17</v>
      </c>
      <c r="F394" s="1">
        <v>46776</v>
      </c>
      <c r="G394">
        <v>3.85</v>
      </c>
      <c r="H394" t="s">
        <v>9</v>
      </c>
      <c r="L394" t="s">
        <v>1187</v>
      </c>
      <c r="M394" t="s">
        <v>588</v>
      </c>
      <c r="N394" t="s">
        <v>589</v>
      </c>
      <c r="O394" t="s">
        <v>3159</v>
      </c>
      <c r="P394" t="s">
        <v>2663</v>
      </c>
      <c r="Q394" t="s">
        <v>2663</v>
      </c>
      <c r="R394" t="s">
        <v>864</v>
      </c>
      <c r="S394">
        <v>104956482.346469</v>
      </c>
      <c r="T394">
        <v>79</v>
      </c>
      <c r="U394">
        <v>5264</v>
      </c>
      <c r="W394" t="s">
        <v>591</v>
      </c>
      <c r="X394" t="str">
        <f t="shared" si="6"/>
        <v>AQ926206@TRAC Corp</v>
      </c>
      <c r="Y394" t="str">
        <f>_xlfn.IFNA(_xll.BDP(X394,"INTERVAL_SUM", "MARKET_DATA_OVERRIDE=px_volume", "CALC_INTERVAL=5D"), "")</f>
        <v>#N/A N/A</v>
      </c>
      <c r="Z394" t="str" cm="1">
        <f t="array" ref="Z394">_xll.BDP(B394, "CF_ACT_CASH_PAID_FOR_INT_DEBT")</f>
        <v>#N/A N/A</v>
      </c>
      <c r="AA394" t="str" cm="1">
        <f t="array" ref="AA394">_xll.BDP(B394, "TYPE_OF_BOND")</f>
        <v>Sukuk Al Mudarabah</v>
      </c>
    </row>
    <row r="395" spans="1:27" x14ac:dyDescent="0.25">
      <c r="A395">
        <v>393</v>
      </c>
      <c r="B395" t="s">
        <v>865</v>
      </c>
      <c r="C395" s="4" t="s">
        <v>587</v>
      </c>
      <c r="D395" s="4">
        <v>1250000000</v>
      </c>
      <c r="E395" t="s">
        <v>17</v>
      </c>
      <c r="F395" s="1">
        <v>46685</v>
      </c>
      <c r="G395">
        <v>3.65</v>
      </c>
      <c r="H395" t="s">
        <v>9</v>
      </c>
      <c r="L395" t="s">
        <v>1187</v>
      </c>
      <c r="M395" t="s">
        <v>588</v>
      </c>
      <c r="N395" t="s">
        <v>589</v>
      </c>
      <c r="O395" t="s">
        <v>3159</v>
      </c>
      <c r="P395" t="s">
        <v>2663</v>
      </c>
      <c r="Q395" t="s">
        <v>2663</v>
      </c>
      <c r="R395" t="s">
        <v>866</v>
      </c>
      <c r="S395">
        <v>108297210.673282</v>
      </c>
      <c r="T395">
        <v>80</v>
      </c>
      <c r="U395">
        <v>5254</v>
      </c>
      <c r="W395" t="s">
        <v>591</v>
      </c>
      <c r="X395" t="str">
        <f t="shared" si="6"/>
        <v>AP727238@TRAC Corp</v>
      </c>
      <c r="Y395" t="str">
        <f>_xlfn.IFNA(_xll.BDP(X395,"INTERVAL_SUM", "MARKET_DATA_OVERRIDE=px_volume", "CALC_INTERVAL=5D"), "")</f>
        <v>#N/A N/A</v>
      </c>
      <c r="Z395" t="str" cm="1">
        <f t="array" ref="Z395">_xll.BDP(B395, "CF_ACT_CASH_PAID_FOR_INT_DEBT")</f>
        <v>#N/A N/A</v>
      </c>
      <c r="AA395" t="str" cm="1">
        <f t="array" ref="AA395">_xll.BDP(B395, "TYPE_OF_BOND")</f>
        <v>Sukuk Al Mudarabah</v>
      </c>
    </row>
    <row r="396" spans="1:27" x14ac:dyDescent="0.25">
      <c r="A396">
        <v>394</v>
      </c>
      <c r="B396" t="s">
        <v>867</v>
      </c>
      <c r="C396" s="4" t="s">
        <v>587</v>
      </c>
      <c r="D396" s="4">
        <v>4500000000</v>
      </c>
      <c r="E396" t="s">
        <v>17</v>
      </c>
      <c r="F396" s="1">
        <v>53969</v>
      </c>
      <c r="G396">
        <v>4.625</v>
      </c>
      <c r="H396" t="s">
        <v>9</v>
      </c>
      <c r="L396" t="s">
        <v>1168</v>
      </c>
      <c r="M396" t="s">
        <v>588</v>
      </c>
      <c r="N396" t="s">
        <v>589</v>
      </c>
      <c r="O396" t="s">
        <v>3159</v>
      </c>
      <c r="P396" t="s">
        <v>2663</v>
      </c>
      <c r="Q396" t="s">
        <v>2663</v>
      </c>
      <c r="R396" t="s">
        <v>868</v>
      </c>
      <c r="S396">
        <v>18212595.832226101</v>
      </c>
      <c r="T396">
        <v>61</v>
      </c>
      <c r="U396" t="s">
        <v>1169</v>
      </c>
      <c r="W396" t="s">
        <v>591</v>
      </c>
      <c r="X396" t="str">
        <f t="shared" si="6"/>
        <v>AP285925@TRAC Corp</v>
      </c>
      <c r="Y396" t="str">
        <f>_xlfn.IFNA(_xll.BDP(X396,"INTERVAL_SUM", "MARKET_DATA_OVERRIDE=px_volume", "CALC_INTERVAL=5D"), "")</f>
        <v>#N/A N/A</v>
      </c>
      <c r="Z396" t="str" cm="1">
        <f t="array" ref="Z396">_xll.BDP(B396, "CF_ACT_CASH_PAID_FOR_INT_DEBT")</f>
        <v>#N/A N/A</v>
      </c>
      <c r="AA396" t="str" cm="1">
        <f t="array" ref="AA396">_xll.BDP(B396, "TYPE_OF_BOND")</f>
        <v>#N/A Field Not Applicable</v>
      </c>
    </row>
    <row r="397" spans="1:27" x14ac:dyDescent="0.25">
      <c r="A397">
        <v>395</v>
      </c>
      <c r="B397" t="s">
        <v>869</v>
      </c>
      <c r="C397" s="4" t="s">
        <v>587</v>
      </c>
      <c r="D397" s="4">
        <v>5000000000</v>
      </c>
      <c r="E397" t="s">
        <v>17</v>
      </c>
      <c r="F397" s="1">
        <v>46816</v>
      </c>
      <c r="G397">
        <v>3.625</v>
      </c>
      <c r="H397" t="s">
        <v>9</v>
      </c>
      <c r="L397" t="s">
        <v>1168</v>
      </c>
      <c r="M397" t="s">
        <v>588</v>
      </c>
      <c r="N397" t="s">
        <v>589</v>
      </c>
      <c r="O397" t="s">
        <v>3159</v>
      </c>
      <c r="P397" t="s">
        <v>2663</v>
      </c>
      <c r="Q397" t="s">
        <v>2663</v>
      </c>
      <c r="R397" t="s">
        <v>870</v>
      </c>
      <c r="S397">
        <v>20939674.654130399</v>
      </c>
      <c r="T397">
        <v>85</v>
      </c>
      <c r="U397" t="s">
        <v>1169</v>
      </c>
      <c r="W397" t="s">
        <v>591</v>
      </c>
      <c r="X397" t="str">
        <f t="shared" si="6"/>
        <v>AP285907@TRAC Corp</v>
      </c>
      <c r="Y397" t="str">
        <f>_xlfn.IFNA(_xll.BDP(X397,"INTERVAL_SUM", "MARKET_DATA_OVERRIDE=px_volume", "CALC_INTERVAL=5D"), "")</f>
        <v>#N/A N/A</v>
      </c>
      <c r="Z397" t="str" cm="1">
        <f t="array" ref="Z397">_xll.BDP(B397, "CF_ACT_CASH_PAID_FOR_INT_DEBT")</f>
        <v>#N/A N/A</v>
      </c>
      <c r="AA397" t="str" cm="1">
        <f t="array" ref="AA397">_xll.BDP(B397, "TYPE_OF_BOND")</f>
        <v>#N/A Field Not Applicable</v>
      </c>
    </row>
    <row r="398" spans="1:27" x14ac:dyDescent="0.25">
      <c r="A398">
        <v>396</v>
      </c>
      <c r="B398" t="s">
        <v>871</v>
      </c>
      <c r="C398" s="4" t="s">
        <v>587</v>
      </c>
      <c r="D398" s="4">
        <v>350698000</v>
      </c>
      <c r="E398" t="s">
        <v>17</v>
      </c>
      <c r="F398" s="1">
        <v>46650</v>
      </c>
      <c r="G398">
        <v>3.45</v>
      </c>
      <c r="H398" t="s">
        <v>9</v>
      </c>
      <c r="L398" t="s">
        <v>1187</v>
      </c>
      <c r="M398" t="s">
        <v>588</v>
      </c>
      <c r="N398" t="s">
        <v>589</v>
      </c>
      <c r="O398" t="s">
        <v>3159</v>
      </c>
      <c r="P398" t="s">
        <v>2663</v>
      </c>
      <c r="Q398" t="s">
        <v>2663</v>
      </c>
      <c r="R398" t="s">
        <v>872</v>
      </c>
      <c r="S398">
        <v>35551108.068135597</v>
      </c>
      <c r="T398">
        <v>61</v>
      </c>
      <c r="U398">
        <v>5251</v>
      </c>
      <c r="W398" t="s">
        <v>591</v>
      </c>
      <c r="X398" t="str">
        <f t="shared" si="6"/>
        <v>AP285098@TRAC Corp</v>
      </c>
      <c r="Y398" t="str">
        <f>_xlfn.IFNA(_xll.BDP(X398,"INTERVAL_SUM", "MARKET_DATA_OVERRIDE=px_volume", "CALC_INTERVAL=5D"), "")</f>
        <v>#N/A N/A</v>
      </c>
      <c r="Z398" t="str" cm="1">
        <f t="array" ref="Z398">_xll.BDP(B398, "CF_ACT_CASH_PAID_FOR_INT_DEBT")</f>
        <v>#N/A N/A</v>
      </c>
      <c r="AA398" t="str" cm="1">
        <f t="array" ref="AA398">_xll.BDP(B398, "TYPE_OF_BOND")</f>
        <v>Sukuk Al Mudarabah</v>
      </c>
    </row>
    <row r="399" spans="1:27" x14ac:dyDescent="0.25">
      <c r="A399">
        <v>397</v>
      </c>
      <c r="B399" t="s">
        <v>873</v>
      </c>
      <c r="C399" s="4" t="s">
        <v>587</v>
      </c>
      <c r="D399" s="4">
        <v>2000000000</v>
      </c>
      <c r="E399" t="s">
        <v>17</v>
      </c>
      <c r="F399" s="1">
        <v>46622</v>
      </c>
      <c r="G399">
        <v>3.5</v>
      </c>
      <c r="H399" t="s">
        <v>9</v>
      </c>
      <c r="L399" t="s">
        <v>1187</v>
      </c>
      <c r="M399" t="s">
        <v>588</v>
      </c>
      <c r="N399" t="s">
        <v>589</v>
      </c>
      <c r="O399" t="s">
        <v>3159</v>
      </c>
      <c r="P399" t="s">
        <v>2663</v>
      </c>
      <c r="Q399" t="s">
        <v>2663</v>
      </c>
      <c r="R399" t="s">
        <v>874</v>
      </c>
      <c r="S399">
        <v>91853335.481107697</v>
      </c>
      <c r="T399">
        <v>83</v>
      </c>
      <c r="U399">
        <v>5248</v>
      </c>
      <c r="W399" t="s">
        <v>591</v>
      </c>
      <c r="X399" t="str">
        <f t="shared" si="6"/>
        <v>AO951492@TRAC Corp</v>
      </c>
      <c r="Y399" t="str">
        <f>_xlfn.IFNA(_xll.BDP(X399,"INTERVAL_SUM", "MARKET_DATA_OVERRIDE=px_volume", "CALC_INTERVAL=5D"), "")</f>
        <v>#N/A N/A</v>
      </c>
      <c r="Z399" t="str" cm="1">
        <f t="array" ref="Z399">_xll.BDP(B399, "CF_ACT_CASH_PAID_FOR_INT_DEBT")</f>
        <v>#N/A N/A</v>
      </c>
      <c r="AA399" t="str" cm="1">
        <f t="array" ref="AA399">_xll.BDP(B399, "TYPE_OF_BOND")</f>
        <v>Sukuk Al Mudarabah</v>
      </c>
    </row>
    <row r="400" spans="1:27" x14ac:dyDescent="0.25">
      <c r="A400">
        <v>398</v>
      </c>
      <c r="B400" t="s">
        <v>875</v>
      </c>
      <c r="C400" s="4" t="s">
        <v>587</v>
      </c>
      <c r="D400" s="4">
        <v>4787689000</v>
      </c>
      <c r="E400" t="s">
        <v>17</v>
      </c>
      <c r="F400" s="1">
        <v>46594</v>
      </c>
      <c r="G400">
        <v>3.55</v>
      </c>
      <c r="H400" t="s">
        <v>9</v>
      </c>
      <c r="L400" t="s">
        <v>1187</v>
      </c>
      <c r="M400" t="s">
        <v>588</v>
      </c>
      <c r="N400" t="s">
        <v>589</v>
      </c>
      <c r="O400" t="s">
        <v>3159</v>
      </c>
      <c r="P400" t="s">
        <v>2663</v>
      </c>
      <c r="Q400" t="s">
        <v>2663</v>
      </c>
      <c r="R400" t="s">
        <v>876</v>
      </c>
      <c r="S400">
        <v>83850320.117731407</v>
      </c>
      <c r="T400">
        <v>85</v>
      </c>
      <c r="U400">
        <v>5245</v>
      </c>
      <c r="W400" t="s">
        <v>591</v>
      </c>
      <c r="X400" t="str">
        <f t="shared" si="6"/>
        <v>AO534193@TRAC Corp</v>
      </c>
      <c r="Y400" t="str">
        <f>_xlfn.IFNA(_xll.BDP(X400,"INTERVAL_SUM", "MARKET_DATA_OVERRIDE=px_volume", "CALC_INTERVAL=5D"), "")</f>
        <v>#N/A N/A</v>
      </c>
      <c r="Z400" t="str" cm="1">
        <f t="array" ref="Z400">_xll.BDP(B400, "CF_ACT_CASH_PAID_FOR_INT_DEBT")</f>
        <v>#N/A N/A</v>
      </c>
      <c r="AA400" t="str" cm="1">
        <f t="array" ref="AA400">_xll.BDP(B400, "TYPE_OF_BOND")</f>
        <v>Sukuk Al Mudarabah</v>
      </c>
    </row>
    <row r="401" spans="1:27" x14ac:dyDescent="0.25">
      <c r="A401">
        <v>399</v>
      </c>
      <c r="B401" t="s">
        <v>877</v>
      </c>
      <c r="C401" s="4" t="s">
        <v>587</v>
      </c>
      <c r="D401" s="4">
        <v>4500000000</v>
      </c>
      <c r="E401" t="s">
        <v>17</v>
      </c>
      <c r="F401" s="1">
        <v>46497</v>
      </c>
      <c r="G401">
        <v>3.6280000000000001</v>
      </c>
      <c r="H401" t="s">
        <v>9</v>
      </c>
      <c r="L401" t="s">
        <v>1168</v>
      </c>
      <c r="M401" t="s">
        <v>595</v>
      </c>
      <c r="N401" t="s">
        <v>589</v>
      </c>
      <c r="O401" t="s">
        <v>3159</v>
      </c>
      <c r="P401" t="s">
        <v>2663</v>
      </c>
      <c r="Q401" t="s">
        <v>2663</v>
      </c>
      <c r="R401" t="s">
        <v>878</v>
      </c>
      <c r="S401">
        <v>51812116.9226555</v>
      </c>
      <c r="T401">
        <v>89</v>
      </c>
      <c r="U401" t="s">
        <v>1169</v>
      </c>
      <c r="W401" t="s">
        <v>591</v>
      </c>
      <c r="X401" t="str">
        <f t="shared" si="6"/>
        <v>AN246363@TRAC Corp</v>
      </c>
      <c r="Y401" t="str">
        <f>_xlfn.IFNA(_xll.BDP(X401,"INTERVAL_SUM", "MARKET_DATA_OVERRIDE=px_volume", "CALC_INTERVAL=5D"), "")</f>
        <v>#N/A N/A</v>
      </c>
      <c r="Z401" t="str" cm="1">
        <f t="array" ref="Z401">_xll.BDP(B401, "CF_ACT_CASH_PAID_FOR_INT_DEBT")</f>
        <v>#N/A N/A</v>
      </c>
      <c r="AA401" t="str" cm="1">
        <f t="array" ref="AA401">_xll.BDP(B401, "TYPE_OF_BOND")</f>
        <v>Sukuk Al Mudarabah</v>
      </c>
    </row>
    <row r="402" spans="1:27" x14ac:dyDescent="0.25">
      <c r="A402">
        <v>400</v>
      </c>
      <c r="B402" t="s">
        <v>879</v>
      </c>
      <c r="C402" s="4" t="s">
        <v>587</v>
      </c>
      <c r="D402" s="4">
        <v>2800000000</v>
      </c>
      <c r="E402" t="s">
        <v>17</v>
      </c>
      <c r="F402" s="1">
        <v>48200</v>
      </c>
      <c r="H402" t="s">
        <v>13</v>
      </c>
      <c r="L402" t="s">
        <v>1168</v>
      </c>
      <c r="M402" t="s">
        <v>588</v>
      </c>
      <c r="N402" t="s">
        <v>537</v>
      </c>
      <c r="O402" t="s">
        <v>3129</v>
      </c>
      <c r="P402" t="s">
        <v>2648</v>
      </c>
      <c r="Q402" t="s">
        <v>2648</v>
      </c>
      <c r="R402" t="s">
        <v>880</v>
      </c>
      <c r="V402" t="s">
        <v>881</v>
      </c>
      <c r="W402" t="s">
        <v>591</v>
      </c>
      <c r="X402" t="str">
        <f t="shared" si="6"/>
        <v>BL497974@TRAC Corp</v>
      </c>
      <c r="Y402" t="str">
        <f>_xlfn.IFNA(_xll.BDP(X402,"INTERVAL_SUM", "MARKET_DATA_OVERRIDE=px_volume", "CALC_INTERVAL=5D"), "")</f>
        <v>#N/A N/A</v>
      </c>
      <c r="Z402" cm="1">
        <f t="array" ref="Z402">_xll.BDP(B402, "CF_ACT_CASH_PAID_FOR_INT_DEBT")</f>
        <v>4462.8973296042568</v>
      </c>
      <c r="AA402" t="str" cm="1">
        <f t="array" ref="AA402">_xll.BDP(B402, "TYPE_OF_BOND")</f>
        <v>#N/A Field Not Applicable</v>
      </c>
    </row>
    <row r="403" spans="1:27" x14ac:dyDescent="0.25">
      <c r="A403">
        <v>401</v>
      </c>
      <c r="B403" t="s">
        <v>882</v>
      </c>
      <c r="C403" s="4" t="s">
        <v>587</v>
      </c>
      <c r="D403" s="4">
        <v>4200000000</v>
      </c>
      <c r="E403" t="s">
        <v>17</v>
      </c>
      <c r="F403" s="1">
        <v>48200</v>
      </c>
      <c r="H403" t="s">
        <v>13</v>
      </c>
      <c r="L403" t="s">
        <v>1168</v>
      </c>
      <c r="M403" t="s">
        <v>588</v>
      </c>
      <c r="N403" t="s">
        <v>537</v>
      </c>
      <c r="O403" t="s">
        <v>3129</v>
      </c>
      <c r="P403" t="s">
        <v>2648</v>
      </c>
      <c r="Q403" t="s">
        <v>2648</v>
      </c>
      <c r="R403" t="s">
        <v>880</v>
      </c>
      <c r="V403" t="s">
        <v>881</v>
      </c>
      <c r="W403" t="s">
        <v>591</v>
      </c>
      <c r="X403" t="str">
        <f t="shared" si="6"/>
        <v>BL493113@TRAC Corp</v>
      </c>
      <c r="Y403" t="str">
        <f>_xlfn.IFNA(_xll.BDP(X403,"INTERVAL_SUM", "MARKET_DATA_OVERRIDE=px_volume", "CALC_INTERVAL=5D"), "")</f>
        <v>#N/A N/A</v>
      </c>
      <c r="Z403" cm="1">
        <f t="array" ref="Z403">_xll.BDP(B403, "CF_ACT_CASH_PAID_FOR_INT_DEBT")</f>
        <v>4462.8973296042568</v>
      </c>
      <c r="AA403" t="str" cm="1">
        <f t="array" ref="AA403">_xll.BDP(B403, "TYPE_OF_BOND")</f>
        <v>#N/A Field Not Applicable</v>
      </c>
    </row>
    <row r="404" spans="1:27" x14ac:dyDescent="0.25">
      <c r="A404">
        <v>402</v>
      </c>
      <c r="B404" t="s">
        <v>883</v>
      </c>
      <c r="C404" s="4" t="s">
        <v>587</v>
      </c>
      <c r="D404" s="4">
        <v>800000000</v>
      </c>
      <c r="E404" t="s">
        <v>17</v>
      </c>
      <c r="F404" s="1">
        <v>47333</v>
      </c>
      <c r="G404">
        <v>9.5140999999999991</v>
      </c>
      <c r="H404" t="s">
        <v>13</v>
      </c>
      <c r="I404" t="s">
        <v>2631</v>
      </c>
      <c r="J404">
        <v>575</v>
      </c>
      <c r="L404" t="s">
        <v>1168</v>
      </c>
      <c r="M404" t="s">
        <v>10</v>
      </c>
      <c r="N404" t="s">
        <v>36</v>
      </c>
      <c r="O404" t="s">
        <v>3162</v>
      </c>
      <c r="P404" t="s">
        <v>2666</v>
      </c>
      <c r="Q404" t="s">
        <v>3163</v>
      </c>
      <c r="R404" t="s">
        <v>884</v>
      </c>
      <c r="V404" t="s">
        <v>327</v>
      </c>
      <c r="W404" t="s">
        <v>591</v>
      </c>
      <c r="X404" t="str">
        <f t="shared" si="6"/>
        <v>BL473898@TRAC Corp</v>
      </c>
      <c r="Y404" t="str">
        <f>_xlfn.IFNA(_xll.BDP(X404,"INTERVAL_SUM", "MARKET_DATA_OVERRIDE=px_volume", "CALC_INTERVAL=5D"), "")</f>
        <v>#N/A N/A</v>
      </c>
      <c r="Z404" cm="1">
        <f t="array" ref="Z404">_xll.BDP(B404, "CF_ACT_CASH_PAID_FOR_INT_DEBT")</f>
        <v>55.819000000000003</v>
      </c>
      <c r="AA404" t="str" cm="1">
        <f t="array" ref="AA404">_xll.BDP(B404, "TYPE_OF_BOND")</f>
        <v>#N/A Field Not Applicable</v>
      </c>
    </row>
    <row r="405" spans="1:27" x14ac:dyDescent="0.25">
      <c r="A405">
        <v>403</v>
      </c>
      <c r="B405" t="s">
        <v>885</v>
      </c>
      <c r="C405" s="4" t="s">
        <v>587</v>
      </c>
      <c r="D405" s="4">
        <v>500000000</v>
      </c>
      <c r="E405" t="s">
        <v>17</v>
      </c>
      <c r="F405" s="1">
        <v>47150</v>
      </c>
      <c r="H405" t="s">
        <v>13</v>
      </c>
      <c r="L405" t="s">
        <v>1187</v>
      </c>
      <c r="M405" t="s">
        <v>588</v>
      </c>
      <c r="N405" t="s">
        <v>537</v>
      </c>
      <c r="O405" t="s">
        <v>3129</v>
      </c>
      <c r="P405" t="s">
        <v>2664</v>
      </c>
      <c r="Q405" t="s">
        <v>3168</v>
      </c>
      <c r="R405" t="s">
        <v>886</v>
      </c>
      <c r="V405" t="s">
        <v>881</v>
      </c>
      <c r="W405" t="s">
        <v>591</v>
      </c>
      <c r="X405" t="str">
        <f t="shared" si="6"/>
        <v>BL458155@TRAC Corp</v>
      </c>
      <c r="Y405" t="str">
        <f>_xlfn.IFNA(_xll.BDP(X405,"INTERVAL_SUM", "MARKET_DATA_OVERRIDE=px_volume", "CALC_INTERVAL=5D"), "")</f>
        <v>#N/A N/A</v>
      </c>
      <c r="Z405" t="str" cm="1">
        <f t="array" ref="Z405">_xll.BDP(B405, "CF_ACT_CASH_PAID_FOR_INT_DEBT")</f>
        <v>#N/A N/A</v>
      </c>
      <c r="AA405" t="str" cm="1">
        <f t="array" ref="AA405">_xll.BDP(B405, "TYPE_OF_BOND")</f>
        <v>#N/A Field Not Applicable</v>
      </c>
    </row>
    <row r="406" spans="1:27" x14ac:dyDescent="0.25">
      <c r="A406">
        <v>404</v>
      </c>
      <c r="B406" t="s">
        <v>887</v>
      </c>
      <c r="C406" s="4" t="s">
        <v>587</v>
      </c>
      <c r="D406" s="4">
        <v>698960000</v>
      </c>
      <c r="E406" t="s">
        <v>11</v>
      </c>
      <c r="F406" s="1">
        <v>49933</v>
      </c>
      <c r="H406" t="s">
        <v>13</v>
      </c>
      <c r="L406" t="s">
        <v>1168</v>
      </c>
      <c r="M406" t="s">
        <v>588</v>
      </c>
      <c r="N406" t="s">
        <v>36</v>
      </c>
      <c r="O406" t="s">
        <v>3148</v>
      </c>
      <c r="P406" t="s">
        <v>2668</v>
      </c>
      <c r="Q406" t="s">
        <v>3169</v>
      </c>
      <c r="R406" t="s">
        <v>888</v>
      </c>
      <c r="V406" t="s">
        <v>881</v>
      </c>
      <c r="W406" t="s">
        <v>591</v>
      </c>
      <c r="X406" t="str">
        <f t="shared" si="6"/>
        <v>BL451013@TRAC Corp</v>
      </c>
      <c r="Y406" t="str">
        <f>_xlfn.IFNA(_xll.BDP(X406,"INTERVAL_SUM", "MARKET_DATA_OVERRIDE=px_volume", "CALC_INTERVAL=5D"), "")</f>
        <v>#N/A N/A</v>
      </c>
      <c r="Z406" cm="1">
        <f t="array" ref="Z406">_xll.BDP(B406, "CF_ACT_CASH_PAID_FOR_INT_DEBT")</f>
        <v>4462.8973296042568</v>
      </c>
      <c r="AA406" t="str" cm="1">
        <f t="array" ref="AA406">_xll.BDP(B406, "TYPE_OF_BOND")</f>
        <v>#N/A Field Not Applicable</v>
      </c>
    </row>
    <row r="407" spans="1:27" x14ac:dyDescent="0.25">
      <c r="A407">
        <v>405</v>
      </c>
      <c r="B407" t="s">
        <v>889</v>
      </c>
      <c r="C407" s="4" t="s">
        <v>587</v>
      </c>
      <c r="D407" s="4">
        <v>3000000000</v>
      </c>
      <c r="E407" t="s">
        <v>11</v>
      </c>
      <c r="F407" s="1">
        <v>50007</v>
      </c>
      <c r="H407" t="s">
        <v>13</v>
      </c>
      <c r="L407" t="s">
        <v>1168</v>
      </c>
      <c r="M407" t="s">
        <v>588</v>
      </c>
      <c r="N407" t="s">
        <v>537</v>
      </c>
      <c r="O407" t="s">
        <v>3129</v>
      </c>
      <c r="P407" t="s">
        <v>2648</v>
      </c>
      <c r="Q407" t="s">
        <v>2648</v>
      </c>
      <c r="R407" t="s">
        <v>890</v>
      </c>
      <c r="V407" t="s">
        <v>227</v>
      </c>
      <c r="W407" t="s">
        <v>591</v>
      </c>
      <c r="X407" t="str">
        <f t="shared" si="6"/>
        <v>BL448468@TRAC Corp</v>
      </c>
      <c r="Y407" t="str">
        <f>_xlfn.IFNA(_xll.BDP(X407,"INTERVAL_SUM", "MARKET_DATA_OVERRIDE=px_volume", "CALC_INTERVAL=5D"), "")</f>
        <v>#N/A N/A</v>
      </c>
      <c r="Z407" cm="1">
        <f t="array" ref="Z407">_xll.BDP(B407, "CF_ACT_CASH_PAID_FOR_INT_DEBT")</f>
        <v>4462.8973296042568</v>
      </c>
      <c r="AA407" t="str" cm="1">
        <f t="array" ref="AA407">_xll.BDP(B407, "TYPE_OF_BOND")</f>
        <v>#N/A Field Not Applicable</v>
      </c>
    </row>
    <row r="408" spans="1:27" x14ac:dyDescent="0.25">
      <c r="A408">
        <v>406</v>
      </c>
      <c r="B408" t="s">
        <v>891</v>
      </c>
      <c r="C408" s="4" t="s">
        <v>587</v>
      </c>
      <c r="D408" s="4">
        <v>11000000000</v>
      </c>
      <c r="E408" t="s">
        <v>17</v>
      </c>
      <c r="F408" s="1">
        <v>48906</v>
      </c>
      <c r="G408">
        <v>4.6795</v>
      </c>
      <c r="H408" t="s">
        <v>13</v>
      </c>
      <c r="I408" t="s">
        <v>2631</v>
      </c>
      <c r="J408">
        <v>100</v>
      </c>
      <c r="L408" t="s">
        <v>1168</v>
      </c>
      <c r="M408" t="s">
        <v>588</v>
      </c>
      <c r="N408" t="s">
        <v>589</v>
      </c>
      <c r="O408" t="s">
        <v>3159</v>
      </c>
      <c r="P408" t="s">
        <v>2663</v>
      </c>
      <c r="Q408" t="s">
        <v>2663</v>
      </c>
      <c r="R408" t="s">
        <v>892</v>
      </c>
      <c r="V408" t="s">
        <v>227</v>
      </c>
      <c r="W408" t="s">
        <v>591</v>
      </c>
      <c r="X408" t="str">
        <f t="shared" si="6"/>
        <v>BL442451@TRAC Corp</v>
      </c>
      <c r="Y408" t="str">
        <f>_xlfn.IFNA(_xll.BDP(X408,"INTERVAL_SUM", "MARKET_DATA_OVERRIDE=px_volume", "CALC_INTERVAL=5D"), "")</f>
        <v>#N/A N/A</v>
      </c>
      <c r="Z408" t="str" cm="1">
        <f t="array" ref="Z408">_xll.BDP(B408, "CF_ACT_CASH_PAID_FOR_INT_DEBT")</f>
        <v>#N/A N/A</v>
      </c>
      <c r="AA408" t="str" cm="1">
        <f t="array" ref="AA408">_xll.BDP(B408, "TYPE_OF_BOND")</f>
        <v>#N/A Field Not Applicable</v>
      </c>
    </row>
    <row r="409" spans="1:27" x14ac:dyDescent="0.25">
      <c r="A409">
        <v>407</v>
      </c>
      <c r="B409" t="s">
        <v>893</v>
      </c>
      <c r="C409" s="4" t="s">
        <v>587</v>
      </c>
      <c r="D409" s="4">
        <v>1120000000</v>
      </c>
      <c r="E409" t="s">
        <v>17</v>
      </c>
      <c r="F409" s="1">
        <v>46972</v>
      </c>
      <c r="H409" t="s">
        <v>13</v>
      </c>
      <c r="L409" t="s">
        <v>1168</v>
      </c>
      <c r="M409" t="s">
        <v>588</v>
      </c>
      <c r="N409" t="s">
        <v>333</v>
      </c>
      <c r="O409" t="s">
        <v>3170</v>
      </c>
      <c r="P409" t="s">
        <v>2653</v>
      </c>
      <c r="Q409" t="s">
        <v>3171</v>
      </c>
      <c r="R409" t="s">
        <v>894</v>
      </c>
      <c r="V409" t="s">
        <v>881</v>
      </c>
      <c r="W409" t="s">
        <v>591</v>
      </c>
      <c r="X409" t="str">
        <f t="shared" si="6"/>
        <v>BL441728@TRAC Corp</v>
      </c>
      <c r="Y409" t="str">
        <f>_xlfn.IFNA(_xll.BDP(X409,"INTERVAL_SUM", "MARKET_DATA_OVERRIDE=px_volume", "CALC_INTERVAL=5D"), "")</f>
        <v>#N/A N/A</v>
      </c>
      <c r="Z409" cm="1">
        <f t="array" ref="Z409">_xll.BDP(B409, "CF_ACT_CASH_PAID_FOR_INT_DEBT")</f>
        <v>4462.8973296042568</v>
      </c>
      <c r="AA409" t="str" cm="1">
        <f t="array" ref="AA409">_xll.BDP(B409, "TYPE_OF_BOND")</f>
        <v>#N/A Field Not Applicable</v>
      </c>
    </row>
    <row r="410" spans="1:27" x14ac:dyDescent="0.25">
      <c r="A410">
        <v>408</v>
      </c>
      <c r="B410" t="s">
        <v>895</v>
      </c>
      <c r="C410" s="4" t="s">
        <v>587</v>
      </c>
      <c r="D410" s="4">
        <v>850000000</v>
      </c>
      <c r="E410" t="s">
        <v>17</v>
      </c>
      <c r="F410" s="1">
        <v>46904</v>
      </c>
      <c r="H410" t="s">
        <v>13</v>
      </c>
      <c r="L410" t="s">
        <v>1168</v>
      </c>
      <c r="M410" t="s">
        <v>588</v>
      </c>
      <c r="N410" t="s">
        <v>537</v>
      </c>
      <c r="O410" t="s">
        <v>3165</v>
      </c>
      <c r="P410" t="s">
        <v>2664</v>
      </c>
      <c r="Q410" t="s">
        <v>3166</v>
      </c>
      <c r="R410" t="s">
        <v>896</v>
      </c>
      <c r="V410" t="s">
        <v>227</v>
      </c>
      <c r="W410" t="s">
        <v>591</v>
      </c>
      <c r="X410" t="str">
        <f t="shared" si="6"/>
        <v>BL429851@TRAC Corp</v>
      </c>
      <c r="Y410" t="str">
        <f>_xlfn.IFNA(_xll.BDP(X410,"INTERVAL_SUM", "MARKET_DATA_OVERRIDE=px_volume", "CALC_INTERVAL=5D"), "")</f>
        <v>#N/A N/A</v>
      </c>
      <c r="Z410" cm="1">
        <f t="array" ref="Z410">_xll.BDP(B410, "CF_ACT_CASH_PAID_FOR_INT_DEBT")</f>
        <v>4462.8973296042568</v>
      </c>
      <c r="AA410" t="str" cm="1">
        <f t="array" ref="AA410">_xll.BDP(B410, "TYPE_OF_BOND")</f>
        <v>#N/A Field Not Applicable</v>
      </c>
    </row>
    <row r="411" spans="1:27" x14ac:dyDescent="0.25">
      <c r="A411">
        <v>409</v>
      </c>
      <c r="B411" t="s">
        <v>897</v>
      </c>
      <c r="C411" s="4" t="s">
        <v>587</v>
      </c>
      <c r="D411" s="4">
        <v>17000000000</v>
      </c>
      <c r="E411" t="s">
        <v>17</v>
      </c>
      <c r="F411" s="1">
        <v>47429</v>
      </c>
      <c r="H411" t="s">
        <v>13</v>
      </c>
      <c r="L411" t="s">
        <v>1168</v>
      </c>
      <c r="M411" t="s">
        <v>588</v>
      </c>
      <c r="N411" t="s">
        <v>537</v>
      </c>
      <c r="O411" t="s">
        <v>3129</v>
      </c>
      <c r="P411" t="s">
        <v>2648</v>
      </c>
      <c r="Q411" t="s">
        <v>2648</v>
      </c>
      <c r="R411" t="s">
        <v>880</v>
      </c>
      <c r="V411" t="s">
        <v>227</v>
      </c>
      <c r="W411" t="s">
        <v>591</v>
      </c>
      <c r="X411" t="str">
        <f t="shared" si="6"/>
        <v>BL406543@TRAC Corp</v>
      </c>
      <c r="Y411" t="str">
        <f>_xlfn.IFNA(_xll.BDP(X411,"INTERVAL_SUM", "MARKET_DATA_OVERRIDE=px_volume", "CALC_INTERVAL=5D"), "")</f>
        <v>#N/A N/A</v>
      </c>
      <c r="Z411" cm="1">
        <f t="array" ref="Z411">_xll.BDP(B411, "CF_ACT_CASH_PAID_FOR_INT_DEBT")</f>
        <v>4462.8973296042568</v>
      </c>
      <c r="AA411" t="str" cm="1">
        <f t="array" ref="AA411">_xll.BDP(B411, "TYPE_OF_BOND")</f>
        <v>#N/A Field Not Applicable</v>
      </c>
    </row>
    <row r="412" spans="1:27" x14ac:dyDescent="0.25">
      <c r="A412">
        <v>410</v>
      </c>
      <c r="B412" t="s">
        <v>898</v>
      </c>
      <c r="C412" s="4" t="s">
        <v>587</v>
      </c>
      <c r="D412" s="4">
        <v>2500000000</v>
      </c>
      <c r="E412" t="s">
        <v>17</v>
      </c>
      <c r="F412" s="1"/>
      <c r="H412" t="s">
        <v>13</v>
      </c>
      <c r="L412" t="s">
        <v>1187</v>
      </c>
      <c r="M412" t="s">
        <v>588</v>
      </c>
      <c r="N412" t="s">
        <v>589</v>
      </c>
      <c r="O412" t="s">
        <v>3159</v>
      </c>
      <c r="P412" t="s">
        <v>2663</v>
      </c>
      <c r="Q412" t="s">
        <v>2663</v>
      </c>
      <c r="R412" t="s">
        <v>899</v>
      </c>
      <c r="V412" t="s">
        <v>227</v>
      </c>
      <c r="W412" t="s">
        <v>591</v>
      </c>
      <c r="X412" t="str">
        <f t="shared" si="6"/>
        <v>BL400640@TRAC Corp</v>
      </c>
      <c r="Y412" t="str">
        <f>_xlfn.IFNA(_xll.BDP(X412,"INTERVAL_SUM", "MARKET_DATA_OVERRIDE=px_volume", "CALC_INTERVAL=5D"), "")</f>
        <v>#N/A N/A</v>
      </c>
      <c r="Z412" t="str" cm="1">
        <f t="array" ref="Z412">_xll.BDP(B412, "CF_ACT_CASH_PAID_FOR_INT_DEBT")</f>
        <v>#N/A N/A</v>
      </c>
      <c r="AA412" t="str" cm="1">
        <f t="array" ref="AA412">_xll.BDP(B412, "TYPE_OF_BOND")</f>
        <v>#N/A Field Not Applicable</v>
      </c>
    </row>
    <row r="413" spans="1:27" x14ac:dyDescent="0.25">
      <c r="A413">
        <v>411</v>
      </c>
      <c r="B413" t="s">
        <v>900</v>
      </c>
      <c r="C413" s="4" t="s">
        <v>587</v>
      </c>
      <c r="D413" s="4">
        <v>3000000000</v>
      </c>
      <c r="E413" t="s">
        <v>17</v>
      </c>
      <c r="F413" s="1">
        <v>47839</v>
      </c>
      <c r="H413" t="s">
        <v>13</v>
      </c>
      <c r="L413" t="s">
        <v>1168</v>
      </c>
      <c r="M413" t="s">
        <v>588</v>
      </c>
      <c r="N413" t="s">
        <v>589</v>
      </c>
      <c r="O413" t="s">
        <v>3159</v>
      </c>
      <c r="P413" t="s">
        <v>2663</v>
      </c>
      <c r="Q413" t="s">
        <v>2663</v>
      </c>
      <c r="R413" t="s">
        <v>901</v>
      </c>
      <c r="V413" t="s">
        <v>227</v>
      </c>
      <c r="W413" t="s">
        <v>591</v>
      </c>
      <c r="X413" t="str">
        <f t="shared" si="6"/>
        <v>BL354068@TRAC Corp</v>
      </c>
      <c r="Y413" t="str">
        <f>_xlfn.IFNA(_xll.BDP(X413,"INTERVAL_SUM", "MARKET_DATA_OVERRIDE=px_volume", "CALC_INTERVAL=5D"), "")</f>
        <v>#N/A N/A</v>
      </c>
      <c r="Z413" t="str" cm="1">
        <f t="array" ref="Z413">_xll.BDP(B413, "CF_ACT_CASH_PAID_FOR_INT_DEBT")</f>
        <v>#N/A N/A</v>
      </c>
      <c r="AA413" t="str" cm="1">
        <f t="array" ref="AA413">_xll.BDP(B413, "TYPE_OF_BOND")</f>
        <v>#N/A Field Not Applicable</v>
      </c>
    </row>
    <row r="414" spans="1:27" x14ac:dyDescent="0.25">
      <c r="A414">
        <v>412</v>
      </c>
      <c r="B414" t="s">
        <v>902</v>
      </c>
      <c r="C414" s="4" t="s">
        <v>587</v>
      </c>
      <c r="D414" s="4">
        <v>258000000</v>
      </c>
      <c r="E414" t="s">
        <v>17</v>
      </c>
      <c r="F414" s="1"/>
      <c r="H414" t="s">
        <v>13</v>
      </c>
      <c r="L414" t="s">
        <v>1168</v>
      </c>
      <c r="M414" t="s">
        <v>588</v>
      </c>
      <c r="N414" t="s">
        <v>589</v>
      </c>
      <c r="O414" t="s">
        <v>3159</v>
      </c>
      <c r="P414" t="s">
        <v>2663</v>
      </c>
      <c r="Q414" t="s">
        <v>2663</v>
      </c>
      <c r="R414" t="s">
        <v>903</v>
      </c>
      <c r="V414" t="s">
        <v>227</v>
      </c>
      <c r="W414" t="s">
        <v>591</v>
      </c>
      <c r="X414" t="str">
        <f t="shared" si="6"/>
        <v>BL346925@TRAC Corp</v>
      </c>
      <c r="Y414" t="str">
        <f>_xlfn.IFNA(_xll.BDP(X414,"INTERVAL_SUM", "MARKET_DATA_OVERRIDE=px_volume", "CALC_INTERVAL=5D"), "")</f>
        <v>#N/A N/A</v>
      </c>
      <c r="Z414" t="str" cm="1">
        <f t="array" ref="Z414">_xll.BDP(B414, "CF_ACT_CASH_PAID_FOR_INT_DEBT")</f>
        <v>#N/A N/A</v>
      </c>
      <c r="AA414" t="str" cm="1">
        <f t="array" ref="AA414">_xll.BDP(B414, "TYPE_OF_BOND")</f>
        <v>#N/A Field Not Applicable</v>
      </c>
    </row>
    <row r="415" spans="1:27" x14ac:dyDescent="0.25">
      <c r="A415">
        <v>413</v>
      </c>
      <c r="B415" t="s">
        <v>904</v>
      </c>
      <c r="C415" s="4" t="s">
        <v>587</v>
      </c>
      <c r="D415" s="4">
        <v>35000000</v>
      </c>
      <c r="E415" t="s">
        <v>17</v>
      </c>
      <c r="F415" s="1"/>
      <c r="H415" t="s">
        <v>13</v>
      </c>
      <c r="L415" t="s">
        <v>1177</v>
      </c>
      <c r="M415" t="s">
        <v>905</v>
      </c>
      <c r="N415" t="s">
        <v>36</v>
      </c>
      <c r="O415" t="s">
        <v>3172</v>
      </c>
      <c r="P415" t="s">
        <v>2669</v>
      </c>
      <c r="Q415" t="s">
        <v>3173</v>
      </c>
      <c r="R415" t="s">
        <v>906</v>
      </c>
      <c r="V415" t="s">
        <v>227</v>
      </c>
      <c r="W415" t="s">
        <v>591</v>
      </c>
      <c r="X415" t="str">
        <f t="shared" si="6"/>
        <v>BL290737@TRAC Corp</v>
      </c>
      <c r="Y415" t="str">
        <f>_xlfn.IFNA(_xll.BDP(X415,"INTERVAL_SUM", "MARKET_DATA_OVERRIDE=px_volume", "CALC_INTERVAL=5D"), "")</f>
        <v>#N/A N/A</v>
      </c>
      <c r="Z415" cm="1">
        <f t="array" ref="Z415">_xll.BDP(B415, "CF_ACT_CASH_PAID_FOR_INT_DEBT")</f>
        <v>4462.8973296042568</v>
      </c>
      <c r="AA415" t="str" cm="1">
        <f t="array" ref="AA415">_xll.BDP(B415, "TYPE_OF_BOND")</f>
        <v>#N/A Field Not Applicable</v>
      </c>
    </row>
    <row r="416" spans="1:27" x14ac:dyDescent="0.25">
      <c r="A416">
        <v>414</v>
      </c>
      <c r="B416" t="s">
        <v>907</v>
      </c>
      <c r="C416" s="4" t="s">
        <v>587</v>
      </c>
      <c r="D416" s="4">
        <v>9250000</v>
      </c>
      <c r="E416" t="s">
        <v>17</v>
      </c>
      <c r="F416" s="1"/>
      <c r="H416" t="s">
        <v>13</v>
      </c>
      <c r="L416" t="s">
        <v>1177</v>
      </c>
      <c r="M416" t="s">
        <v>905</v>
      </c>
      <c r="N416" t="s">
        <v>36</v>
      </c>
      <c r="O416" t="s">
        <v>3172</v>
      </c>
      <c r="P416" t="s">
        <v>2669</v>
      </c>
      <c r="Q416" t="s">
        <v>3173</v>
      </c>
      <c r="R416" t="s">
        <v>908</v>
      </c>
      <c r="V416" t="s">
        <v>227</v>
      </c>
      <c r="W416" t="s">
        <v>591</v>
      </c>
      <c r="X416" t="str">
        <f t="shared" si="6"/>
        <v>BL290736@TRAC Corp</v>
      </c>
      <c r="Y416" t="str">
        <f>_xlfn.IFNA(_xll.BDP(X416,"INTERVAL_SUM", "MARKET_DATA_OVERRIDE=px_volume", "CALC_INTERVAL=5D"), "")</f>
        <v>#N/A N/A</v>
      </c>
      <c r="Z416" cm="1">
        <f t="array" ref="Z416">_xll.BDP(B416, "CF_ACT_CASH_PAID_FOR_INT_DEBT")</f>
        <v>4462.8973296042568</v>
      </c>
      <c r="AA416" t="str" cm="1">
        <f t="array" ref="AA416">_xll.BDP(B416, "TYPE_OF_BOND")</f>
        <v>#N/A Field Not Applicable</v>
      </c>
    </row>
    <row r="417" spans="1:27" x14ac:dyDescent="0.25">
      <c r="A417">
        <v>415</v>
      </c>
      <c r="B417" t="s">
        <v>909</v>
      </c>
      <c r="C417" s="4" t="s">
        <v>587</v>
      </c>
      <c r="D417" s="4">
        <v>11246000</v>
      </c>
      <c r="E417" t="s">
        <v>17</v>
      </c>
      <c r="F417" s="1"/>
      <c r="H417" t="s">
        <v>13</v>
      </c>
      <c r="L417" t="s">
        <v>1171</v>
      </c>
      <c r="M417" t="s">
        <v>905</v>
      </c>
      <c r="N417" t="s">
        <v>36</v>
      </c>
      <c r="O417" t="s">
        <v>3172</v>
      </c>
      <c r="P417" t="s">
        <v>2669</v>
      </c>
      <c r="Q417" t="s">
        <v>3173</v>
      </c>
      <c r="R417" t="s">
        <v>910</v>
      </c>
      <c r="V417" t="s">
        <v>227</v>
      </c>
      <c r="W417" t="s">
        <v>591</v>
      </c>
      <c r="X417" t="str">
        <f t="shared" si="6"/>
        <v>BL290734@TRAC Corp</v>
      </c>
      <c r="Y417" t="str">
        <f>_xlfn.IFNA(_xll.BDP(X417,"INTERVAL_SUM", "MARKET_DATA_OVERRIDE=px_volume", "CALC_INTERVAL=5D"), "")</f>
        <v>#N/A N/A</v>
      </c>
      <c r="Z417" cm="1">
        <f t="array" ref="Z417">_xll.BDP(B417, "CF_ACT_CASH_PAID_FOR_INT_DEBT")</f>
        <v>4462.8973296042568</v>
      </c>
      <c r="AA417" t="str" cm="1">
        <f t="array" ref="AA417">_xll.BDP(B417, "TYPE_OF_BOND")</f>
        <v>#N/A Field Not Applicable</v>
      </c>
    </row>
    <row r="418" spans="1:27" x14ac:dyDescent="0.25">
      <c r="A418">
        <v>416</v>
      </c>
      <c r="B418" t="s">
        <v>911</v>
      </c>
      <c r="C418" s="4" t="s">
        <v>587</v>
      </c>
      <c r="D418" s="4">
        <v>56017107</v>
      </c>
      <c r="E418" t="s">
        <v>17</v>
      </c>
      <c r="F418" s="1"/>
      <c r="H418" t="s">
        <v>13</v>
      </c>
      <c r="L418" t="s">
        <v>1171</v>
      </c>
      <c r="M418" t="s">
        <v>905</v>
      </c>
      <c r="N418" t="s">
        <v>36</v>
      </c>
      <c r="O418" t="s">
        <v>3172</v>
      </c>
      <c r="P418" t="s">
        <v>2669</v>
      </c>
      <c r="Q418" t="s">
        <v>3173</v>
      </c>
      <c r="R418" t="s">
        <v>912</v>
      </c>
      <c r="V418" t="s">
        <v>227</v>
      </c>
      <c r="W418" t="s">
        <v>591</v>
      </c>
      <c r="X418" t="str">
        <f t="shared" si="6"/>
        <v>BL290733@TRAC Corp</v>
      </c>
      <c r="Y418" t="str">
        <f>_xlfn.IFNA(_xll.BDP(X418,"INTERVAL_SUM", "MARKET_DATA_OVERRIDE=px_volume", "CALC_INTERVAL=5D"), "")</f>
        <v>#N/A N/A</v>
      </c>
      <c r="Z418" cm="1">
        <f t="array" ref="Z418">_xll.BDP(B418, "CF_ACT_CASH_PAID_FOR_INT_DEBT")</f>
        <v>4462.8973296042568</v>
      </c>
      <c r="AA418" t="str" cm="1">
        <f t="array" ref="AA418">_xll.BDP(B418, "TYPE_OF_BOND")</f>
        <v>#N/A Field Not Applicable</v>
      </c>
    </row>
    <row r="419" spans="1:27" x14ac:dyDescent="0.25">
      <c r="A419">
        <v>417</v>
      </c>
      <c r="B419" t="s">
        <v>913</v>
      </c>
      <c r="C419" s="4" t="s">
        <v>587</v>
      </c>
      <c r="D419" s="4">
        <v>53312500</v>
      </c>
      <c r="E419" t="s">
        <v>17</v>
      </c>
      <c r="F419" s="1"/>
      <c r="H419" t="s">
        <v>13</v>
      </c>
      <c r="L419" t="s">
        <v>1177</v>
      </c>
      <c r="M419" t="s">
        <v>905</v>
      </c>
      <c r="N419" t="s">
        <v>36</v>
      </c>
      <c r="O419" t="s">
        <v>3172</v>
      </c>
      <c r="P419" t="s">
        <v>2669</v>
      </c>
      <c r="Q419" t="s">
        <v>3173</v>
      </c>
      <c r="R419" t="s">
        <v>914</v>
      </c>
      <c r="V419" t="s">
        <v>227</v>
      </c>
      <c r="W419" t="s">
        <v>591</v>
      </c>
      <c r="X419" t="str">
        <f t="shared" si="6"/>
        <v>BL290732@TRAC Corp</v>
      </c>
      <c r="Y419" t="str">
        <f>_xlfn.IFNA(_xll.BDP(X419,"INTERVAL_SUM", "MARKET_DATA_OVERRIDE=px_volume", "CALC_INTERVAL=5D"), "")</f>
        <v>#N/A N/A</v>
      </c>
      <c r="Z419" cm="1">
        <f t="array" ref="Z419">_xll.BDP(B419, "CF_ACT_CASH_PAID_FOR_INT_DEBT")</f>
        <v>4462.8973296042568</v>
      </c>
      <c r="AA419" t="str" cm="1">
        <f t="array" ref="AA419">_xll.BDP(B419, "TYPE_OF_BOND")</f>
        <v>#N/A Field Not Applicable</v>
      </c>
    </row>
    <row r="420" spans="1:27" x14ac:dyDescent="0.25">
      <c r="A420">
        <v>418</v>
      </c>
      <c r="B420" t="s">
        <v>915</v>
      </c>
      <c r="C420" s="4" t="s">
        <v>916</v>
      </c>
      <c r="D420" s="4">
        <v>500000000</v>
      </c>
      <c r="E420" t="s">
        <v>12</v>
      </c>
      <c r="F420" s="1">
        <v>48321</v>
      </c>
      <c r="G420">
        <v>8.75</v>
      </c>
      <c r="H420" t="s">
        <v>9</v>
      </c>
      <c r="L420" t="s">
        <v>1168</v>
      </c>
      <c r="M420" t="s">
        <v>10</v>
      </c>
      <c r="N420" t="s">
        <v>14</v>
      </c>
      <c r="O420" t="s">
        <v>3120</v>
      </c>
      <c r="P420" t="s">
        <v>2650</v>
      </c>
      <c r="Q420" t="s">
        <v>3147</v>
      </c>
      <c r="R420" t="s">
        <v>917</v>
      </c>
      <c r="S420">
        <v>1594791.8286301501</v>
      </c>
      <c r="T420">
        <v>30</v>
      </c>
      <c r="U420" t="s">
        <v>1169</v>
      </c>
      <c r="W420" t="s">
        <v>918</v>
      </c>
      <c r="X420" t="str">
        <f t="shared" si="6"/>
        <v>YM492256@TRAC Corp</v>
      </c>
      <c r="Y420">
        <f>_xlfn.IFNA(_xll.BDP(X420,"INTERVAL_SUM", "MARKET_DATA_OVERRIDE=px_volume", "CALC_INTERVAL=5D"), "")</f>
        <v>5216</v>
      </c>
      <c r="Z420" t="str" cm="1">
        <f t="array" ref="Z420">_xll.BDP(B420, "CF_ACT_CASH_PAID_FOR_INT_DEBT")</f>
        <v>#N/A N/A</v>
      </c>
      <c r="AA420" t="str" cm="1">
        <f t="array" ref="AA420">_xll.BDP(B420, "TYPE_OF_BOND")</f>
        <v>#N/A Field Not Applicable</v>
      </c>
    </row>
    <row r="421" spans="1:27" x14ac:dyDescent="0.25">
      <c r="A421">
        <v>419</v>
      </c>
      <c r="B421" t="s">
        <v>919</v>
      </c>
      <c r="C421" s="4" t="s">
        <v>916</v>
      </c>
      <c r="D421" s="4">
        <v>1750000000</v>
      </c>
      <c r="E421" t="s">
        <v>11</v>
      </c>
      <c r="F421" s="1">
        <v>48323</v>
      </c>
      <c r="G421">
        <v>8.2494999999999994</v>
      </c>
      <c r="H421" t="s">
        <v>13</v>
      </c>
      <c r="I421" t="s">
        <v>2635</v>
      </c>
      <c r="J421">
        <v>450</v>
      </c>
      <c r="L421" t="s">
        <v>1168</v>
      </c>
      <c r="M421" t="s">
        <v>10</v>
      </c>
      <c r="N421" t="s">
        <v>14</v>
      </c>
      <c r="O421" t="s">
        <v>3120</v>
      </c>
      <c r="P421" t="s">
        <v>2650</v>
      </c>
      <c r="Q421" t="s">
        <v>3147</v>
      </c>
      <c r="R421" t="s">
        <v>920</v>
      </c>
      <c r="S421">
        <v>4038933.6078930199</v>
      </c>
      <c r="T421">
        <v>13</v>
      </c>
      <c r="V421" t="s">
        <v>227</v>
      </c>
      <c r="W421" t="s">
        <v>918</v>
      </c>
      <c r="X421" t="str">
        <f t="shared" si="6"/>
        <v>BL488456@TRAC Corp</v>
      </c>
      <c r="Y421" t="str">
        <f>_xlfn.IFNA(_xll.BDP(X421,"INTERVAL_SUM", "MARKET_DATA_OVERRIDE=px_volume", "CALC_INTERVAL=5D"), "")</f>
        <v>#N/A N/A</v>
      </c>
      <c r="Z421" t="str" cm="1">
        <f t="array" ref="Z421">_xll.BDP(B421, "CF_ACT_CASH_PAID_FOR_INT_DEBT")</f>
        <v>#N/A N/A</v>
      </c>
      <c r="AA421" t="str" cm="1">
        <f t="array" ref="AA421">_xll.BDP(B421, "TYPE_OF_BOND")</f>
        <v>#N/A Field Not Applicable</v>
      </c>
    </row>
    <row r="422" spans="1:27" x14ac:dyDescent="0.25">
      <c r="A422">
        <v>420</v>
      </c>
      <c r="B422" t="s">
        <v>921</v>
      </c>
      <c r="C422" s="4" t="s">
        <v>922</v>
      </c>
      <c r="D422" s="4">
        <v>50000000</v>
      </c>
      <c r="E422" t="s">
        <v>17</v>
      </c>
      <c r="F422" s="1">
        <v>46235</v>
      </c>
      <c r="G422">
        <v>7.32</v>
      </c>
      <c r="H422" t="s">
        <v>9</v>
      </c>
      <c r="L422" t="s">
        <v>1168</v>
      </c>
      <c r="M422" t="s">
        <v>10</v>
      </c>
      <c r="N422" t="s">
        <v>36</v>
      </c>
      <c r="O422" t="s">
        <v>3148</v>
      </c>
      <c r="P422" t="s">
        <v>2659</v>
      </c>
      <c r="Q422" t="s">
        <v>3149</v>
      </c>
      <c r="R422" t="s">
        <v>923</v>
      </c>
      <c r="S422">
        <v>4082517.34369954</v>
      </c>
      <c r="T422">
        <v>20</v>
      </c>
      <c r="W422" t="s">
        <v>924</v>
      </c>
      <c r="X422" t="str">
        <f t="shared" si="6"/>
        <v>ZD466569@TRAC Corp</v>
      </c>
      <c r="Y422" t="str">
        <f>_xlfn.IFNA(_xll.BDP(X422,"INTERVAL_SUM", "MARKET_DATA_OVERRIDE=px_volume", "CALC_INTERVAL=5D"), "")</f>
        <v>#N/A N/A</v>
      </c>
      <c r="Z422" cm="1">
        <f t="array" ref="Z422">_xll.BDP(B422, "CF_ACT_CASH_PAID_FOR_INT_DEBT")</f>
        <v>589.04499999999996</v>
      </c>
      <c r="AA422" t="str" cm="1">
        <f t="array" ref="AA422">_xll.BDP(B422, "TYPE_OF_BOND")</f>
        <v>Convertible</v>
      </c>
    </row>
    <row r="423" spans="1:27" x14ac:dyDescent="0.25">
      <c r="A423">
        <v>421</v>
      </c>
      <c r="B423" t="s">
        <v>925</v>
      </c>
      <c r="C423" s="4" t="s">
        <v>922</v>
      </c>
      <c r="D423" s="4">
        <v>445715000</v>
      </c>
      <c r="E423" t="s">
        <v>11</v>
      </c>
      <c r="F423" s="1">
        <v>47437</v>
      </c>
      <c r="G423">
        <v>10.75</v>
      </c>
      <c r="H423" t="s">
        <v>9</v>
      </c>
      <c r="L423" t="s">
        <v>1168</v>
      </c>
      <c r="M423" t="s">
        <v>10</v>
      </c>
      <c r="N423" t="s">
        <v>36</v>
      </c>
      <c r="O423" t="s">
        <v>3148</v>
      </c>
      <c r="P423" t="s">
        <v>2659</v>
      </c>
      <c r="Q423" t="s">
        <v>3149</v>
      </c>
      <c r="R423" t="s">
        <v>926</v>
      </c>
      <c r="S423">
        <v>5871568.6091359099</v>
      </c>
      <c r="T423">
        <v>23</v>
      </c>
      <c r="U423" t="s">
        <v>1169</v>
      </c>
      <c r="W423" t="s">
        <v>924</v>
      </c>
      <c r="X423" t="str">
        <f t="shared" si="6"/>
        <v>YT403411@TRAC Corp</v>
      </c>
      <c r="Y423">
        <f>_xlfn.IFNA(_xll.BDP(X423,"INTERVAL_SUM", "MARKET_DATA_OVERRIDE=px_volume", "CALC_INTERVAL=5D"), "")</f>
        <v>11162</v>
      </c>
      <c r="Z423" cm="1">
        <f t="array" ref="Z423">_xll.BDP(B423, "CF_ACT_CASH_PAID_FOR_INT_DEBT")</f>
        <v>589.04499999999996</v>
      </c>
      <c r="AA423" t="str" cm="1">
        <f t="array" ref="AA423">_xll.BDP(B423, "TYPE_OF_BOND")</f>
        <v>#N/A Field Not Applicable</v>
      </c>
    </row>
    <row r="424" spans="1:27" x14ac:dyDescent="0.25">
      <c r="A424">
        <v>422</v>
      </c>
      <c r="B424" t="s">
        <v>927</v>
      </c>
      <c r="C424" s="4" t="s">
        <v>922</v>
      </c>
      <c r="D424" s="4">
        <v>1325000000</v>
      </c>
      <c r="E424" t="s">
        <v>12</v>
      </c>
      <c r="F424" s="1">
        <v>47679</v>
      </c>
      <c r="G424">
        <v>11.125</v>
      </c>
      <c r="H424" t="s">
        <v>9</v>
      </c>
      <c r="L424" t="s">
        <v>1168</v>
      </c>
      <c r="M424" t="s">
        <v>10</v>
      </c>
      <c r="N424" t="s">
        <v>36</v>
      </c>
      <c r="O424" t="s">
        <v>3148</v>
      </c>
      <c r="P424" t="s">
        <v>2659</v>
      </c>
      <c r="Q424" t="s">
        <v>3149</v>
      </c>
      <c r="R424" t="s">
        <v>928</v>
      </c>
      <c r="S424">
        <v>6847404.7734846603</v>
      </c>
      <c r="T424">
        <v>27</v>
      </c>
      <c r="U424" t="s">
        <v>1169</v>
      </c>
      <c r="W424" t="s">
        <v>924</v>
      </c>
      <c r="X424" t="str">
        <f t="shared" si="6"/>
        <v>YO680747@TRAC Corp</v>
      </c>
      <c r="Y424">
        <f>_xlfn.IFNA(_xll.BDP(X424,"INTERVAL_SUM", "MARKET_DATA_OVERRIDE=px_volume", "CALC_INTERVAL=5D"), "")</f>
        <v>45014</v>
      </c>
      <c r="Z424" cm="1">
        <f t="array" ref="Z424">_xll.BDP(B424, "CF_ACT_CASH_PAID_FOR_INT_DEBT")</f>
        <v>589.04499999999996</v>
      </c>
      <c r="AA424" t="str" cm="1">
        <f t="array" ref="AA424">_xll.BDP(B424, "TYPE_OF_BOND")</f>
        <v>#N/A Field Not Applicable</v>
      </c>
    </row>
    <row r="425" spans="1:27" x14ac:dyDescent="0.25">
      <c r="A425">
        <v>423</v>
      </c>
      <c r="B425" t="s">
        <v>929</v>
      </c>
      <c r="C425" s="4" t="s">
        <v>922</v>
      </c>
      <c r="D425" s="4">
        <v>150000000</v>
      </c>
      <c r="E425" t="s">
        <v>17</v>
      </c>
      <c r="F425" s="1">
        <v>47983</v>
      </c>
      <c r="G425">
        <v>7</v>
      </c>
      <c r="H425" t="s">
        <v>9</v>
      </c>
      <c r="L425" t="s">
        <v>1168</v>
      </c>
      <c r="M425" t="s">
        <v>10</v>
      </c>
      <c r="N425" t="s">
        <v>36</v>
      </c>
      <c r="O425" t="s">
        <v>3148</v>
      </c>
      <c r="P425" t="s">
        <v>2659</v>
      </c>
      <c r="Q425" t="s">
        <v>3149</v>
      </c>
      <c r="R425" t="s">
        <v>930</v>
      </c>
      <c r="S425">
        <v>1804603.8898064001</v>
      </c>
      <c r="T425">
        <v>8</v>
      </c>
      <c r="W425" t="s">
        <v>924</v>
      </c>
      <c r="X425" t="str">
        <f t="shared" si="6"/>
        <v>DK754920@TRAC Corp</v>
      </c>
      <c r="Y425" t="str">
        <f>_xlfn.IFNA(_xll.BDP(X425,"INTERVAL_SUM", "MARKET_DATA_OVERRIDE=px_volume", "CALC_INTERVAL=5D"), "")</f>
        <v>#N/A N/A</v>
      </c>
      <c r="Z425" cm="1">
        <f t="array" ref="Z425">_xll.BDP(B425, "CF_ACT_CASH_PAID_FOR_INT_DEBT")</f>
        <v>589.04499999999996</v>
      </c>
      <c r="AA425" t="str" cm="1">
        <f t="array" ref="AA425">_xll.BDP(B425, "TYPE_OF_BOND")</f>
        <v>Convertible</v>
      </c>
    </row>
    <row r="426" spans="1:27" x14ac:dyDescent="0.25">
      <c r="A426">
        <v>424</v>
      </c>
      <c r="B426" t="s">
        <v>931</v>
      </c>
      <c r="C426" s="4" t="s">
        <v>922</v>
      </c>
      <c r="D426" s="4">
        <v>469802000</v>
      </c>
      <c r="E426" t="s">
        <v>12</v>
      </c>
      <c r="F426" s="1">
        <v>47557</v>
      </c>
      <c r="G426">
        <v>10.75</v>
      </c>
      <c r="H426" t="s">
        <v>9</v>
      </c>
      <c r="L426" t="s">
        <v>1168</v>
      </c>
      <c r="M426" t="s">
        <v>10</v>
      </c>
      <c r="N426" t="s">
        <v>36</v>
      </c>
      <c r="O426" t="s">
        <v>3148</v>
      </c>
      <c r="P426" t="s">
        <v>2659</v>
      </c>
      <c r="Q426" t="s">
        <v>3149</v>
      </c>
      <c r="R426" t="s">
        <v>932</v>
      </c>
      <c r="S426">
        <v>4526283.6803198699</v>
      </c>
      <c r="T426">
        <v>21</v>
      </c>
      <c r="U426" t="s">
        <v>1169</v>
      </c>
      <c r="W426" t="s">
        <v>924</v>
      </c>
      <c r="X426" t="str">
        <f t="shared" si="6"/>
        <v>DC205177@TRAC Corp</v>
      </c>
      <c r="Y426">
        <f>_xlfn.IFNA(_xll.BDP(X426,"INTERVAL_SUM", "MARKET_DATA_OVERRIDE=px_volume", "CALC_INTERVAL=5D"), "")</f>
        <v>8239</v>
      </c>
      <c r="Z426" cm="1">
        <f t="array" ref="Z426">_xll.BDP(B426, "CF_ACT_CASH_PAID_FOR_INT_DEBT")</f>
        <v>589.04499999999996</v>
      </c>
      <c r="AA426" t="str" cm="1">
        <f t="array" ref="AA426">_xll.BDP(B426, "TYPE_OF_BOND")</f>
        <v>#N/A Field Not Applicable</v>
      </c>
    </row>
    <row r="427" spans="1:27" x14ac:dyDescent="0.25">
      <c r="A427">
        <v>425</v>
      </c>
      <c r="B427" t="s">
        <v>933</v>
      </c>
      <c r="C427" s="4" t="s">
        <v>922</v>
      </c>
      <c r="D427" s="4">
        <v>1000000000</v>
      </c>
      <c r="E427" t="s">
        <v>12</v>
      </c>
      <c r="F427" s="1">
        <v>47284</v>
      </c>
      <c r="G427">
        <v>11.125</v>
      </c>
      <c r="H427" t="s">
        <v>9</v>
      </c>
      <c r="L427" t="s">
        <v>1168</v>
      </c>
      <c r="M427" t="s">
        <v>10</v>
      </c>
      <c r="N427" t="s">
        <v>36</v>
      </c>
      <c r="O427" t="s">
        <v>3148</v>
      </c>
      <c r="P427" t="s">
        <v>2659</v>
      </c>
      <c r="Q427" t="s">
        <v>3149</v>
      </c>
      <c r="R427" t="s">
        <v>934</v>
      </c>
      <c r="S427">
        <v>11643660.106754901</v>
      </c>
      <c r="T427">
        <v>46</v>
      </c>
      <c r="U427" t="s">
        <v>1169</v>
      </c>
      <c r="W427" t="s">
        <v>924</v>
      </c>
      <c r="X427" t="str">
        <f t="shared" si="6"/>
        <v>DA692822@TRAC Corp</v>
      </c>
      <c r="Y427">
        <f>_xlfn.IFNA(_xll.BDP(X427,"INTERVAL_SUM", "MARKET_DATA_OVERRIDE=px_volume", "CALC_INTERVAL=5D"), "")</f>
        <v>14083</v>
      </c>
      <c r="Z427" cm="1">
        <f t="array" ref="Z427">_xll.BDP(B427, "CF_ACT_CASH_PAID_FOR_INT_DEBT")</f>
        <v>589.04499999999996</v>
      </c>
      <c r="AA427" t="str" cm="1">
        <f t="array" ref="AA427">_xll.BDP(B427, "TYPE_OF_BOND")</f>
        <v>#N/A Field Not Applicable</v>
      </c>
    </row>
    <row r="428" spans="1:27" x14ac:dyDescent="0.25">
      <c r="A428">
        <v>426</v>
      </c>
      <c r="B428" t="s">
        <v>935</v>
      </c>
      <c r="C428" s="4" t="s">
        <v>922</v>
      </c>
      <c r="D428" s="4">
        <v>86326366.165000007</v>
      </c>
      <c r="E428" t="s">
        <v>11</v>
      </c>
      <c r="F428" s="1">
        <v>47329</v>
      </c>
      <c r="G428">
        <v>10.018800000000001</v>
      </c>
      <c r="H428" t="s">
        <v>13</v>
      </c>
      <c r="I428" t="s">
        <v>2631</v>
      </c>
      <c r="J428">
        <v>625</v>
      </c>
      <c r="L428" t="s">
        <v>1168</v>
      </c>
      <c r="M428" t="s">
        <v>10</v>
      </c>
      <c r="N428" t="s">
        <v>36</v>
      </c>
      <c r="O428" t="s">
        <v>3148</v>
      </c>
      <c r="P428" t="s">
        <v>2659</v>
      </c>
      <c r="Q428" t="s">
        <v>3149</v>
      </c>
      <c r="R428" t="s">
        <v>936</v>
      </c>
      <c r="S428">
        <v>2565218.65421075</v>
      </c>
      <c r="T428">
        <v>7</v>
      </c>
      <c r="V428" t="s">
        <v>227</v>
      </c>
      <c r="W428" t="s">
        <v>924</v>
      </c>
      <c r="X428" t="str">
        <f t="shared" si="6"/>
        <v>BL535908@TRAC Corp</v>
      </c>
      <c r="Y428" t="str">
        <f>_xlfn.IFNA(_xll.BDP(X428,"INTERVAL_SUM", "MARKET_DATA_OVERRIDE=px_volume", "CALC_INTERVAL=5D"), "")</f>
        <v>#N/A N/A</v>
      </c>
      <c r="Z428" cm="1">
        <f t="array" ref="Z428">_xll.BDP(B428, "CF_ACT_CASH_PAID_FOR_INT_DEBT")</f>
        <v>589.04499999999996</v>
      </c>
      <c r="AA428" t="str" cm="1">
        <f t="array" ref="AA428">_xll.BDP(B428, "TYPE_OF_BOND")</f>
        <v>#N/A Field Not Applicable</v>
      </c>
    </row>
    <row r="429" spans="1:27" x14ac:dyDescent="0.25">
      <c r="A429">
        <v>427</v>
      </c>
      <c r="B429" t="s">
        <v>937</v>
      </c>
      <c r="C429" s="4" t="s">
        <v>922</v>
      </c>
      <c r="D429" s="4">
        <v>286798633.83499998</v>
      </c>
      <c r="E429" t="s">
        <v>11</v>
      </c>
      <c r="F429" s="1">
        <v>47329</v>
      </c>
      <c r="G429">
        <v>10.018800000000001</v>
      </c>
      <c r="H429" t="s">
        <v>13</v>
      </c>
      <c r="I429" t="s">
        <v>2631</v>
      </c>
      <c r="J429">
        <v>625</v>
      </c>
      <c r="L429" t="s">
        <v>1168</v>
      </c>
      <c r="M429" t="s">
        <v>10</v>
      </c>
      <c r="N429" t="s">
        <v>36</v>
      </c>
      <c r="O429" t="s">
        <v>3148</v>
      </c>
      <c r="P429" t="s">
        <v>2659</v>
      </c>
      <c r="Q429" t="s">
        <v>3149</v>
      </c>
      <c r="R429" t="s">
        <v>938</v>
      </c>
      <c r="S429">
        <v>2000000</v>
      </c>
      <c r="T429">
        <v>9</v>
      </c>
      <c r="V429" t="s">
        <v>227</v>
      </c>
      <c r="W429" t="s">
        <v>924</v>
      </c>
      <c r="X429" t="str">
        <f t="shared" si="6"/>
        <v>BL532465@TRAC Corp</v>
      </c>
      <c r="Y429" t="str">
        <f>_xlfn.IFNA(_xll.BDP(X429,"INTERVAL_SUM", "MARKET_DATA_OVERRIDE=px_volume", "CALC_INTERVAL=5D"), "")</f>
        <v>#N/A N/A</v>
      </c>
      <c r="Z429" cm="1">
        <f t="array" ref="Z429">_xll.BDP(B429, "CF_ACT_CASH_PAID_FOR_INT_DEBT")</f>
        <v>589.04499999999996</v>
      </c>
      <c r="AA429" t="str" cm="1">
        <f t="array" ref="AA429">_xll.BDP(B429, "TYPE_OF_BOND")</f>
        <v>#N/A Field Not Applicable</v>
      </c>
    </row>
    <row r="430" spans="1:27" x14ac:dyDescent="0.25">
      <c r="A430">
        <v>428</v>
      </c>
      <c r="B430" t="s">
        <v>939</v>
      </c>
      <c r="C430" s="4" t="s">
        <v>922</v>
      </c>
      <c r="D430" s="4">
        <v>73875000</v>
      </c>
      <c r="E430" t="s">
        <v>11</v>
      </c>
      <c r="F430" s="1">
        <v>47437</v>
      </c>
      <c r="G430">
        <v>9.7795000000000005</v>
      </c>
      <c r="H430" t="s">
        <v>13</v>
      </c>
      <c r="I430" t="s">
        <v>2631</v>
      </c>
      <c r="J430">
        <v>600</v>
      </c>
      <c r="L430" t="s">
        <v>1168</v>
      </c>
      <c r="M430" t="s">
        <v>10</v>
      </c>
      <c r="N430" t="s">
        <v>36</v>
      </c>
      <c r="O430" t="s">
        <v>3148</v>
      </c>
      <c r="P430" t="s">
        <v>2659</v>
      </c>
      <c r="Q430" t="s">
        <v>3149</v>
      </c>
      <c r="R430" t="s">
        <v>936</v>
      </c>
      <c r="V430" t="s">
        <v>227</v>
      </c>
      <c r="W430" t="s">
        <v>924</v>
      </c>
      <c r="X430" t="str">
        <f t="shared" si="6"/>
        <v>BL482441@TRAC Corp</v>
      </c>
      <c r="Y430" t="str">
        <f>_xlfn.IFNA(_xll.BDP(X430,"INTERVAL_SUM", "MARKET_DATA_OVERRIDE=px_volume", "CALC_INTERVAL=5D"), "")</f>
        <v>#N/A N/A</v>
      </c>
      <c r="Z430" cm="1">
        <f t="array" ref="Z430">_xll.BDP(B430, "CF_ACT_CASH_PAID_FOR_INT_DEBT")</f>
        <v>589.04499999999996</v>
      </c>
      <c r="AA430" t="str" cm="1">
        <f t="array" ref="AA430">_xll.BDP(B430, "TYPE_OF_BOND")</f>
        <v>#N/A Field Not Applicable</v>
      </c>
    </row>
    <row r="431" spans="1:27" x14ac:dyDescent="0.25">
      <c r="A431">
        <v>429</v>
      </c>
      <c r="B431" t="s">
        <v>940</v>
      </c>
      <c r="C431" s="4" t="s">
        <v>922</v>
      </c>
      <c r="D431" s="4">
        <v>397100000</v>
      </c>
      <c r="E431" t="s">
        <v>11</v>
      </c>
      <c r="F431" s="1">
        <v>47437</v>
      </c>
      <c r="G431">
        <v>9.7795000000000005</v>
      </c>
      <c r="H431" t="s">
        <v>13</v>
      </c>
      <c r="I431" t="s">
        <v>2631</v>
      </c>
      <c r="J431">
        <v>600</v>
      </c>
      <c r="L431" t="s">
        <v>1168</v>
      </c>
      <c r="M431" t="s">
        <v>10</v>
      </c>
      <c r="N431" t="s">
        <v>36</v>
      </c>
      <c r="O431" t="s">
        <v>3148</v>
      </c>
      <c r="P431" t="s">
        <v>2659</v>
      </c>
      <c r="Q431" t="s">
        <v>3149</v>
      </c>
      <c r="R431" t="s">
        <v>938</v>
      </c>
      <c r="S431">
        <v>2000000</v>
      </c>
      <c r="T431">
        <v>7</v>
      </c>
      <c r="V431" t="s">
        <v>227</v>
      </c>
      <c r="W431" t="s">
        <v>924</v>
      </c>
      <c r="X431" t="str">
        <f t="shared" si="6"/>
        <v>BL482440@TRAC Corp</v>
      </c>
      <c r="Y431" t="str">
        <f>_xlfn.IFNA(_xll.BDP(X431,"INTERVAL_SUM", "MARKET_DATA_OVERRIDE=px_volume", "CALC_INTERVAL=5D"), "")</f>
        <v>#N/A N/A</v>
      </c>
      <c r="Z431" cm="1">
        <f t="array" ref="Z431">_xll.BDP(B431, "CF_ACT_CASH_PAID_FOR_INT_DEBT")</f>
        <v>589.04499999999996</v>
      </c>
      <c r="AA431" t="str" cm="1">
        <f t="array" ref="AA431">_xll.BDP(B431, "TYPE_OF_BOND")</f>
        <v>#N/A Field Not Applicable</v>
      </c>
    </row>
    <row r="432" spans="1:27" x14ac:dyDescent="0.25">
      <c r="A432">
        <v>430</v>
      </c>
      <c r="B432" t="s">
        <v>941</v>
      </c>
      <c r="C432" s="4" t="s">
        <v>922</v>
      </c>
      <c r="D432" s="4">
        <v>120000000</v>
      </c>
      <c r="E432" t="s">
        <v>11</v>
      </c>
      <c r="F432" s="1">
        <v>46475</v>
      </c>
      <c r="G432">
        <v>3.7526000000000002</v>
      </c>
      <c r="H432" t="s">
        <v>13</v>
      </c>
      <c r="I432" t="s">
        <v>2631</v>
      </c>
      <c r="J432">
        <v>10</v>
      </c>
      <c r="L432" t="s">
        <v>1168</v>
      </c>
      <c r="M432" t="s">
        <v>10</v>
      </c>
      <c r="N432" t="s">
        <v>36</v>
      </c>
      <c r="O432" t="s">
        <v>3148</v>
      </c>
      <c r="P432" t="s">
        <v>2659</v>
      </c>
      <c r="Q432" t="s">
        <v>3149</v>
      </c>
      <c r="R432" t="s">
        <v>942</v>
      </c>
      <c r="V432" t="s">
        <v>227</v>
      </c>
      <c r="W432" t="s">
        <v>924</v>
      </c>
      <c r="X432" t="str">
        <f t="shared" si="6"/>
        <v>BL463156@TRAC Corp</v>
      </c>
      <c r="Y432" t="str">
        <f>_xlfn.IFNA(_xll.BDP(X432,"INTERVAL_SUM", "MARKET_DATA_OVERRIDE=px_volume", "CALC_INTERVAL=5D"), "")</f>
        <v>#N/A N/A</v>
      </c>
      <c r="Z432" cm="1">
        <f t="array" ref="Z432">_xll.BDP(B432, "CF_ACT_CASH_PAID_FOR_INT_DEBT")</f>
        <v>589.04499999999996</v>
      </c>
      <c r="AA432" t="str" cm="1">
        <f t="array" ref="AA432">_xll.BDP(B432, "TYPE_OF_BOND")</f>
        <v>#N/A Field Not Applicable</v>
      </c>
    </row>
    <row r="433" spans="1:27" x14ac:dyDescent="0.25">
      <c r="A433">
        <v>431</v>
      </c>
      <c r="B433" t="s">
        <v>943</v>
      </c>
      <c r="C433" s="4" t="s">
        <v>922</v>
      </c>
      <c r="D433" s="4">
        <v>82200000</v>
      </c>
      <c r="E433" t="s">
        <v>11</v>
      </c>
      <c r="F433" s="1">
        <v>46475</v>
      </c>
      <c r="G433">
        <v>5.9939</v>
      </c>
      <c r="H433" t="s">
        <v>13</v>
      </c>
      <c r="I433" t="s">
        <v>2631</v>
      </c>
      <c r="J433">
        <v>225</v>
      </c>
      <c r="L433" t="s">
        <v>1168</v>
      </c>
      <c r="M433" t="s">
        <v>10</v>
      </c>
      <c r="N433" t="s">
        <v>36</v>
      </c>
      <c r="O433" t="s">
        <v>3148</v>
      </c>
      <c r="P433" t="s">
        <v>2659</v>
      </c>
      <c r="Q433" t="s">
        <v>3149</v>
      </c>
      <c r="R433" t="s">
        <v>944</v>
      </c>
      <c r="V433" t="s">
        <v>945</v>
      </c>
      <c r="W433" t="s">
        <v>924</v>
      </c>
      <c r="X433" t="str">
        <f t="shared" si="6"/>
        <v>BL428850@TRAC Corp</v>
      </c>
      <c r="Y433" t="str">
        <f>_xlfn.IFNA(_xll.BDP(X433,"INTERVAL_SUM", "MARKET_DATA_OVERRIDE=px_volume", "CALC_INTERVAL=5D"), "")</f>
        <v>#N/A N/A</v>
      </c>
      <c r="Z433" cm="1">
        <f t="array" ref="Z433">_xll.BDP(B433, "CF_ACT_CASH_PAID_FOR_INT_DEBT")</f>
        <v>589.04499999999996</v>
      </c>
      <c r="AA433" t="str" cm="1">
        <f t="array" ref="AA433">_xll.BDP(B433, "TYPE_OF_BOND")</f>
        <v>#N/A Field Not Applicable</v>
      </c>
    </row>
    <row r="434" spans="1:27" x14ac:dyDescent="0.25">
      <c r="A434">
        <v>432</v>
      </c>
      <c r="B434" t="s">
        <v>946</v>
      </c>
      <c r="C434" s="4" t="s">
        <v>947</v>
      </c>
      <c r="D434" s="4">
        <v>525000000</v>
      </c>
      <c r="E434" t="s">
        <v>33</v>
      </c>
      <c r="F434" s="1">
        <v>48687</v>
      </c>
      <c r="G434">
        <v>9.7051999999999996</v>
      </c>
      <c r="H434" t="s">
        <v>13</v>
      </c>
      <c r="I434" t="s">
        <v>2631</v>
      </c>
      <c r="J434">
        <v>600</v>
      </c>
      <c r="L434" t="s">
        <v>1168</v>
      </c>
      <c r="M434" t="s">
        <v>10</v>
      </c>
      <c r="N434" t="s">
        <v>15</v>
      </c>
      <c r="O434" t="s">
        <v>3110</v>
      </c>
      <c r="P434" t="s">
        <v>2637</v>
      </c>
      <c r="Q434" t="s">
        <v>3112</v>
      </c>
      <c r="R434" t="s">
        <v>948</v>
      </c>
      <c r="S434">
        <v>3090325.19750117</v>
      </c>
      <c r="T434">
        <v>5</v>
      </c>
      <c r="V434" t="s">
        <v>227</v>
      </c>
      <c r="W434" t="s">
        <v>949</v>
      </c>
      <c r="X434" t="str">
        <f t="shared" si="6"/>
        <v>BL502422@TRAC Corp</v>
      </c>
      <c r="Y434" t="str">
        <f>_xlfn.IFNA(_xll.BDP(X434,"INTERVAL_SUM", "MARKET_DATA_OVERRIDE=px_volume", "CALC_INTERVAL=5D"), "")</f>
        <v>#N/A N/A</v>
      </c>
      <c r="Z434" t="str" cm="1">
        <f t="array" ref="Z434">_xll.BDP(B434, "CF_ACT_CASH_PAID_FOR_INT_DEBT")</f>
        <v>#N/A N/A</v>
      </c>
      <c r="AA434" t="str" cm="1">
        <f t="array" ref="AA434">_xll.BDP(B434, "TYPE_OF_BOND")</f>
        <v>#N/A Field Not Applicable</v>
      </c>
    </row>
    <row r="435" spans="1:27" x14ac:dyDescent="0.25">
      <c r="A435">
        <v>433</v>
      </c>
      <c r="B435" t="s">
        <v>950</v>
      </c>
      <c r="C435" s="4" t="s">
        <v>947</v>
      </c>
      <c r="D435" s="4">
        <v>2225000000</v>
      </c>
      <c r="E435" t="s">
        <v>11</v>
      </c>
      <c r="F435" s="1">
        <v>48320</v>
      </c>
      <c r="G435">
        <v>7.7051999999999996</v>
      </c>
      <c r="H435" t="s">
        <v>13</v>
      </c>
      <c r="I435" t="s">
        <v>2631</v>
      </c>
      <c r="J435">
        <v>400</v>
      </c>
      <c r="L435" t="s">
        <v>1168</v>
      </c>
      <c r="M435" t="s">
        <v>10</v>
      </c>
      <c r="N435" t="s">
        <v>15</v>
      </c>
      <c r="O435" t="s">
        <v>3110</v>
      </c>
      <c r="P435" t="s">
        <v>2637</v>
      </c>
      <c r="Q435" t="s">
        <v>3112</v>
      </c>
      <c r="R435" t="s">
        <v>951</v>
      </c>
      <c r="S435">
        <v>3000000</v>
      </c>
      <c r="T435">
        <v>12</v>
      </c>
      <c r="V435" t="s">
        <v>227</v>
      </c>
      <c r="W435" t="s">
        <v>949</v>
      </c>
      <c r="X435" t="str">
        <f t="shared" si="6"/>
        <v>BL502412@TRAC Corp</v>
      </c>
      <c r="Y435" t="str">
        <f>_xlfn.IFNA(_xll.BDP(X435,"INTERVAL_SUM", "MARKET_DATA_OVERRIDE=px_volume", "CALC_INTERVAL=5D"), "")</f>
        <v>#N/A N/A</v>
      </c>
      <c r="Z435" t="str" cm="1">
        <f t="array" ref="Z435">_xll.BDP(B435, "CF_ACT_CASH_PAID_FOR_INT_DEBT")</f>
        <v>#N/A N/A</v>
      </c>
      <c r="AA435" t="str" cm="1">
        <f t="array" ref="AA435">_xll.BDP(B435, "TYPE_OF_BOND")</f>
        <v>#N/A Field Not Applicable</v>
      </c>
    </row>
    <row r="436" spans="1:27" x14ac:dyDescent="0.25">
      <c r="A436">
        <v>434</v>
      </c>
      <c r="B436" t="s">
        <v>952</v>
      </c>
      <c r="C436" s="4" t="s">
        <v>953</v>
      </c>
      <c r="D436" s="4">
        <v>585000000</v>
      </c>
      <c r="E436" t="s">
        <v>17</v>
      </c>
      <c r="F436" s="1">
        <v>47588</v>
      </c>
      <c r="G436">
        <v>9.5</v>
      </c>
      <c r="H436" t="s">
        <v>9</v>
      </c>
      <c r="L436" t="s">
        <v>1168</v>
      </c>
      <c r="M436" t="s">
        <v>10</v>
      </c>
      <c r="N436" t="s">
        <v>460</v>
      </c>
      <c r="O436" t="s">
        <v>3150</v>
      </c>
      <c r="P436" t="s">
        <v>2645</v>
      </c>
      <c r="Q436" t="s">
        <v>3151</v>
      </c>
      <c r="R436" t="s">
        <v>954</v>
      </c>
      <c r="S436">
        <v>16870323.8568401</v>
      </c>
      <c r="T436">
        <v>6</v>
      </c>
      <c r="U436" t="s">
        <v>1169</v>
      </c>
      <c r="W436" t="s">
        <v>955</v>
      </c>
      <c r="X436" t="str">
        <f t="shared" si="6"/>
        <v>BV813466@TRAC Corp</v>
      </c>
      <c r="Y436" t="str">
        <f>_xlfn.IFNA(_xll.BDP(X436,"INTERVAL_SUM", "MARKET_DATA_OVERRIDE=px_volume", "CALC_INTERVAL=5D"), "")</f>
        <v>#N/A N/A</v>
      </c>
      <c r="Z436" t="str" cm="1">
        <f t="array" ref="Z436">_xll.BDP(B436, "CF_ACT_CASH_PAID_FOR_INT_DEBT")</f>
        <v>#N/A N/A</v>
      </c>
      <c r="AA436" t="str" cm="1">
        <f t="array" ref="AA436">_xll.BDP(B436, "TYPE_OF_BOND")</f>
        <v>#N/A Field Not Applicable</v>
      </c>
    </row>
    <row r="437" spans="1:27" x14ac:dyDescent="0.25">
      <c r="A437">
        <v>435</v>
      </c>
      <c r="B437" t="s">
        <v>956</v>
      </c>
      <c r="C437" s="4" t="s">
        <v>953</v>
      </c>
      <c r="D437" s="4">
        <v>1622087500</v>
      </c>
      <c r="E437" t="s">
        <v>11</v>
      </c>
      <c r="F437" s="1">
        <v>47238</v>
      </c>
      <c r="G437">
        <v>7.9177</v>
      </c>
      <c r="H437" t="s">
        <v>13</v>
      </c>
      <c r="I437" t="s">
        <v>2635</v>
      </c>
      <c r="J437">
        <v>425</v>
      </c>
      <c r="L437" t="s">
        <v>1168</v>
      </c>
      <c r="M437" t="s">
        <v>10</v>
      </c>
      <c r="N437" t="s">
        <v>460</v>
      </c>
      <c r="O437" t="s">
        <v>3150</v>
      </c>
      <c r="P437" t="s">
        <v>2645</v>
      </c>
      <c r="Q437" t="s">
        <v>3151</v>
      </c>
      <c r="R437" t="s">
        <v>957</v>
      </c>
      <c r="S437">
        <v>5000000</v>
      </c>
      <c r="T437">
        <v>10</v>
      </c>
      <c r="V437" t="s">
        <v>227</v>
      </c>
      <c r="W437" t="s">
        <v>955</v>
      </c>
      <c r="X437" t="str">
        <f t="shared" si="6"/>
        <v>BL468437@TRAC Corp</v>
      </c>
      <c r="Y437" t="str">
        <f>_xlfn.IFNA(_xll.BDP(X437,"INTERVAL_SUM", "MARKET_DATA_OVERRIDE=px_volume", "CALC_INTERVAL=5D"), "")</f>
        <v>#N/A N/A</v>
      </c>
      <c r="Z437" t="str" cm="1">
        <f t="array" ref="Z437">_xll.BDP(B437, "CF_ACT_CASH_PAID_FOR_INT_DEBT")</f>
        <v>#N/A N/A</v>
      </c>
      <c r="AA437" t="str" cm="1">
        <f t="array" ref="AA437">_xll.BDP(B437, "TYPE_OF_BOND")</f>
        <v>#N/A Field Not Applicable</v>
      </c>
    </row>
    <row r="438" spans="1:27" x14ac:dyDescent="0.25">
      <c r="A438">
        <v>436</v>
      </c>
      <c r="B438" t="s">
        <v>984</v>
      </c>
      <c r="C438" s="4" t="s">
        <v>985</v>
      </c>
      <c r="D438" s="4">
        <v>500000000</v>
      </c>
      <c r="E438" s="1" t="s">
        <v>11</v>
      </c>
      <c r="F438" s="1">
        <v>47679</v>
      </c>
      <c r="G438">
        <v>9.75</v>
      </c>
      <c r="H438" t="s">
        <v>9</v>
      </c>
      <c r="L438" t="s">
        <v>1168</v>
      </c>
      <c r="M438" t="s">
        <v>10</v>
      </c>
      <c r="N438" t="s">
        <v>36</v>
      </c>
      <c r="O438" t="s">
        <v>3154</v>
      </c>
      <c r="P438" t="s">
        <v>2645</v>
      </c>
      <c r="Q438" t="s">
        <v>3155</v>
      </c>
      <c r="R438" t="s">
        <v>986</v>
      </c>
      <c r="S438">
        <v>9502272.0579287298</v>
      </c>
      <c r="T438">
        <v>35</v>
      </c>
      <c r="U438" t="s">
        <v>1169</v>
      </c>
      <c r="W438" t="s">
        <v>987</v>
      </c>
      <c r="X438" t="str">
        <f t="shared" si="6"/>
        <v>YN786352@TRAC Corp</v>
      </c>
      <c r="Y438">
        <f>_xlfn.IFNA(_xll.BDP(X438,"INTERVAL_SUM", "MARKET_DATA_OVERRIDE=px_volume", "CALC_INTERVAL=5D"), "")</f>
        <v>20016</v>
      </c>
      <c r="Z438" t="str" cm="1">
        <f t="array" ref="Z438">_xll.BDP(B438, "CF_ACT_CASH_PAID_FOR_INT_DEBT")</f>
        <v>#N/A N/A</v>
      </c>
      <c r="AA438" t="str" cm="1">
        <f t="array" ref="AA438">_xll.BDP(B438, "TYPE_OF_BOND")</f>
        <v>#N/A Field Not Applicable</v>
      </c>
    </row>
    <row r="439" spans="1:27" x14ac:dyDescent="0.25">
      <c r="A439">
        <v>437</v>
      </c>
      <c r="B439" t="s">
        <v>988</v>
      </c>
      <c r="C439" s="4" t="s">
        <v>985</v>
      </c>
      <c r="D439" s="4">
        <v>516031008.19800001</v>
      </c>
      <c r="E439" s="1" t="s">
        <v>33</v>
      </c>
      <c r="F439" s="1">
        <v>47863</v>
      </c>
      <c r="G439">
        <v>12.75</v>
      </c>
      <c r="H439" t="s">
        <v>64</v>
      </c>
      <c r="K439">
        <v>12.75</v>
      </c>
      <c r="L439" t="s">
        <v>1168</v>
      </c>
      <c r="M439" t="s">
        <v>10</v>
      </c>
      <c r="N439" t="s">
        <v>36</v>
      </c>
      <c r="O439" t="s">
        <v>3154</v>
      </c>
      <c r="P439" t="s">
        <v>2645</v>
      </c>
      <c r="Q439" t="s">
        <v>3155</v>
      </c>
      <c r="R439" t="s">
        <v>989</v>
      </c>
      <c r="S439">
        <v>2246434.9532190901</v>
      </c>
      <c r="T439">
        <v>20</v>
      </c>
      <c r="U439" t="s">
        <v>1169</v>
      </c>
      <c r="W439" t="s">
        <v>987</v>
      </c>
      <c r="X439" t="str">
        <f t="shared" si="6"/>
        <v>YM274539@TRAC Corp</v>
      </c>
      <c r="Y439">
        <f>_xlfn.IFNA(_xll.BDP(X439,"INTERVAL_SUM", "MARKET_DATA_OVERRIDE=px_volume", "CALC_INTERVAL=5D"), "")</f>
        <v>2135</v>
      </c>
      <c r="Z439" t="str" cm="1">
        <f t="array" ref="Z439">_xll.BDP(B439, "CF_ACT_CASH_PAID_FOR_INT_DEBT")</f>
        <v>#N/A N/A</v>
      </c>
      <c r="AA439" t="str" cm="1">
        <f t="array" ref="AA439">_xll.BDP(B439, "TYPE_OF_BOND")</f>
        <v>Toggle</v>
      </c>
    </row>
    <row r="440" spans="1:27" x14ac:dyDescent="0.25">
      <c r="A440">
        <v>438</v>
      </c>
      <c r="B440" t="s">
        <v>990</v>
      </c>
      <c r="C440" s="4" t="s">
        <v>985</v>
      </c>
      <c r="D440" s="4">
        <v>31673000</v>
      </c>
      <c r="E440" s="1" t="s">
        <v>17</v>
      </c>
      <c r="F440" s="1">
        <v>47088</v>
      </c>
      <c r="G440">
        <v>7</v>
      </c>
      <c r="H440" t="s">
        <v>9</v>
      </c>
      <c r="L440" t="s">
        <v>1168</v>
      </c>
      <c r="M440" t="s">
        <v>10</v>
      </c>
      <c r="N440" t="s">
        <v>36</v>
      </c>
      <c r="O440" t="s">
        <v>3154</v>
      </c>
      <c r="P440" t="s">
        <v>2645</v>
      </c>
      <c r="Q440" t="s">
        <v>3155</v>
      </c>
      <c r="R440" t="s">
        <v>991</v>
      </c>
      <c r="S440">
        <v>2671415.8925411701</v>
      </c>
      <c r="T440">
        <v>6</v>
      </c>
      <c r="U440" t="s">
        <v>1169</v>
      </c>
      <c r="W440" t="s">
        <v>987</v>
      </c>
      <c r="X440" t="str">
        <f t="shared" si="6"/>
        <v>BM605650@TRAC Corp</v>
      </c>
      <c r="Y440" t="str">
        <f>_xlfn.IFNA(_xll.BDP(X440,"INTERVAL_SUM", "MARKET_DATA_OVERRIDE=px_volume", "CALC_INTERVAL=5D"), "")</f>
        <v>#N/A N/A</v>
      </c>
      <c r="Z440" t="str" cm="1">
        <f t="array" ref="Z440">_xll.BDP(B440, "CF_ACT_CASH_PAID_FOR_INT_DEBT")</f>
        <v>#N/A N/A</v>
      </c>
      <c r="AA440" t="str" cm="1">
        <f t="array" ref="AA440">_xll.BDP(B440, "TYPE_OF_BOND")</f>
        <v>#N/A Field Not Applicable</v>
      </c>
    </row>
    <row r="441" spans="1:27" x14ac:dyDescent="0.25">
      <c r="A441">
        <v>439</v>
      </c>
      <c r="B441" t="s">
        <v>992</v>
      </c>
      <c r="C441" s="4" t="s">
        <v>985</v>
      </c>
      <c r="D441" s="4">
        <v>1191000000</v>
      </c>
      <c r="E441" s="1" t="s">
        <v>11</v>
      </c>
      <c r="F441" s="1">
        <v>47672</v>
      </c>
      <c r="G441">
        <v>8.9174000000000007</v>
      </c>
      <c r="H441" t="s">
        <v>13</v>
      </c>
      <c r="I441" t="s">
        <v>2631</v>
      </c>
      <c r="J441">
        <v>525</v>
      </c>
      <c r="L441" t="s">
        <v>1168</v>
      </c>
      <c r="M441" t="s">
        <v>10</v>
      </c>
      <c r="N441" t="s">
        <v>36</v>
      </c>
      <c r="O441" t="s">
        <v>3154</v>
      </c>
      <c r="P441" t="s">
        <v>2645</v>
      </c>
      <c r="Q441" t="s">
        <v>3155</v>
      </c>
      <c r="R441" t="s">
        <v>993</v>
      </c>
      <c r="S441">
        <v>2000000</v>
      </c>
      <c r="T441">
        <v>14</v>
      </c>
      <c r="V441" t="s">
        <v>227</v>
      </c>
      <c r="W441" t="s">
        <v>987</v>
      </c>
      <c r="X441" t="str">
        <f t="shared" si="6"/>
        <v>BL514710@TRAC Corp</v>
      </c>
      <c r="Y441" t="str">
        <f>_xlfn.IFNA(_xll.BDP(X441,"INTERVAL_SUM", "MARKET_DATA_OVERRIDE=px_volume", "CALC_INTERVAL=5D"), "")</f>
        <v>#N/A N/A</v>
      </c>
      <c r="Z441" t="str" cm="1">
        <f t="array" ref="Z441">_xll.BDP(B441, "CF_ACT_CASH_PAID_FOR_INT_DEBT")</f>
        <v>#N/A N/A</v>
      </c>
      <c r="AA441" t="str" cm="1">
        <f t="array" ref="AA441">_xll.BDP(B441, "TYPE_OF_BOND")</f>
        <v>#N/A Field Not Applicable</v>
      </c>
    </row>
    <row r="442" spans="1:27" x14ac:dyDescent="0.25">
      <c r="A442">
        <v>440</v>
      </c>
      <c r="B442" t="s">
        <v>958</v>
      </c>
      <c r="C442" s="4" t="s">
        <v>959</v>
      </c>
      <c r="D442" s="4">
        <v>600000000</v>
      </c>
      <c r="E442" s="1" t="s">
        <v>17</v>
      </c>
      <c r="F442" s="1">
        <v>46909</v>
      </c>
      <c r="G442">
        <v>3.6920000000000002</v>
      </c>
      <c r="H442" t="s">
        <v>9</v>
      </c>
      <c r="L442" t="s">
        <v>1177</v>
      </c>
      <c r="M442" t="s">
        <v>10</v>
      </c>
      <c r="N442" t="s">
        <v>537</v>
      </c>
      <c r="O442" t="s">
        <v>3152</v>
      </c>
      <c r="P442" t="s">
        <v>2661</v>
      </c>
      <c r="Q442" t="s">
        <v>3153</v>
      </c>
      <c r="R442" t="s">
        <v>960</v>
      </c>
      <c r="S442">
        <v>29353000.089914501</v>
      </c>
      <c r="T442">
        <v>55</v>
      </c>
      <c r="W442" t="s">
        <v>961</v>
      </c>
      <c r="X442" t="str">
        <f t="shared" si="6"/>
        <v>ZQ731371@TRAC Corp</v>
      </c>
      <c r="Y442" t="str">
        <f>_xlfn.IFNA(_xll.BDP(X442,"INTERVAL_SUM", "MARKET_DATA_OVERRIDE=px_volume", "CALC_INTERVAL=5D"), "")</f>
        <v>#N/A N/A</v>
      </c>
      <c r="Z442" cm="1">
        <f t="array" ref="Z442">_xll.BDP(B442, "CF_ACT_CASH_PAID_FOR_INT_DEBT")</f>
        <v>458.22500000000002</v>
      </c>
      <c r="AA442" t="str" cm="1">
        <f t="array" ref="AA442">_xll.BDP(B442, "TYPE_OF_BOND")</f>
        <v>#N/A Field Not Applicable</v>
      </c>
    </row>
    <row r="443" spans="1:27" x14ac:dyDescent="0.25">
      <c r="A443">
        <v>441</v>
      </c>
      <c r="B443" t="s">
        <v>962</v>
      </c>
      <c r="C443" s="4" t="s">
        <v>959</v>
      </c>
      <c r="D443" s="4">
        <v>1000000000</v>
      </c>
      <c r="E443" s="1" t="s">
        <v>12</v>
      </c>
      <c r="F443" s="1">
        <v>48259</v>
      </c>
      <c r="G443">
        <v>7</v>
      </c>
      <c r="H443" t="s">
        <v>9</v>
      </c>
      <c r="L443" t="s">
        <v>1171</v>
      </c>
      <c r="M443" t="s">
        <v>10</v>
      </c>
      <c r="N443" t="s">
        <v>537</v>
      </c>
      <c r="O443" t="s">
        <v>3152</v>
      </c>
      <c r="P443" t="s">
        <v>2661</v>
      </c>
      <c r="Q443" t="s">
        <v>3153</v>
      </c>
      <c r="R443" t="s">
        <v>963</v>
      </c>
      <c r="S443">
        <v>39724484.440156303</v>
      </c>
      <c r="T443">
        <v>72</v>
      </c>
      <c r="U443" t="s">
        <v>1172</v>
      </c>
      <c r="W443" t="s">
        <v>961</v>
      </c>
      <c r="X443" t="str">
        <f t="shared" si="6"/>
        <v>YR090242@TRAC Corp</v>
      </c>
      <c r="Y443" t="str">
        <f>_xlfn.IFNA(_xll.BDP(X443,"INTERVAL_SUM", "MARKET_DATA_OVERRIDE=px_volume", "CALC_INTERVAL=5D"), "")</f>
        <v>#N/A N/A</v>
      </c>
      <c r="Z443" cm="1">
        <f t="array" ref="Z443">_xll.BDP(B443, "CF_ACT_CASH_PAID_FOR_INT_DEBT")</f>
        <v>458.22500000000002</v>
      </c>
      <c r="AA443" t="str" cm="1">
        <f t="array" ref="AA443">_xll.BDP(B443, "TYPE_OF_BOND")</f>
        <v>#N/A Field Not Applicable</v>
      </c>
    </row>
    <row r="444" spans="1:27" x14ac:dyDescent="0.25">
      <c r="A444">
        <v>442</v>
      </c>
      <c r="B444" t="s">
        <v>964</v>
      </c>
      <c r="C444" s="4" t="s">
        <v>959</v>
      </c>
      <c r="D444" s="4">
        <v>1500000000</v>
      </c>
      <c r="E444" s="1" t="s">
        <v>12</v>
      </c>
      <c r="F444" s="1">
        <v>48259</v>
      </c>
      <c r="G444">
        <v>8.5</v>
      </c>
      <c r="H444" t="s">
        <v>9</v>
      </c>
      <c r="L444" t="s">
        <v>1168</v>
      </c>
      <c r="M444" t="s">
        <v>10</v>
      </c>
      <c r="N444" t="s">
        <v>537</v>
      </c>
      <c r="O444" t="s">
        <v>3152</v>
      </c>
      <c r="P444" t="s">
        <v>2661</v>
      </c>
      <c r="Q444" t="s">
        <v>3153</v>
      </c>
      <c r="R444" t="s">
        <v>965</v>
      </c>
      <c r="S444">
        <v>9042864.8959289491</v>
      </c>
      <c r="T444">
        <v>47</v>
      </c>
      <c r="U444" t="s">
        <v>1170</v>
      </c>
      <c r="W444" t="s">
        <v>961</v>
      </c>
      <c r="X444" t="str">
        <f t="shared" si="6"/>
        <v>YR087706@TRAC Corp</v>
      </c>
      <c r="Y444">
        <f>_xlfn.IFNA(_xll.BDP(X444,"INTERVAL_SUM", "MARKET_DATA_OVERRIDE=px_volume", "CALC_INTERVAL=5D"), "")</f>
        <v>18975</v>
      </c>
      <c r="Z444" cm="1">
        <f t="array" ref="Z444">_xll.BDP(B444, "CF_ACT_CASH_PAID_FOR_INT_DEBT")</f>
        <v>458.22500000000002</v>
      </c>
      <c r="AA444" t="str" cm="1">
        <f t="array" ref="AA444">_xll.BDP(B444, "TYPE_OF_BOND")</f>
        <v>#N/A Field Not Applicable</v>
      </c>
    </row>
    <row r="445" spans="1:27" x14ac:dyDescent="0.25">
      <c r="A445">
        <v>443</v>
      </c>
      <c r="B445" t="s">
        <v>966</v>
      </c>
      <c r="C445" s="4" t="s">
        <v>959</v>
      </c>
      <c r="D445" s="4">
        <v>500000000</v>
      </c>
      <c r="E445" s="1" t="s">
        <v>17</v>
      </c>
      <c r="F445" s="1">
        <v>46310</v>
      </c>
      <c r="G445">
        <v>0.99299999999999999</v>
      </c>
      <c r="H445" t="s">
        <v>9</v>
      </c>
      <c r="L445" t="s">
        <v>1171</v>
      </c>
      <c r="M445" t="s">
        <v>10</v>
      </c>
      <c r="N445" t="s">
        <v>537</v>
      </c>
      <c r="O445" t="s">
        <v>3152</v>
      </c>
      <c r="P445" t="s">
        <v>2661</v>
      </c>
      <c r="Q445" t="s">
        <v>3153</v>
      </c>
      <c r="R445" t="s">
        <v>967</v>
      </c>
      <c r="S445">
        <v>14355388.8861885</v>
      </c>
      <c r="T445">
        <v>53</v>
      </c>
      <c r="W445" t="s">
        <v>961</v>
      </c>
      <c r="X445" t="str">
        <f t="shared" si="6"/>
        <v>BR578622@TRAC Corp</v>
      </c>
      <c r="Y445" t="str">
        <f>_xlfn.IFNA(_xll.BDP(X445,"INTERVAL_SUM", "MARKET_DATA_OVERRIDE=px_volume", "CALC_INTERVAL=5D"), "")</f>
        <v>#N/A N/A</v>
      </c>
      <c r="Z445" cm="1">
        <f t="array" ref="Z445">_xll.BDP(B445, "CF_ACT_CASH_PAID_FOR_INT_DEBT")</f>
        <v>458.22500000000002</v>
      </c>
      <c r="AA445" t="str" cm="1">
        <f t="array" ref="AA445">_xll.BDP(B445, "TYPE_OF_BOND")</f>
        <v>#N/A Field Not Applicable</v>
      </c>
    </row>
    <row r="446" spans="1:27" x14ac:dyDescent="0.25">
      <c r="A446">
        <v>444</v>
      </c>
      <c r="B446" t="s">
        <v>968</v>
      </c>
      <c r="C446" s="4" t="s">
        <v>959</v>
      </c>
      <c r="D446" s="4">
        <v>350000000</v>
      </c>
      <c r="E446" s="1" t="s">
        <v>17</v>
      </c>
      <c r="F446" s="1">
        <v>47597</v>
      </c>
      <c r="G446">
        <v>3.375</v>
      </c>
      <c r="H446" t="s">
        <v>9</v>
      </c>
      <c r="L446" t="s">
        <v>1177</v>
      </c>
      <c r="M446" t="s">
        <v>10</v>
      </c>
      <c r="N446" t="s">
        <v>537</v>
      </c>
      <c r="O446" t="s">
        <v>3152</v>
      </c>
      <c r="P446" t="s">
        <v>2661</v>
      </c>
      <c r="Q446" t="s">
        <v>3153</v>
      </c>
      <c r="R446" t="s">
        <v>969</v>
      </c>
      <c r="S446">
        <v>8382100.6539170798</v>
      </c>
      <c r="T446">
        <v>65</v>
      </c>
      <c r="W446" t="s">
        <v>961</v>
      </c>
      <c r="X446" t="str">
        <f t="shared" si="6"/>
        <v>BO634002@TRAC Corp</v>
      </c>
      <c r="Y446" t="str">
        <f>_xlfn.IFNA(_xll.BDP(X446,"INTERVAL_SUM", "MARKET_DATA_OVERRIDE=px_volume", "CALC_INTERVAL=5D"), "")</f>
        <v>#N/A N/A</v>
      </c>
      <c r="Z446" cm="1">
        <f t="array" ref="Z446">_xll.BDP(B446, "CF_ACT_CASH_PAID_FOR_INT_DEBT")</f>
        <v>458.22500000000002</v>
      </c>
      <c r="AA446" t="str" cm="1">
        <f t="array" ref="AA446">_xll.BDP(B446, "TYPE_OF_BOND")</f>
        <v>#N/A Field Not Applicable</v>
      </c>
    </row>
    <row r="447" spans="1:27" x14ac:dyDescent="0.25">
      <c r="A447">
        <v>445</v>
      </c>
      <c r="B447" t="s">
        <v>970</v>
      </c>
      <c r="C447" s="4" t="s">
        <v>959</v>
      </c>
      <c r="D447" s="4">
        <v>1300000000</v>
      </c>
      <c r="E447" s="1" t="s">
        <v>17</v>
      </c>
      <c r="F447" s="1">
        <v>47922</v>
      </c>
      <c r="G447">
        <v>3.5</v>
      </c>
      <c r="H447" t="s">
        <v>9</v>
      </c>
      <c r="L447" t="s">
        <v>1168</v>
      </c>
      <c r="M447" t="s">
        <v>10</v>
      </c>
      <c r="N447" t="s">
        <v>537</v>
      </c>
      <c r="O447" t="s">
        <v>3152</v>
      </c>
      <c r="P447" t="s">
        <v>2661</v>
      </c>
      <c r="Q447" t="s">
        <v>3153</v>
      </c>
      <c r="R447" t="s">
        <v>971</v>
      </c>
      <c r="S447">
        <v>9293614.7256691009</v>
      </c>
      <c r="T447">
        <v>21</v>
      </c>
      <c r="W447" t="s">
        <v>961</v>
      </c>
      <c r="X447" t="str">
        <f t="shared" si="6"/>
        <v>BM664362@TRAC Corp</v>
      </c>
      <c r="Y447">
        <f>_xlfn.IFNA(_xll.BDP(X447,"INTERVAL_SUM", "MARKET_DATA_OVERRIDE=px_volume", "CALC_INTERVAL=5D"), "")</f>
        <v>24111</v>
      </c>
      <c r="Z447" cm="1">
        <f t="array" ref="Z447">_xll.BDP(B447, "CF_ACT_CASH_PAID_FOR_INT_DEBT")</f>
        <v>458.22500000000002</v>
      </c>
      <c r="AA447" t="str" cm="1">
        <f t="array" ref="AA447">_xll.BDP(B447, "TYPE_OF_BOND")</f>
        <v>#N/A Field Not Applicable</v>
      </c>
    </row>
    <row r="448" spans="1:27" x14ac:dyDescent="0.25">
      <c r="A448">
        <v>446</v>
      </c>
      <c r="B448" t="s">
        <v>972</v>
      </c>
      <c r="C448" s="4" t="s">
        <v>959</v>
      </c>
      <c r="D448" s="4">
        <v>900000000</v>
      </c>
      <c r="E448" s="1" t="s">
        <v>17</v>
      </c>
      <c r="F448" s="1">
        <v>47331</v>
      </c>
      <c r="G448">
        <v>4.625</v>
      </c>
      <c r="H448" t="s">
        <v>9</v>
      </c>
      <c r="L448" t="s">
        <v>1168</v>
      </c>
      <c r="M448" t="s">
        <v>10</v>
      </c>
      <c r="N448" t="s">
        <v>537</v>
      </c>
      <c r="O448" t="s">
        <v>3152</v>
      </c>
      <c r="P448" t="s">
        <v>2661</v>
      </c>
      <c r="Q448" t="s">
        <v>3153</v>
      </c>
      <c r="R448" t="s">
        <v>973</v>
      </c>
      <c r="S448">
        <v>15408728.4336886</v>
      </c>
      <c r="T448">
        <v>28</v>
      </c>
      <c r="W448" t="s">
        <v>961</v>
      </c>
      <c r="X448" t="str">
        <f t="shared" si="6"/>
        <v>AZ699099@TRAC Corp</v>
      </c>
      <c r="Y448">
        <f>_xlfn.IFNA(_xll.BDP(X448,"INTERVAL_SUM", "MARKET_DATA_OVERRIDE=px_volume", "CALC_INTERVAL=5D"), "")</f>
        <v>17572</v>
      </c>
      <c r="Z448" cm="1">
        <f t="array" ref="Z448">_xll.BDP(B448, "CF_ACT_CASH_PAID_FOR_INT_DEBT")</f>
        <v>458.22500000000002</v>
      </c>
      <c r="AA448" t="str" cm="1">
        <f t="array" ref="AA448">_xll.BDP(B448, "TYPE_OF_BOND")</f>
        <v>#N/A Field Not Applicable</v>
      </c>
    </row>
    <row r="449" spans="1:27" x14ac:dyDescent="0.25">
      <c r="A449">
        <v>447</v>
      </c>
      <c r="B449" t="s">
        <v>974</v>
      </c>
      <c r="C449" s="4" t="s">
        <v>959</v>
      </c>
      <c r="D449" s="4">
        <v>1400000000</v>
      </c>
      <c r="E449" s="1" t="s">
        <v>17</v>
      </c>
      <c r="F449" s="1">
        <v>46675</v>
      </c>
      <c r="G449">
        <v>5</v>
      </c>
      <c r="H449" t="s">
        <v>9</v>
      </c>
      <c r="L449" t="s">
        <v>1168</v>
      </c>
      <c r="M449" t="s">
        <v>10</v>
      </c>
      <c r="N449" t="s">
        <v>537</v>
      </c>
      <c r="O449" t="s">
        <v>3152</v>
      </c>
      <c r="P449" t="s">
        <v>2661</v>
      </c>
      <c r="Q449" t="s">
        <v>3153</v>
      </c>
      <c r="R449" t="s">
        <v>975</v>
      </c>
      <c r="S449">
        <v>18987207.758699302</v>
      </c>
      <c r="T449">
        <v>46</v>
      </c>
      <c r="W449" t="s">
        <v>961</v>
      </c>
      <c r="X449" t="str">
        <f t="shared" si="6"/>
        <v>AP063983@TRAC Corp</v>
      </c>
      <c r="Y449">
        <f>_xlfn.IFNA(_xll.BDP(X449,"INTERVAL_SUM", "MARKET_DATA_OVERRIDE=px_volume", "CALC_INTERVAL=5D"), "")</f>
        <v>4488</v>
      </c>
      <c r="Z449" cm="1">
        <f t="array" ref="Z449">_xll.BDP(B449, "CF_ACT_CASH_PAID_FOR_INT_DEBT")</f>
        <v>458.22500000000002</v>
      </c>
      <c r="AA449" t="str" cm="1">
        <f t="array" ref="AA449">_xll.BDP(B449, "TYPE_OF_BOND")</f>
        <v>#N/A Field Not Applicable</v>
      </c>
    </row>
    <row r="450" spans="1:27" x14ac:dyDescent="0.25">
      <c r="A450">
        <v>448</v>
      </c>
      <c r="B450" t="s">
        <v>976</v>
      </c>
      <c r="C450" s="4" t="s">
        <v>959</v>
      </c>
      <c r="D450" s="4">
        <v>702500000</v>
      </c>
      <c r="E450" s="1" t="s">
        <v>11</v>
      </c>
      <c r="F450" s="1">
        <v>49478</v>
      </c>
      <c r="H450" t="s">
        <v>13</v>
      </c>
      <c r="L450" t="s">
        <v>1171</v>
      </c>
      <c r="M450" t="s">
        <v>10</v>
      </c>
      <c r="N450" t="s">
        <v>537</v>
      </c>
      <c r="O450" t="s">
        <v>3152</v>
      </c>
      <c r="P450" t="s">
        <v>2661</v>
      </c>
      <c r="Q450" t="s">
        <v>3153</v>
      </c>
      <c r="R450" t="s">
        <v>977</v>
      </c>
      <c r="V450" t="s">
        <v>227</v>
      </c>
      <c r="W450" t="s">
        <v>961</v>
      </c>
      <c r="X450" t="str">
        <f t="shared" si="6"/>
        <v>BL568903@TRAC Corp</v>
      </c>
      <c r="Y450" t="str">
        <f>_xlfn.IFNA(_xll.BDP(X450,"INTERVAL_SUM", "MARKET_DATA_OVERRIDE=px_volume", "CALC_INTERVAL=5D"), "")</f>
        <v>#N/A N/A</v>
      </c>
      <c r="Z450" cm="1">
        <f t="array" ref="Z450">_xll.BDP(B450, "CF_ACT_CASH_PAID_FOR_INT_DEBT")</f>
        <v>458.22500000000002</v>
      </c>
      <c r="AA450" t="str" cm="1">
        <f t="array" ref="AA450">_xll.BDP(B450, "TYPE_OF_BOND")</f>
        <v>#N/A Field Not Applicable</v>
      </c>
    </row>
    <row r="451" spans="1:27" x14ac:dyDescent="0.25">
      <c r="A451">
        <v>449</v>
      </c>
      <c r="B451" t="s">
        <v>978</v>
      </c>
      <c r="C451" s="4" t="s">
        <v>959</v>
      </c>
      <c r="D451" s="4">
        <v>631000000</v>
      </c>
      <c r="E451" s="1" t="s">
        <v>11</v>
      </c>
      <c r="F451" s="1">
        <v>49088</v>
      </c>
      <c r="H451" t="s">
        <v>13</v>
      </c>
      <c r="L451" t="s">
        <v>1177</v>
      </c>
      <c r="M451" t="s">
        <v>10</v>
      </c>
      <c r="N451" t="s">
        <v>537</v>
      </c>
      <c r="O451" t="s">
        <v>3152</v>
      </c>
      <c r="P451" t="s">
        <v>2661</v>
      </c>
      <c r="Q451" t="s">
        <v>3153</v>
      </c>
      <c r="R451" t="s">
        <v>979</v>
      </c>
      <c r="V451" t="s">
        <v>227</v>
      </c>
      <c r="W451" t="s">
        <v>961</v>
      </c>
      <c r="X451" t="str">
        <f t="shared" ref="X451:X514" si="7">SUBSTITUTE(B451," Corp","@TRAC Corp")</f>
        <v>BL473043@TRAC Corp</v>
      </c>
      <c r="Y451" t="str">
        <f>_xlfn.IFNA(_xll.BDP(X451,"INTERVAL_SUM", "MARKET_DATA_OVERRIDE=px_volume", "CALC_INTERVAL=5D"), "")</f>
        <v>#N/A N/A</v>
      </c>
      <c r="Z451" cm="1">
        <f t="array" ref="Z451">_xll.BDP(B451, "CF_ACT_CASH_PAID_FOR_INT_DEBT")</f>
        <v>458.22500000000002</v>
      </c>
      <c r="AA451" t="str" cm="1">
        <f t="array" ref="AA451">_xll.BDP(B451, "TYPE_OF_BOND")</f>
        <v>#N/A Field Not Applicable</v>
      </c>
    </row>
    <row r="452" spans="1:27" x14ac:dyDescent="0.25">
      <c r="A452">
        <v>450</v>
      </c>
      <c r="B452" t="s">
        <v>980</v>
      </c>
      <c r="C452" s="4" t="s">
        <v>959</v>
      </c>
      <c r="D452" s="4">
        <v>770000000</v>
      </c>
      <c r="E452" s="1" t="s">
        <v>11</v>
      </c>
      <c r="F452" s="1">
        <v>47220</v>
      </c>
      <c r="H452" t="s">
        <v>13</v>
      </c>
      <c r="L452" t="s">
        <v>1168</v>
      </c>
      <c r="M452" t="s">
        <v>10</v>
      </c>
      <c r="N452" t="s">
        <v>537</v>
      </c>
      <c r="O452" t="s">
        <v>3129</v>
      </c>
      <c r="P452" t="s">
        <v>2648</v>
      </c>
      <c r="Q452" t="s">
        <v>2648</v>
      </c>
      <c r="R452" t="s">
        <v>981</v>
      </c>
      <c r="V452" t="s">
        <v>227</v>
      </c>
      <c r="W452" t="s">
        <v>961</v>
      </c>
      <c r="X452" t="str">
        <f t="shared" si="7"/>
        <v>BL472103@TRAC Corp</v>
      </c>
      <c r="Y452" t="str">
        <f>_xlfn.IFNA(_xll.BDP(X452,"INTERVAL_SUM", "MARKET_DATA_OVERRIDE=px_volume", "CALC_INTERVAL=5D"), "")</f>
        <v>#N/A N/A</v>
      </c>
      <c r="Z452" cm="1">
        <f t="array" ref="Z452">_xll.BDP(B452, "CF_ACT_CASH_PAID_FOR_INT_DEBT")</f>
        <v>458.22500000000002</v>
      </c>
      <c r="AA452" t="str" cm="1">
        <f t="array" ref="AA452">_xll.BDP(B452, "TYPE_OF_BOND")</f>
        <v>#N/A Field Not Applicable</v>
      </c>
    </row>
    <row r="453" spans="1:27" x14ac:dyDescent="0.25">
      <c r="A453">
        <v>451</v>
      </c>
      <c r="B453" t="s">
        <v>982</v>
      </c>
      <c r="C453" s="4" t="s">
        <v>959</v>
      </c>
      <c r="D453" s="4">
        <v>200000000</v>
      </c>
      <c r="E453" s="1" t="s">
        <v>17</v>
      </c>
      <c r="F453" s="1">
        <v>46568</v>
      </c>
      <c r="G453">
        <v>6.0026000000000002</v>
      </c>
      <c r="H453" t="s">
        <v>13</v>
      </c>
      <c r="I453" t="s">
        <v>2631</v>
      </c>
      <c r="J453">
        <v>225</v>
      </c>
      <c r="L453" t="s">
        <v>1168</v>
      </c>
      <c r="M453" t="s">
        <v>10</v>
      </c>
      <c r="N453" t="s">
        <v>537</v>
      </c>
      <c r="O453" t="s">
        <v>3152</v>
      </c>
      <c r="P453" t="s">
        <v>2661</v>
      </c>
      <c r="Q453" t="s">
        <v>3153</v>
      </c>
      <c r="R453" t="s">
        <v>983</v>
      </c>
      <c r="V453" t="s">
        <v>227</v>
      </c>
      <c r="W453" t="s">
        <v>961</v>
      </c>
      <c r="X453" t="str">
        <f t="shared" si="7"/>
        <v>BL400649@TRAC Corp</v>
      </c>
      <c r="Y453" t="str">
        <f>_xlfn.IFNA(_xll.BDP(X453,"INTERVAL_SUM", "MARKET_DATA_OVERRIDE=px_volume", "CALC_INTERVAL=5D"), "")</f>
        <v>#N/A N/A</v>
      </c>
      <c r="Z453" cm="1">
        <f t="array" ref="Z453">_xll.BDP(B453, "CF_ACT_CASH_PAID_FOR_INT_DEBT")</f>
        <v>458.22500000000002</v>
      </c>
      <c r="AA453" t="str" cm="1">
        <f t="array" ref="AA453">_xll.BDP(B453, "TYPE_OF_BOND")</f>
        <v>#N/A Field Not Applicable</v>
      </c>
    </row>
    <row r="454" spans="1:27" x14ac:dyDescent="0.25">
      <c r="A454">
        <v>452</v>
      </c>
      <c r="B454" t="s">
        <v>3385</v>
      </c>
      <c r="C454" s="4" t="s">
        <v>959</v>
      </c>
      <c r="D454" s="4">
        <v>665577000</v>
      </c>
      <c r="E454" s="1" t="s">
        <v>17</v>
      </c>
      <c r="F454" s="1">
        <v>46513</v>
      </c>
      <c r="G454">
        <v>5.9939</v>
      </c>
      <c r="H454" t="s">
        <v>13</v>
      </c>
      <c r="I454" t="s">
        <v>2631</v>
      </c>
      <c r="J454">
        <v>225</v>
      </c>
      <c r="L454" t="s">
        <v>1168</v>
      </c>
      <c r="M454" t="s">
        <v>10</v>
      </c>
      <c r="N454" t="s">
        <v>537</v>
      </c>
      <c r="O454" t="s">
        <v>3152</v>
      </c>
      <c r="P454" t="s">
        <v>2661</v>
      </c>
      <c r="Q454" t="s">
        <v>3153</v>
      </c>
      <c r="R454" t="s">
        <v>3386</v>
      </c>
      <c r="V454" t="s">
        <v>226</v>
      </c>
      <c r="W454" t="s">
        <v>961</v>
      </c>
      <c r="X454" t="str">
        <f t="shared" si="7"/>
        <v>BL133775@TRAC Corp</v>
      </c>
      <c r="Y454" t="str">
        <f>_xlfn.IFNA(_xll.BDP(X454,"INTERVAL_SUM", "MARKET_DATA_OVERRIDE=px_volume", "CALC_INTERVAL=5D"), "")</f>
        <v>#N/A N/A</v>
      </c>
      <c r="Z454" cm="1">
        <f t="array" ref="Z454">_xll.BDP(B454, "CF_ACT_CASH_PAID_FOR_INT_DEBT")</f>
        <v>458.22500000000002</v>
      </c>
      <c r="AA454" t="str" cm="1">
        <f t="array" ref="AA454">_xll.BDP(B454, "TYPE_OF_BOND")</f>
        <v>#N/A Field Not Applicable</v>
      </c>
    </row>
    <row r="455" spans="1:27" x14ac:dyDescent="0.25">
      <c r="A455">
        <v>453</v>
      </c>
      <c r="B455" t="s">
        <v>3387</v>
      </c>
      <c r="C455" s="4" t="s">
        <v>3388</v>
      </c>
      <c r="D455" s="4">
        <v>500000000</v>
      </c>
      <c r="E455" s="1" t="s">
        <v>33</v>
      </c>
      <c r="F455" s="1">
        <v>47400</v>
      </c>
      <c r="G455">
        <v>9.7668999999999997</v>
      </c>
      <c r="H455" t="s">
        <v>13</v>
      </c>
      <c r="I455" t="s">
        <v>2631</v>
      </c>
      <c r="J455">
        <v>600</v>
      </c>
      <c r="L455" t="s">
        <v>1168</v>
      </c>
      <c r="M455" t="s">
        <v>10</v>
      </c>
      <c r="N455" t="s">
        <v>15</v>
      </c>
      <c r="O455" t="s">
        <v>3110</v>
      </c>
      <c r="P455" t="s">
        <v>2637</v>
      </c>
      <c r="Q455" t="s">
        <v>3112</v>
      </c>
      <c r="R455" t="s">
        <v>3389</v>
      </c>
      <c r="S455">
        <v>3000000</v>
      </c>
      <c r="T455">
        <v>2</v>
      </c>
      <c r="V455" t="s">
        <v>227</v>
      </c>
      <c r="W455" t="s">
        <v>994</v>
      </c>
      <c r="X455" t="str">
        <f t="shared" si="7"/>
        <v>BL368461@TRAC Corp</v>
      </c>
      <c r="Y455" t="str">
        <f>_xlfn.IFNA(_xll.BDP(X455,"INTERVAL_SUM", "MARKET_DATA_OVERRIDE=px_volume", "CALC_INTERVAL=5D"), "")</f>
        <v>#N/A N/A</v>
      </c>
      <c r="Z455" t="str" cm="1">
        <f t="array" ref="Z455">_xll.BDP(B455, "CF_ACT_CASH_PAID_FOR_INT_DEBT")</f>
        <v>#N/A N/A</v>
      </c>
      <c r="AA455" t="str" cm="1">
        <f t="array" ref="AA455">_xll.BDP(B455, "TYPE_OF_BOND")</f>
        <v>#N/A Field Not Applicable</v>
      </c>
    </row>
    <row r="456" spans="1:27" x14ac:dyDescent="0.25">
      <c r="A456">
        <v>454</v>
      </c>
      <c r="B456" t="s">
        <v>3390</v>
      </c>
      <c r="C456" s="4" t="s">
        <v>3388</v>
      </c>
      <c r="D456" s="4">
        <v>2190000000</v>
      </c>
      <c r="E456" s="1" t="s">
        <v>11</v>
      </c>
      <c r="F456" s="1">
        <v>47036</v>
      </c>
      <c r="G456">
        <v>7.5168999999999997</v>
      </c>
      <c r="H456" t="s">
        <v>13</v>
      </c>
      <c r="I456" t="s">
        <v>2631</v>
      </c>
      <c r="J456">
        <v>375</v>
      </c>
      <c r="L456" t="s">
        <v>1168</v>
      </c>
      <c r="M456" t="s">
        <v>10</v>
      </c>
      <c r="N456" t="s">
        <v>15</v>
      </c>
      <c r="O456" t="s">
        <v>3110</v>
      </c>
      <c r="P456" t="s">
        <v>2637</v>
      </c>
      <c r="Q456" t="s">
        <v>3112</v>
      </c>
      <c r="R456" t="s">
        <v>3391</v>
      </c>
      <c r="S456">
        <v>3000000</v>
      </c>
      <c r="T456">
        <v>4</v>
      </c>
      <c r="V456" t="s">
        <v>227</v>
      </c>
      <c r="W456" t="s">
        <v>994</v>
      </c>
      <c r="X456" t="str">
        <f t="shared" si="7"/>
        <v>BL368457@TRAC Corp</v>
      </c>
      <c r="Y456" t="str">
        <f>_xlfn.IFNA(_xll.BDP(X456,"INTERVAL_SUM", "MARKET_DATA_OVERRIDE=px_volume", "CALC_INTERVAL=5D"), "")</f>
        <v>#N/A N/A</v>
      </c>
      <c r="Z456" t="str" cm="1">
        <f t="array" ref="Z456">_xll.BDP(B456, "CF_ACT_CASH_PAID_FOR_INT_DEBT")</f>
        <v>#N/A N/A</v>
      </c>
      <c r="AA456" t="str" cm="1">
        <f t="array" ref="AA456">_xll.BDP(B456, "TYPE_OF_BOND")</f>
        <v>#N/A Field Not Applicable</v>
      </c>
    </row>
    <row r="457" spans="1:27" x14ac:dyDescent="0.25">
      <c r="A457">
        <v>455</v>
      </c>
      <c r="B457" t="s">
        <v>995</v>
      </c>
      <c r="C457" s="4" t="s">
        <v>996</v>
      </c>
      <c r="D457" s="4">
        <v>1085000000</v>
      </c>
      <c r="E457" s="1" t="s">
        <v>12</v>
      </c>
      <c r="F457" s="1">
        <v>48639</v>
      </c>
      <c r="G457">
        <v>9.75</v>
      </c>
      <c r="H457" t="s">
        <v>9</v>
      </c>
      <c r="L457" t="s">
        <v>1168</v>
      </c>
      <c r="M457" t="s">
        <v>10</v>
      </c>
      <c r="N457" t="s">
        <v>460</v>
      </c>
      <c r="O457" t="s">
        <v>2655</v>
      </c>
      <c r="P457" t="s">
        <v>2655</v>
      </c>
      <c r="Q457" t="s">
        <v>3139</v>
      </c>
      <c r="R457" t="s">
        <v>997</v>
      </c>
      <c r="S457">
        <v>5532437.6486346005</v>
      </c>
      <c r="T457">
        <v>44</v>
      </c>
      <c r="U457" t="s">
        <v>1169</v>
      </c>
      <c r="W457" t="s">
        <v>998</v>
      </c>
      <c r="X457" t="str">
        <f t="shared" si="7"/>
        <v>DG252726@TRAC Corp</v>
      </c>
      <c r="Y457">
        <f>_xlfn.IFNA(_xll.BDP(X457,"INTERVAL_SUM", "MARKET_DATA_OVERRIDE=px_volume", "CALC_INTERVAL=5D"), "")</f>
        <v>15295</v>
      </c>
      <c r="Z457" t="str" cm="1">
        <f t="array" ref="Z457">_xll.BDP(B457, "CF_ACT_CASH_PAID_FOR_INT_DEBT")</f>
        <v>#N/A N/A</v>
      </c>
      <c r="AA457" t="str" cm="1">
        <f t="array" ref="AA457">_xll.BDP(B457, "TYPE_OF_BOND")</f>
        <v>#N/A Field Not Applicable</v>
      </c>
    </row>
    <row r="458" spans="1:27" x14ac:dyDescent="0.25">
      <c r="A458">
        <v>456</v>
      </c>
      <c r="B458" t="s">
        <v>999</v>
      </c>
      <c r="C458" s="4" t="s">
        <v>996</v>
      </c>
      <c r="D458" s="4">
        <v>645000000</v>
      </c>
      <c r="E458" s="1" t="s">
        <v>11</v>
      </c>
      <c r="F458" s="1">
        <v>47939</v>
      </c>
      <c r="H458" t="s">
        <v>13</v>
      </c>
      <c r="L458" t="s">
        <v>1168</v>
      </c>
      <c r="M458" t="s">
        <v>10</v>
      </c>
      <c r="N458" t="s">
        <v>460</v>
      </c>
      <c r="O458" t="s">
        <v>2655</v>
      </c>
      <c r="P458" t="s">
        <v>2655</v>
      </c>
      <c r="Q458" t="s">
        <v>3139</v>
      </c>
      <c r="R458" t="s">
        <v>1000</v>
      </c>
      <c r="V458" t="s">
        <v>227</v>
      </c>
      <c r="W458" t="s">
        <v>998</v>
      </c>
      <c r="X458" t="str">
        <f t="shared" si="7"/>
        <v>BL558291@TRAC Corp</v>
      </c>
      <c r="Y458" t="str">
        <f>_xlfn.IFNA(_xll.BDP(X458,"INTERVAL_SUM", "MARKET_DATA_OVERRIDE=px_volume", "CALC_INTERVAL=5D"), "")</f>
        <v>#N/A N/A</v>
      </c>
      <c r="Z458" t="str" cm="1">
        <f t="array" ref="Z458">_xll.BDP(B458, "CF_ACT_CASH_PAID_FOR_INT_DEBT")</f>
        <v>#N/A N/A</v>
      </c>
      <c r="AA458" t="str" cm="1">
        <f t="array" ref="AA458">_xll.BDP(B458, "TYPE_OF_BOND")</f>
        <v>#N/A Field Not Applicable</v>
      </c>
    </row>
    <row r="459" spans="1:27" x14ac:dyDescent="0.25">
      <c r="A459">
        <v>457</v>
      </c>
      <c r="B459" t="s">
        <v>1001</v>
      </c>
      <c r="C459" s="4" t="s">
        <v>996</v>
      </c>
      <c r="D459" s="4">
        <v>1100000000</v>
      </c>
      <c r="E459" s="1" t="s">
        <v>11</v>
      </c>
      <c r="F459" s="1">
        <v>48670</v>
      </c>
      <c r="G459">
        <v>8.1466999999999992</v>
      </c>
      <c r="H459" t="s">
        <v>13</v>
      </c>
      <c r="I459" t="s">
        <v>2631</v>
      </c>
      <c r="J459">
        <v>450</v>
      </c>
      <c r="L459" t="s">
        <v>1168</v>
      </c>
      <c r="M459" t="s">
        <v>10</v>
      </c>
      <c r="N459" t="s">
        <v>460</v>
      </c>
      <c r="O459" t="s">
        <v>2655</v>
      </c>
      <c r="P459" t="s">
        <v>2655</v>
      </c>
      <c r="Q459" t="s">
        <v>3139</v>
      </c>
      <c r="R459" t="s">
        <v>1002</v>
      </c>
      <c r="S459">
        <v>3000000</v>
      </c>
      <c r="T459">
        <v>31</v>
      </c>
      <c r="V459" t="s">
        <v>227</v>
      </c>
      <c r="W459" t="s">
        <v>998</v>
      </c>
      <c r="X459" t="str">
        <f t="shared" si="7"/>
        <v>BL555774@TRAC Corp</v>
      </c>
      <c r="Y459" t="str">
        <f>_xlfn.IFNA(_xll.BDP(X459,"INTERVAL_SUM", "MARKET_DATA_OVERRIDE=px_volume", "CALC_INTERVAL=5D"), "")</f>
        <v>#N/A N/A</v>
      </c>
      <c r="Z459" t="str" cm="1">
        <f t="array" ref="Z459">_xll.BDP(B459, "CF_ACT_CASH_PAID_FOR_INT_DEBT")</f>
        <v>#N/A N/A</v>
      </c>
      <c r="AA459" t="str" cm="1">
        <f t="array" ref="AA459">_xll.BDP(B459, "TYPE_OF_BOND")</f>
        <v>#N/A Field Not Applicable</v>
      </c>
    </row>
    <row r="460" spans="1:27" x14ac:dyDescent="0.25">
      <c r="A460">
        <v>458</v>
      </c>
      <c r="B460" t="s">
        <v>1003</v>
      </c>
      <c r="C460" s="4" t="s">
        <v>996</v>
      </c>
      <c r="D460" s="4">
        <v>145000000</v>
      </c>
      <c r="E460" s="1" t="s">
        <v>33</v>
      </c>
      <c r="F460" s="1">
        <v>47392</v>
      </c>
      <c r="G460">
        <v>10.7439</v>
      </c>
      <c r="H460" t="s">
        <v>13</v>
      </c>
      <c r="I460" t="s">
        <v>2631</v>
      </c>
      <c r="J460">
        <v>700</v>
      </c>
      <c r="L460" t="s">
        <v>1168</v>
      </c>
      <c r="M460" t="s">
        <v>10</v>
      </c>
      <c r="N460" t="s">
        <v>460</v>
      </c>
      <c r="O460" t="s">
        <v>2655</v>
      </c>
      <c r="P460" t="s">
        <v>2655</v>
      </c>
      <c r="Q460" t="s">
        <v>3156</v>
      </c>
      <c r="R460" t="s">
        <v>1004</v>
      </c>
      <c r="S460">
        <v>2000000</v>
      </c>
      <c r="T460">
        <v>14</v>
      </c>
      <c r="V460" t="s">
        <v>227</v>
      </c>
      <c r="W460" t="s">
        <v>998</v>
      </c>
      <c r="X460" t="str">
        <f t="shared" si="7"/>
        <v>BL370288@TRAC Corp</v>
      </c>
      <c r="Y460" t="str">
        <f>_xlfn.IFNA(_xll.BDP(X460,"INTERVAL_SUM", "MARKET_DATA_OVERRIDE=px_volume", "CALC_INTERVAL=5D"), "")</f>
        <v>#N/A N/A</v>
      </c>
      <c r="Z460" t="str" cm="1">
        <f t="array" ref="Z460">_xll.BDP(B460, "CF_ACT_CASH_PAID_FOR_INT_DEBT")</f>
        <v>#N/A N/A</v>
      </c>
      <c r="AA460" t="str" cm="1">
        <f t="array" ref="AA460">_xll.BDP(B460, "TYPE_OF_BOND")</f>
        <v>#N/A Field Not Applicable</v>
      </c>
    </row>
    <row r="461" spans="1:27" x14ac:dyDescent="0.25">
      <c r="A461">
        <v>459</v>
      </c>
      <c r="B461" t="s">
        <v>1057</v>
      </c>
      <c r="C461" s="4" t="s">
        <v>1058</v>
      </c>
      <c r="D461" s="4">
        <v>340000000</v>
      </c>
      <c r="E461" t="s">
        <v>11</v>
      </c>
      <c r="F461" s="1">
        <v>47253</v>
      </c>
      <c r="G461">
        <v>5.25</v>
      </c>
      <c r="H461" t="s">
        <v>9</v>
      </c>
      <c r="L461" t="s">
        <v>1177</v>
      </c>
      <c r="M461" t="s">
        <v>905</v>
      </c>
      <c r="N461" t="s">
        <v>16</v>
      </c>
      <c r="O461" t="s">
        <v>3106</v>
      </c>
      <c r="P461" t="s">
        <v>2629</v>
      </c>
      <c r="Q461" t="s">
        <v>3107</v>
      </c>
      <c r="R461" t="s">
        <v>1059</v>
      </c>
      <c r="S461">
        <v>16891385.981385399</v>
      </c>
      <c r="T461">
        <v>59</v>
      </c>
      <c r="U461" t="s">
        <v>1192</v>
      </c>
      <c r="W461" t="s">
        <v>1060</v>
      </c>
      <c r="X461" t="str">
        <f t="shared" si="7"/>
        <v>ZS539067@TRAC Corp</v>
      </c>
      <c r="Y461" t="str">
        <f>_xlfn.IFNA(_xll.BDP(X461,"INTERVAL_SUM", "MARKET_DATA_OVERRIDE=px_volume", "CALC_INTERVAL=5D"), "")</f>
        <v>#N/A N/A</v>
      </c>
      <c r="Z461" cm="1">
        <f t="array" ref="Z461">_xll.BDP(B461, "CF_ACT_CASH_PAID_FOR_INT_DEBT")</f>
        <v>1392.4</v>
      </c>
      <c r="AA461" t="str" cm="1">
        <f t="array" ref="AA461">_xll.BDP(B461, "TYPE_OF_BOND")</f>
        <v>#N/A Field Not Applicable</v>
      </c>
    </row>
    <row r="462" spans="1:27" x14ac:dyDescent="0.25">
      <c r="A462">
        <v>460</v>
      </c>
      <c r="B462" t="s">
        <v>1061</v>
      </c>
      <c r="C462" s="4" t="s">
        <v>1058</v>
      </c>
      <c r="D462" s="4">
        <v>1425000000</v>
      </c>
      <c r="E462" t="s">
        <v>11</v>
      </c>
      <c r="F462" s="1">
        <v>47253</v>
      </c>
      <c r="G462">
        <v>5.5</v>
      </c>
      <c r="H462" t="s">
        <v>9</v>
      </c>
      <c r="L462" t="s">
        <v>1168</v>
      </c>
      <c r="M462" t="s">
        <v>905</v>
      </c>
      <c r="N462" t="s">
        <v>16</v>
      </c>
      <c r="O462" t="s">
        <v>3106</v>
      </c>
      <c r="P462" t="s">
        <v>2629</v>
      </c>
      <c r="Q462" t="s">
        <v>3107</v>
      </c>
      <c r="R462" t="s">
        <v>1062</v>
      </c>
      <c r="S462">
        <v>13140961.3617789</v>
      </c>
      <c r="T462">
        <v>49</v>
      </c>
      <c r="U462" t="s">
        <v>1169</v>
      </c>
      <c r="W462" t="s">
        <v>1060</v>
      </c>
      <c r="X462" t="str">
        <f t="shared" si="7"/>
        <v>ZS539065@TRAC Corp</v>
      </c>
      <c r="Y462">
        <f>_xlfn.IFNA(_xll.BDP(X462,"INTERVAL_SUM", "MARKET_DATA_OVERRIDE=px_volume", "CALC_INTERVAL=5D"), "")</f>
        <v>19915</v>
      </c>
      <c r="Z462" cm="1">
        <f t="array" ref="Z462">_xll.BDP(B462, "CF_ACT_CASH_PAID_FOR_INT_DEBT")</f>
        <v>1392.4</v>
      </c>
      <c r="AA462" t="str" cm="1">
        <f t="array" ref="AA462">_xll.BDP(B462, "TYPE_OF_BOND")</f>
        <v>#N/A Field Not Applicable</v>
      </c>
    </row>
    <row r="463" spans="1:27" x14ac:dyDescent="0.25">
      <c r="A463">
        <v>461</v>
      </c>
      <c r="B463" t="s">
        <v>1063</v>
      </c>
      <c r="C463" s="4" t="s">
        <v>1058</v>
      </c>
      <c r="D463" s="4">
        <v>635000000</v>
      </c>
      <c r="E463" t="s">
        <v>11</v>
      </c>
      <c r="F463" s="1">
        <v>47498</v>
      </c>
      <c r="G463">
        <v>4.25</v>
      </c>
      <c r="H463" t="s">
        <v>9</v>
      </c>
      <c r="L463" t="s">
        <v>1177</v>
      </c>
      <c r="M463" t="s">
        <v>905</v>
      </c>
      <c r="N463" t="s">
        <v>16</v>
      </c>
      <c r="O463" t="s">
        <v>3106</v>
      </c>
      <c r="P463" t="s">
        <v>2629</v>
      </c>
      <c r="Q463" t="s">
        <v>3107</v>
      </c>
      <c r="R463" t="s">
        <v>1064</v>
      </c>
      <c r="S463">
        <v>15828837.1403511</v>
      </c>
      <c r="T463">
        <v>47</v>
      </c>
      <c r="U463" t="s">
        <v>1172</v>
      </c>
      <c r="W463" t="s">
        <v>1060</v>
      </c>
      <c r="X463" t="str">
        <f t="shared" si="7"/>
        <v>ZR870724@TRAC Corp</v>
      </c>
      <c r="Y463" t="str">
        <f>_xlfn.IFNA(_xll.BDP(X463,"INTERVAL_SUM", "MARKET_DATA_OVERRIDE=px_volume", "CALC_INTERVAL=5D"), "")</f>
        <v>#N/A N/A</v>
      </c>
      <c r="Z463" cm="1">
        <f t="array" ref="Z463">_xll.BDP(B463, "CF_ACT_CASH_PAID_FOR_INT_DEBT")</f>
        <v>1392.4</v>
      </c>
      <c r="AA463" t="str" cm="1">
        <f t="array" ref="AA463">_xll.BDP(B463, "TYPE_OF_BOND")</f>
        <v>#N/A Field Not Applicable</v>
      </c>
    </row>
    <row r="464" spans="1:27" x14ac:dyDescent="0.25">
      <c r="A464">
        <v>462</v>
      </c>
      <c r="B464" t="s">
        <v>1065</v>
      </c>
      <c r="C464" s="4" t="s">
        <v>1058</v>
      </c>
      <c r="D464" s="4">
        <v>1350000000</v>
      </c>
      <c r="E464" t="s">
        <v>12</v>
      </c>
      <c r="F464" s="1">
        <v>47879</v>
      </c>
      <c r="G464">
        <v>4.25</v>
      </c>
      <c r="H464" t="s">
        <v>9</v>
      </c>
      <c r="L464" t="s">
        <v>1168</v>
      </c>
      <c r="M464" t="s">
        <v>905</v>
      </c>
      <c r="N464" t="s">
        <v>16</v>
      </c>
      <c r="O464" t="s">
        <v>3157</v>
      </c>
      <c r="P464" t="s">
        <v>2644</v>
      </c>
      <c r="Q464" t="s">
        <v>3158</v>
      </c>
      <c r="R464" t="s">
        <v>1066</v>
      </c>
      <c r="S464">
        <v>9679199.6916481704</v>
      </c>
      <c r="T464">
        <v>30</v>
      </c>
      <c r="U464" t="s">
        <v>1169</v>
      </c>
      <c r="W464" t="s">
        <v>1060</v>
      </c>
      <c r="X464" t="str">
        <f t="shared" si="7"/>
        <v>ZO423912@TRAC Corp</v>
      </c>
      <c r="Y464">
        <f>_xlfn.IFNA(_xll.BDP(X464,"INTERVAL_SUM", "MARKET_DATA_OVERRIDE=px_volume", "CALC_INTERVAL=5D"), "")</f>
        <v>10188</v>
      </c>
      <c r="Z464" cm="1">
        <f t="array" ref="Z464">_xll.BDP(B464, "CF_ACT_CASH_PAID_FOR_INT_DEBT")</f>
        <v>1392.4</v>
      </c>
      <c r="AA464" t="str" cm="1">
        <f t="array" ref="AA464">_xll.BDP(B464, "TYPE_OF_BOND")</f>
        <v>#N/A Field Not Applicable</v>
      </c>
    </row>
    <row r="465" spans="1:27" x14ac:dyDescent="0.25">
      <c r="A465">
        <v>463</v>
      </c>
      <c r="B465" t="s">
        <v>1067</v>
      </c>
      <c r="C465" s="4" t="s">
        <v>1058</v>
      </c>
      <c r="D465" s="4">
        <v>950000000</v>
      </c>
      <c r="E465" t="s">
        <v>12</v>
      </c>
      <c r="F465" s="1">
        <v>47879</v>
      </c>
      <c r="G465">
        <v>3.25</v>
      </c>
      <c r="H465" t="s">
        <v>9</v>
      </c>
      <c r="L465" t="s">
        <v>1171</v>
      </c>
      <c r="M465" t="s">
        <v>905</v>
      </c>
      <c r="N465" t="s">
        <v>16</v>
      </c>
      <c r="O465" t="s">
        <v>3157</v>
      </c>
      <c r="P465" t="s">
        <v>2644</v>
      </c>
      <c r="Q465" t="s">
        <v>3158</v>
      </c>
      <c r="R465" t="s">
        <v>1068</v>
      </c>
      <c r="S465">
        <v>14643743.5268301</v>
      </c>
      <c r="T465">
        <v>39</v>
      </c>
      <c r="U465" t="s">
        <v>1172</v>
      </c>
      <c r="W465" t="s">
        <v>1060</v>
      </c>
      <c r="X465" t="str">
        <f t="shared" si="7"/>
        <v>ZO388624@TRAC Corp</v>
      </c>
      <c r="Y465" t="str">
        <f>_xlfn.IFNA(_xll.BDP(X465,"INTERVAL_SUM", "MARKET_DATA_OVERRIDE=px_volume", "CALC_INTERVAL=5D"), "")</f>
        <v>#N/A N/A</v>
      </c>
      <c r="Z465" cm="1">
        <f t="array" ref="Z465">_xll.BDP(B465, "CF_ACT_CASH_PAID_FOR_INT_DEBT")</f>
        <v>1392.4</v>
      </c>
      <c r="AA465" t="str" cm="1">
        <f t="array" ref="AA465">_xll.BDP(B465, "TYPE_OF_BOND")</f>
        <v>#N/A Field Not Applicable</v>
      </c>
    </row>
    <row r="466" spans="1:27" x14ac:dyDescent="0.25">
      <c r="A466">
        <v>464</v>
      </c>
      <c r="B466" t="s">
        <v>1069</v>
      </c>
      <c r="C466" s="4" t="s">
        <v>1058</v>
      </c>
      <c r="D466" s="4">
        <v>600000000</v>
      </c>
      <c r="E466" t="s">
        <v>12</v>
      </c>
      <c r="F466" s="1">
        <v>47149</v>
      </c>
      <c r="G466">
        <v>4</v>
      </c>
      <c r="H466" t="s">
        <v>9</v>
      </c>
      <c r="L466" t="s">
        <v>1177</v>
      </c>
      <c r="M466" t="s">
        <v>905</v>
      </c>
      <c r="N466" t="s">
        <v>16</v>
      </c>
      <c r="O466" t="s">
        <v>3157</v>
      </c>
      <c r="P466" t="s">
        <v>2644</v>
      </c>
      <c r="Q466" t="s">
        <v>3158</v>
      </c>
      <c r="R466" t="s">
        <v>1070</v>
      </c>
      <c r="S466">
        <v>20413608.477353301</v>
      </c>
      <c r="T466">
        <v>61</v>
      </c>
      <c r="U466" t="s">
        <v>1172</v>
      </c>
      <c r="W466" t="s">
        <v>1060</v>
      </c>
      <c r="X466" t="str">
        <f t="shared" si="7"/>
        <v>ZO388622@TRAC Corp</v>
      </c>
      <c r="Y466" t="str">
        <f>_xlfn.IFNA(_xll.BDP(X466,"INTERVAL_SUM", "MARKET_DATA_OVERRIDE=px_volume", "CALC_INTERVAL=5D"), "")</f>
        <v>#N/A N/A</v>
      </c>
      <c r="Z466" cm="1">
        <f t="array" ref="Z466">_xll.BDP(B466, "CF_ACT_CASH_PAID_FOR_INT_DEBT")</f>
        <v>1392.4</v>
      </c>
      <c r="AA466" t="str" cm="1">
        <f t="array" ref="AA466">_xll.BDP(B466, "TYPE_OF_BOND")</f>
        <v>#N/A Field Not Applicable</v>
      </c>
    </row>
    <row r="467" spans="1:27" x14ac:dyDescent="0.25">
      <c r="A467">
        <v>465</v>
      </c>
      <c r="B467" t="s">
        <v>1071</v>
      </c>
      <c r="C467" s="4" t="s">
        <v>1058</v>
      </c>
      <c r="D467" s="4">
        <v>750000000</v>
      </c>
      <c r="E467" t="s">
        <v>12</v>
      </c>
      <c r="F467" s="1">
        <v>48319</v>
      </c>
      <c r="G467">
        <v>7.75</v>
      </c>
      <c r="H467" t="s">
        <v>9</v>
      </c>
      <c r="L467" t="s">
        <v>1168</v>
      </c>
      <c r="M467" t="s">
        <v>905</v>
      </c>
      <c r="N467" t="s">
        <v>16</v>
      </c>
      <c r="O467" t="s">
        <v>3157</v>
      </c>
      <c r="P467" t="s">
        <v>2644</v>
      </c>
      <c r="Q467" t="s">
        <v>3158</v>
      </c>
      <c r="R467" t="s">
        <v>1072</v>
      </c>
      <c r="S467">
        <v>15508740.691172499</v>
      </c>
      <c r="T467">
        <v>26</v>
      </c>
      <c r="U467" t="s">
        <v>1169</v>
      </c>
      <c r="W467" t="s">
        <v>1060</v>
      </c>
      <c r="X467" t="str">
        <f t="shared" si="7"/>
        <v>ZB048719@TRAC Corp</v>
      </c>
      <c r="Y467">
        <f>_xlfn.IFNA(_xll.BDP(X467,"INTERVAL_SUM", "MARKET_DATA_OVERRIDE=px_volume", "CALC_INTERVAL=5D"), "")</f>
        <v>5071</v>
      </c>
      <c r="Z467" cm="1">
        <f t="array" ref="Z467">_xll.BDP(B467, "CF_ACT_CASH_PAID_FOR_INT_DEBT")</f>
        <v>1392.4</v>
      </c>
      <c r="AA467" t="str" cm="1">
        <f t="array" ref="AA467">_xll.BDP(B467, "TYPE_OF_BOND")</f>
        <v>#N/A Field Not Applicable</v>
      </c>
    </row>
    <row r="468" spans="1:27" x14ac:dyDescent="0.25">
      <c r="A468">
        <v>466</v>
      </c>
      <c r="B468" t="s">
        <v>1073</v>
      </c>
      <c r="C468" s="4" t="s">
        <v>1058</v>
      </c>
      <c r="D468" s="4">
        <v>1810000000</v>
      </c>
      <c r="E468" t="s">
        <v>12</v>
      </c>
      <c r="F468" s="1">
        <v>48319</v>
      </c>
      <c r="G468">
        <v>5.625</v>
      </c>
      <c r="H468" t="s">
        <v>9</v>
      </c>
      <c r="L468" t="s">
        <v>1171</v>
      </c>
      <c r="M468" t="s">
        <v>905</v>
      </c>
      <c r="N468" t="s">
        <v>16</v>
      </c>
      <c r="O468" t="s">
        <v>3157</v>
      </c>
      <c r="P468" t="s">
        <v>2644</v>
      </c>
      <c r="Q468" t="s">
        <v>3158</v>
      </c>
      <c r="R468" t="s">
        <v>1074</v>
      </c>
      <c r="S468">
        <v>10937213.5047362</v>
      </c>
      <c r="T468">
        <v>37</v>
      </c>
      <c r="U468" t="s">
        <v>1172</v>
      </c>
      <c r="W468" t="s">
        <v>1060</v>
      </c>
      <c r="X468" t="str">
        <f t="shared" si="7"/>
        <v>ZB000700@TRAC Corp</v>
      </c>
      <c r="Y468" t="str">
        <f>_xlfn.IFNA(_xll.BDP(X468,"INTERVAL_SUM", "MARKET_DATA_OVERRIDE=px_volume", "CALC_INTERVAL=5D"), "")</f>
        <v>#N/A N/A</v>
      </c>
      <c r="Z468" cm="1">
        <f t="array" ref="Z468">_xll.BDP(B468, "CF_ACT_CASH_PAID_FOR_INT_DEBT")</f>
        <v>1392.4</v>
      </c>
      <c r="AA468" t="str" cm="1">
        <f t="array" ref="AA468">_xll.BDP(B468, "TYPE_OF_BOND")</f>
        <v>#N/A Field Not Applicable</v>
      </c>
    </row>
    <row r="469" spans="1:27" x14ac:dyDescent="0.25">
      <c r="A469">
        <v>467</v>
      </c>
      <c r="B469" t="s">
        <v>1075</v>
      </c>
      <c r="C469" s="4" t="s">
        <v>1058</v>
      </c>
      <c r="D469" s="4">
        <v>575000000</v>
      </c>
      <c r="E469" t="s">
        <v>12</v>
      </c>
      <c r="F469" s="1">
        <v>48288</v>
      </c>
      <c r="G469">
        <v>7.875</v>
      </c>
      <c r="H469" t="s">
        <v>9</v>
      </c>
      <c r="L469" t="s">
        <v>1177</v>
      </c>
      <c r="M469" t="s">
        <v>1076</v>
      </c>
      <c r="N469" t="s">
        <v>16</v>
      </c>
      <c r="O469" t="s">
        <v>3106</v>
      </c>
      <c r="P469" t="s">
        <v>2629</v>
      </c>
      <c r="Q469" t="s">
        <v>3107</v>
      </c>
      <c r="R469" t="s">
        <v>1077</v>
      </c>
      <c r="S469">
        <v>13128666.3235819</v>
      </c>
      <c r="T469">
        <v>38</v>
      </c>
      <c r="U469" t="s">
        <v>1172</v>
      </c>
      <c r="W469" t="s">
        <v>1060</v>
      </c>
      <c r="X469" t="str">
        <f t="shared" si="7"/>
        <v>YT913344@TRAC Corp</v>
      </c>
      <c r="Y469" t="str">
        <f>_xlfn.IFNA(_xll.BDP(X469,"INTERVAL_SUM", "MARKET_DATA_OVERRIDE=px_volume", "CALC_INTERVAL=5D"), "")</f>
        <v>#N/A N/A</v>
      </c>
      <c r="Z469" cm="1">
        <f t="array" ref="Z469">_xll.BDP(B469, "CF_ACT_CASH_PAID_FOR_INT_DEBT")</f>
        <v>1392.4</v>
      </c>
      <c r="AA469" t="str" cm="1">
        <f t="array" ref="AA469">_xll.BDP(B469, "TYPE_OF_BOND")</f>
        <v>#N/A Field Not Applicable</v>
      </c>
    </row>
    <row r="470" spans="1:27" x14ac:dyDescent="0.25">
      <c r="A470">
        <v>468</v>
      </c>
      <c r="B470" t="s">
        <v>1078</v>
      </c>
      <c r="C470" s="4" t="s">
        <v>1058</v>
      </c>
      <c r="D470" s="4">
        <v>850000000</v>
      </c>
      <c r="E470" t="s">
        <v>12</v>
      </c>
      <c r="F470" s="1">
        <v>48594</v>
      </c>
      <c r="G470">
        <v>6.75</v>
      </c>
      <c r="H470" t="s">
        <v>9</v>
      </c>
      <c r="L470" t="s">
        <v>1168</v>
      </c>
      <c r="M470" t="s">
        <v>905</v>
      </c>
      <c r="N470" t="s">
        <v>16</v>
      </c>
      <c r="O470" t="s">
        <v>3157</v>
      </c>
      <c r="P470" t="s">
        <v>2644</v>
      </c>
      <c r="Q470" t="s">
        <v>3158</v>
      </c>
      <c r="R470" t="s">
        <v>1079</v>
      </c>
      <c r="S470">
        <v>10056543.1699547</v>
      </c>
      <c r="T470">
        <v>30</v>
      </c>
      <c r="U470" t="s">
        <v>1169</v>
      </c>
      <c r="W470" t="s">
        <v>1060</v>
      </c>
      <c r="X470" t="str">
        <f t="shared" si="7"/>
        <v>YK815510@TRAC Corp</v>
      </c>
      <c r="Y470">
        <f>_xlfn.IFNA(_xll.BDP(X470,"INTERVAL_SUM", "MARKET_DATA_OVERRIDE=px_volume", "CALC_INTERVAL=5D"), "")</f>
        <v>21793</v>
      </c>
      <c r="Z470" cm="1">
        <f t="array" ref="Z470">_xll.BDP(B470, "CF_ACT_CASH_PAID_FOR_INT_DEBT")</f>
        <v>1392.4</v>
      </c>
      <c r="AA470" t="str" cm="1">
        <f t="array" ref="AA470">_xll.BDP(B470, "TYPE_OF_BOND")</f>
        <v>#N/A Field Not Applicable</v>
      </c>
    </row>
    <row r="471" spans="1:27" x14ac:dyDescent="0.25">
      <c r="A471">
        <v>469</v>
      </c>
      <c r="B471" t="s">
        <v>1080</v>
      </c>
      <c r="C471" s="4" t="s">
        <v>1058</v>
      </c>
      <c r="D471" s="4">
        <v>250000000</v>
      </c>
      <c r="E471" s="1" t="s">
        <v>12</v>
      </c>
      <c r="F471" s="1">
        <v>48775</v>
      </c>
      <c r="G471">
        <v>8.875</v>
      </c>
      <c r="H471" t="s">
        <v>9</v>
      </c>
      <c r="L471" t="s">
        <v>1177</v>
      </c>
      <c r="M471" t="s">
        <v>1076</v>
      </c>
      <c r="N471" t="s">
        <v>16</v>
      </c>
      <c r="O471" t="s">
        <v>3106</v>
      </c>
      <c r="P471" t="s">
        <v>2629</v>
      </c>
      <c r="Q471" t="s">
        <v>3107</v>
      </c>
      <c r="R471" t="s">
        <v>1081</v>
      </c>
      <c r="S471">
        <v>6437902.5381953698</v>
      </c>
      <c r="T471">
        <v>22</v>
      </c>
      <c r="U471" t="s">
        <v>1192</v>
      </c>
      <c r="W471" t="s">
        <v>1060</v>
      </c>
      <c r="X471" t="str">
        <f t="shared" si="7"/>
        <v>YI418097@TRAC Corp</v>
      </c>
      <c r="Y471" t="str">
        <f>_xlfn.IFNA(_xll.BDP(X471,"INTERVAL_SUM", "MARKET_DATA_OVERRIDE=px_volume", "CALC_INTERVAL=5D"), "")</f>
        <v>#N/A N/A</v>
      </c>
      <c r="Z471" cm="1">
        <f t="array" ref="Z471">_xll.BDP(B471, "CF_ACT_CASH_PAID_FOR_INT_DEBT")</f>
        <v>1392.4</v>
      </c>
      <c r="AA471" t="str" cm="1">
        <f t="array" ref="AA471">_xll.BDP(B471, "TYPE_OF_BOND")</f>
        <v>#N/A Field Not Applicable</v>
      </c>
    </row>
    <row r="472" spans="1:27" x14ac:dyDescent="0.25">
      <c r="A472">
        <v>470</v>
      </c>
      <c r="B472" t="s">
        <v>1082</v>
      </c>
      <c r="C472" s="4" t="s">
        <v>1058</v>
      </c>
      <c r="D472" s="4">
        <v>550000000</v>
      </c>
      <c r="E472" s="1" t="s">
        <v>12</v>
      </c>
      <c r="F472" s="1">
        <v>48775</v>
      </c>
      <c r="G472">
        <v>7.5</v>
      </c>
      <c r="H472" t="s">
        <v>9</v>
      </c>
      <c r="L472" t="s">
        <v>1171</v>
      </c>
      <c r="M472" t="s">
        <v>1076</v>
      </c>
      <c r="N472" t="s">
        <v>16</v>
      </c>
      <c r="O472" t="s">
        <v>3106</v>
      </c>
      <c r="P472" t="s">
        <v>2629</v>
      </c>
      <c r="Q472" t="s">
        <v>3107</v>
      </c>
      <c r="R472" t="s">
        <v>1083</v>
      </c>
      <c r="S472">
        <v>6823010.8984666197</v>
      </c>
      <c r="T472">
        <v>21</v>
      </c>
      <c r="U472" t="s">
        <v>1172</v>
      </c>
      <c r="W472" t="s">
        <v>1060</v>
      </c>
      <c r="X472" t="str">
        <f t="shared" si="7"/>
        <v>YI400516@TRAC Corp</v>
      </c>
      <c r="Y472" t="str">
        <f>_xlfn.IFNA(_xll.BDP(X472,"INTERVAL_SUM", "MARKET_DATA_OVERRIDE=px_volume", "CALC_INTERVAL=5D"), "")</f>
        <v>#N/A N/A</v>
      </c>
      <c r="Z472" cm="1">
        <f t="array" ref="Z472">_xll.BDP(B472, "CF_ACT_CASH_PAID_FOR_INT_DEBT")</f>
        <v>1392.4</v>
      </c>
      <c r="AA472" t="str" cm="1">
        <f t="array" ref="AA472">_xll.BDP(B472, "TYPE_OF_BOND")</f>
        <v>#N/A Field Not Applicable</v>
      </c>
    </row>
    <row r="473" spans="1:27" x14ac:dyDescent="0.25">
      <c r="A473">
        <v>471</v>
      </c>
      <c r="B473" t="s">
        <v>1084</v>
      </c>
      <c r="C473" s="4" t="s">
        <v>1058</v>
      </c>
      <c r="D473" s="4">
        <v>500000000</v>
      </c>
      <c r="E473" s="1" t="s">
        <v>12</v>
      </c>
      <c r="F473" s="1">
        <v>48653</v>
      </c>
      <c r="G473">
        <v>8.5</v>
      </c>
      <c r="H473" t="s">
        <v>9</v>
      </c>
      <c r="L473" t="s">
        <v>1168</v>
      </c>
      <c r="M473" t="s">
        <v>1076</v>
      </c>
      <c r="N473" t="s">
        <v>16</v>
      </c>
      <c r="O473" t="s">
        <v>3106</v>
      </c>
      <c r="P473" t="s">
        <v>2629</v>
      </c>
      <c r="Q473" t="s">
        <v>3107</v>
      </c>
      <c r="R473" t="s">
        <v>1085</v>
      </c>
      <c r="S473">
        <v>5706429.7001697104</v>
      </c>
      <c r="T473">
        <v>15</v>
      </c>
      <c r="U473" t="s">
        <v>1169</v>
      </c>
      <c r="W473" t="s">
        <v>1060</v>
      </c>
      <c r="X473" t="str">
        <f t="shared" si="7"/>
        <v>DC974298@TRAC Corp</v>
      </c>
      <c r="Y473">
        <f>_xlfn.IFNA(_xll.BDP(X473,"INTERVAL_SUM", "MARKET_DATA_OVERRIDE=px_volume", "CALC_INTERVAL=5D"), "")</f>
        <v>8236</v>
      </c>
      <c r="Z473" cm="1">
        <f t="array" ref="Z473">_xll.BDP(B473, "CF_ACT_CASH_PAID_FOR_INT_DEBT")</f>
        <v>1392.4</v>
      </c>
      <c r="AA473" t="str" cm="1">
        <f t="array" ref="AA473">_xll.BDP(B473, "TYPE_OF_BOND")</f>
        <v>#N/A Field Not Applicable</v>
      </c>
    </row>
    <row r="474" spans="1:27" x14ac:dyDescent="0.25">
      <c r="A474">
        <v>472</v>
      </c>
      <c r="B474" t="s">
        <v>1086</v>
      </c>
      <c r="C474" s="4" t="s">
        <v>1058</v>
      </c>
      <c r="D474" s="4">
        <v>675000000</v>
      </c>
      <c r="E474" s="1" t="s">
        <v>12</v>
      </c>
      <c r="F474" s="1">
        <v>48044</v>
      </c>
      <c r="G474">
        <v>4.5</v>
      </c>
      <c r="H474" t="s">
        <v>9</v>
      </c>
      <c r="L474" t="s">
        <v>1177</v>
      </c>
      <c r="M474" t="s">
        <v>905</v>
      </c>
      <c r="N474" t="s">
        <v>16</v>
      </c>
      <c r="O474" t="s">
        <v>3157</v>
      </c>
      <c r="P474" t="s">
        <v>2644</v>
      </c>
      <c r="Q474" t="s">
        <v>3158</v>
      </c>
      <c r="R474" t="s">
        <v>1087</v>
      </c>
      <c r="S474">
        <v>14432292.432859</v>
      </c>
      <c r="T474">
        <v>44</v>
      </c>
      <c r="U474" t="s">
        <v>1172</v>
      </c>
      <c r="W474" t="s">
        <v>1060</v>
      </c>
      <c r="X474" t="str">
        <f t="shared" si="7"/>
        <v>BQ181298@TRAC Corp</v>
      </c>
      <c r="Y474" t="str">
        <f>_xlfn.IFNA(_xll.BDP(X474,"INTERVAL_SUM", "MARKET_DATA_OVERRIDE=px_volume", "CALC_INTERVAL=5D"), "")</f>
        <v>#N/A N/A</v>
      </c>
      <c r="Z474" cm="1">
        <f t="array" ref="Z474">_xll.BDP(B474, "CF_ACT_CASH_PAID_FOR_INT_DEBT")</f>
        <v>1392.4</v>
      </c>
      <c r="AA474" t="str" cm="1">
        <f t="array" ref="AA474">_xll.BDP(B474, "TYPE_OF_BOND")</f>
        <v>#N/A Field Not Applicable</v>
      </c>
    </row>
    <row r="475" spans="1:27" x14ac:dyDescent="0.25">
      <c r="A475">
        <v>473</v>
      </c>
      <c r="B475" t="s">
        <v>1088</v>
      </c>
      <c r="C475" s="4" t="s">
        <v>1058</v>
      </c>
      <c r="D475" s="4">
        <v>1400000000</v>
      </c>
      <c r="E475" s="1" t="s">
        <v>12</v>
      </c>
      <c r="F475" s="1">
        <v>48044</v>
      </c>
      <c r="G475">
        <v>4.75</v>
      </c>
      <c r="H475" t="s">
        <v>9</v>
      </c>
      <c r="L475" t="s">
        <v>1168</v>
      </c>
      <c r="M475" t="s">
        <v>905</v>
      </c>
      <c r="N475" t="s">
        <v>16</v>
      </c>
      <c r="O475" t="s">
        <v>3157</v>
      </c>
      <c r="P475" t="s">
        <v>2644</v>
      </c>
      <c r="Q475" t="s">
        <v>3158</v>
      </c>
      <c r="R475" t="s">
        <v>1089</v>
      </c>
      <c r="S475">
        <v>9540975.7885496393</v>
      </c>
      <c r="T475">
        <v>34</v>
      </c>
      <c r="U475" t="s">
        <v>1169</v>
      </c>
      <c r="W475" t="s">
        <v>1060</v>
      </c>
      <c r="X475" t="str">
        <f t="shared" si="7"/>
        <v>BQ181285@TRAC Corp</v>
      </c>
      <c r="Y475">
        <f>_xlfn.IFNA(_xll.BDP(X475,"INTERVAL_SUM", "MARKET_DATA_OVERRIDE=px_volume", "CALC_INTERVAL=5D"), "")</f>
        <v>30958</v>
      </c>
      <c r="Z475" cm="1">
        <f t="array" ref="Z475">_xll.BDP(B475, "CF_ACT_CASH_PAID_FOR_INT_DEBT")</f>
        <v>1392.4</v>
      </c>
      <c r="AA475" t="str" cm="1">
        <f t="array" ref="AA475">_xll.BDP(B475, "TYPE_OF_BOND")</f>
        <v>#N/A Field Not Applicable</v>
      </c>
    </row>
    <row r="476" spans="1:27" x14ac:dyDescent="0.25">
      <c r="A476">
        <v>474</v>
      </c>
      <c r="B476" t="s">
        <v>1090</v>
      </c>
      <c r="C476" s="4" t="s">
        <v>1058</v>
      </c>
      <c r="D476" s="4">
        <v>915000000</v>
      </c>
      <c r="E476" s="1" t="s">
        <v>11</v>
      </c>
      <c r="F476" s="1">
        <v>47710</v>
      </c>
      <c r="G476">
        <v>4.5</v>
      </c>
      <c r="H476" t="s">
        <v>9</v>
      </c>
      <c r="L476" t="s">
        <v>1168</v>
      </c>
      <c r="M476" t="s">
        <v>905</v>
      </c>
      <c r="N476" t="s">
        <v>16</v>
      </c>
      <c r="O476" t="s">
        <v>3106</v>
      </c>
      <c r="P476" t="s">
        <v>2629</v>
      </c>
      <c r="Q476" t="s">
        <v>3107</v>
      </c>
      <c r="R476" t="s">
        <v>1091</v>
      </c>
      <c r="S476">
        <v>11141813.837765601</v>
      </c>
      <c r="T476">
        <v>28</v>
      </c>
      <c r="U476" t="s">
        <v>1169</v>
      </c>
      <c r="W476" t="s">
        <v>1060</v>
      </c>
      <c r="X476" t="str">
        <f t="shared" si="7"/>
        <v>BK131082@TRAC Corp</v>
      </c>
      <c r="Y476">
        <f>_xlfn.IFNA(_xll.BDP(X476,"INTERVAL_SUM", "MARKET_DATA_OVERRIDE=px_volume", "CALC_INTERVAL=5D"), "")</f>
        <v>11482</v>
      </c>
      <c r="Z476" cm="1">
        <f t="array" ref="Z476">_xll.BDP(B476, "CF_ACT_CASH_PAID_FOR_INT_DEBT")</f>
        <v>1392.4</v>
      </c>
      <c r="AA476" t="str" cm="1">
        <f t="array" ref="AA476">_xll.BDP(B476, "TYPE_OF_BOND")</f>
        <v>#N/A Field Not Applicable</v>
      </c>
    </row>
    <row r="477" spans="1:27" x14ac:dyDescent="0.25">
      <c r="A477">
        <v>475</v>
      </c>
      <c r="B477" t="s">
        <v>1092</v>
      </c>
      <c r="C477" s="4" t="s">
        <v>1058</v>
      </c>
      <c r="D477" s="4">
        <v>480000000</v>
      </c>
      <c r="E477" s="1" t="s">
        <v>11</v>
      </c>
      <c r="F477" s="1">
        <v>47710</v>
      </c>
      <c r="G477">
        <v>4.125</v>
      </c>
      <c r="H477" t="s">
        <v>9</v>
      </c>
      <c r="L477" t="s">
        <v>1177</v>
      </c>
      <c r="M477" t="s">
        <v>905</v>
      </c>
      <c r="N477" t="s">
        <v>16</v>
      </c>
      <c r="O477" t="s">
        <v>3106</v>
      </c>
      <c r="P477" t="s">
        <v>2629</v>
      </c>
      <c r="Q477" t="s">
        <v>3107</v>
      </c>
      <c r="R477" t="s">
        <v>1093</v>
      </c>
      <c r="S477">
        <v>16630471.4516616</v>
      </c>
      <c r="T477">
        <v>43</v>
      </c>
      <c r="U477" t="s">
        <v>1172</v>
      </c>
      <c r="W477" t="s">
        <v>1060</v>
      </c>
      <c r="X477" t="str">
        <f t="shared" si="7"/>
        <v>BK120206@TRAC Corp</v>
      </c>
      <c r="Y477" t="str">
        <f>_xlfn.IFNA(_xll.BDP(X477,"INTERVAL_SUM", "MARKET_DATA_OVERRIDE=px_volume", "CALC_INTERVAL=5D"), "")</f>
        <v>#N/A N/A</v>
      </c>
      <c r="Z477" cm="1">
        <f t="array" ref="Z477">_xll.BDP(B477, "CF_ACT_CASH_PAID_FOR_INT_DEBT")</f>
        <v>1392.4</v>
      </c>
      <c r="AA477" t="str" cm="1">
        <f t="array" ref="AA477">_xll.BDP(B477, "TYPE_OF_BOND")</f>
        <v>#N/A Field Not Applicable</v>
      </c>
    </row>
    <row r="478" spans="1:27" x14ac:dyDescent="0.25">
      <c r="A478">
        <v>476</v>
      </c>
      <c r="B478" t="s">
        <v>1094</v>
      </c>
      <c r="C478" s="4" t="s">
        <v>1058</v>
      </c>
      <c r="D478" s="4">
        <v>500000000</v>
      </c>
      <c r="E478" s="1" t="s">
        <v>17</v>
      </c>
      <c r="F478" s="1">
        <v>47679</v>
      </c>
      <c r="G478">
        <v>3.75</v>
      </c>
      <c r="H478" t="s">
        <v>9</v>
      </c>
      <c r="L478" t="s">
        <v>1171</v>
      </c>
      <c r="M478" t="s">
        <v>905</v>
      </c>
      <c r="N478" t="s">
        <v>16</v>
      </c>
      <c r="O478" t="s">
        <v>3106</v>
      </c>
      <c r="P478" t="s">
        <v>2629</v>
      </c>
      <c r="Q478" t="s">
        <v>3107</v>
      </c>
      <c r="R478" t="s">
        <v>1095</v>
      </c>
      <c r="S478">
        <v>9457338.6818429399</v>
      </c>
      <c r="T478">
        <v>27</v>
      </c>
      <c r="U478" t="s">
        <v>1172</v>
      </c>
      <c r="W478" t="s">
        <v>1060</v>
      </c>
      <c r="X478" t="str">
        <f t="shared" si="7"/>
        <v>BJ923646@TRAC Corp</v>
      </c>
      <c r="Y478" t="str">
        <f>_xlfn.IFNA(_xll.BDP(X478,"INTERVAL_SUM", "MARKET_DATA_OVERRIDE=px_volume", "CALC_INTERVAL=5D"), "")</f>
        <v>#N/A N/A</v>
      </c>
      <c r="Z478" cm="1">
        <f t="array" ref="Z478">_xll.BDP(B478, "CF_ACT_CASH_PAID_FOR_INT_DEBT")</f>
        <v>1392.4</v>
      </c>
      <c r="AA478" t="str" cm="1">
        <f t="array" ref="AA478">_xll.BDP(B478, "TYPE_OF_BOND")</f>
        <v>#N/A Field Not Applicable</v>
      </c>
    </row>
    <row r="479" spans="1:27" x14ac:dyDescent="0.25">
      <c r="A479">
        <v>477</v>
      </c>
      <c r="B479" t="s">
        <v>1096</v>
      </c>
      <c r="C479" s="4" t="s">
        <v>1058</v>
      </c>
      <c r="D479" s="4">
        <v>925000000</v>
      </c>
      <c r="E479" t="s">
        <v>17</v>
      </c>
      <c r="F479" s="1">
        <v>47679</v>
      </c>
      <c r="G479">
        <v>5</v>
      </c>
      <c r="H479" t="s">
        <v>9</v>
      </c>
      <c r="L479" t="s">
        <v>1168</v>
      </c>
      <c r="M479" t="s">
        <v>905</v>
      </c>
      <c r="N479" t="s">
        <v>16</v>
      </c>
      <c r="O479" t="s">
        <v>3106</v>
      </c>
      <c r="P479" t="s">
        <v>2629</v>
      </c>
      <c r="Q479" t="s">
        <v>3107</v>
      </c>
      <c r="R479" t="s">
        <v>1097</v>
      </c>
      <c r="S479">
        <v>12327317.459674399</v>
      </c>
      <c r="T479">
        <v>22</v>
      </c>
      <c r="U479" t="s">
        <v>1169</v>
      </c>
      <c r="W479" t="s">
        <v>1060</v>
      </c>
      <c r="X479" t="str">
        <f t="shared" si="7"/>
        <v>BJ808779@TRAC Corp</v>
      </c>
      <c r="Y479">
        <f>_xlfn.IFNA(_xll.BDP(X479,"INTERVAL_SUM", "MARKET_DATA_OVERRIDE=px_volume", "CALC_INTERVAL=5D"), "")</f>
        <v>13258</v>
      </c>
      <c r="Z479" cm="1">
        <f t="array" ref="Z479">_xll.BDP(B479, "CF_ACT_CASH_PAID_FOR_INT_DEBT")</f>
        <v>1392.4</v>
      </c>
      <c r="AA479" t="str" cm="1">
        <f t="array" ref="AA479">_xll.BDP(B479, "TYPE_OF_BOND")</f>
        <v>#N/A Field Not Applicable</v>
      </c>
    </row>
    <row r="480" spans="1:27" x14ac:dyDescent="0.25">
      <c r="A480">
        <v>478</v>
      </c>
      <c r="B480" t="s">
        <v>1098</v>
      </c>
      <c r="C480" s="4" t="s">
        <v>1058</v>
      </c>
      <c r="D480" s="4">
        <v>600000000</v>
      </c>
      <c r="E480" t="s">
        <v>11</v>
      </c>
      <c r="F480" s="1">
        <v>48319</v>
      </c>
      <c r="G480">
        <v>5.625</v>
      </c>
      <c r="H480" t="s">
        <v>9</v>
      </c>
      <c r="I480" t="s">
        <v>2630</v>
      </c>
      <c r="L480" t="s">
        <v>1171</v>
      </c>
      <c r="M480" t="s">
        <v>905</v>
      </c>
      <c r="N480" t="s">
        <v>16</v>
      </c>
      <c r="O480" t="s">
        <v>3106</v>
      </c>
      <c r="P480" t="s">
        <v>2629</v>
      </c>
      <c r="Q480" t="s">
        <v>3107</v>
      </c>
      <c r="R480" t="s">
        <v>1099</v>
      </c>
      <c r="V480" t="s">
        <v>227</v>
      </c>
      <c r="W480" t="s">
        <v>1060</v>
      </c>
      <c r="X480" t="str">
        <f t="shared" si="7"/>
        <v>BL557390@TRAC Corp</v>
      </c>
      <c r="Y480" t="str">
        <f>_xlfn.IFNA(_xll.BDP(X480,"INTERVAL_SUM", "MARKET_DATA_OVERRIDE=px_volume", "CALC_INTERVAL=5D"), "")</f>
        <v>#N/A N/A</v>
      </c>
      <c r="Z480" cm="1">
        <f t="array" ref="Z480">_xll.BDP(B480, "CF_ACT_CASH_PAID_FOR_INT_DEBT")</f>
        <v>1392.4</v>
      </c>
      <c r="AA480" t="str" cm="1">
        <f t="array" ref="AA480">_xll.BDP(B480, "TYPE_OF_BOND")</f>
        <v>#N/A Field Not Applicable</v>
      </c>
    </row>
    <row r="481" spans="1:27" x14ac:dyDescent="0.25">
      <c r="A481">
        <v>479</v>
      </c>
      <c r="B481" t="s">
        <v>1100</v>
      </c>
      <c r="C481" s="4" t="s">
        <v>1058</v>
      </c>
      <c r="D481" s="4">
        <v>750000000</v>
      </c>
      <c r="E481" t="s">
        <v>11</v>
      </c>
      <c r="F481" s="1">
        <v>48319</v>
      </c>
      <c r="G481">
        <v>7.75</v>
      </c>
      <c r="H481" t="s">
        <v>9</v>
      </c>
      <c r="I481" t="s">
        <v>2630</v>
      </c>
      <c r="L481" t="s">
        <v>1168</v>
      </c>
      <c r="M481" t="s">
        <v>10</v>
      </c>
      <c r="N481" t="s">
        <v>16</v>
      </c>
      <c r="O481" t="s">
        <v>3106</v>
      </c>
      <c r="P481" t="s">
        <v>2629</v>
      </c>
      <c r="Q481" t="s">
        <v>3107</v>
      </c>
      <c r="R481" t="s">
        <v>1101</v>
      </c>
      <c r="V481" t="s">
        <v>227</v>
      </c>
      <c r="W481" t="s">
        <v>1060</v>
      </c>
      <c r="X481" t="str">
        <f t="shared" si="7"/>
        <v>BL557388@TRAC Corp</v>
      </c>
      <c r="Y481" t="str">
        <f>_xlfn.IFNA(_xll.BDP(X481,"INTERVAL_SUM", "MARKET_DATA_OVERRIDE=px_volume", "CALC_INTERVAL=5D"), "")</f>
        <v>#N/A N/A</v>
      </c>
      <c r="Z481" cm="1">
        <f t="array" ref="Z481">_xll.BDP(B481, "CF_ACT_CASH_PAID_FOR_INT_DEBT")</f>
        <v>1392.4</v>
      </c>
      <c r="AA481" t="str" cm="1">
        <f t="array" ref="AA481">_xll.BDP(B481, "TYPE_OF_BOND")</f>
        <v>#N/A Field Not Applicable</v>
      </c>
    </row>
    <row r="482" spans="1:27" x14ac:dyDescent="0.25">
      <c r="A482">
        <v>480</v>
      </c>
      <c r="B482" t="s">
        <v>1102</v>
      </c>
      <c r="C482" s="4" t="s">
        <v>1058</v>
      </c>
      <c r="D482" s="4">
        <v>600000000</v>
      </c>
      <c r="E482" s="1" t="s">
        <v>11</v>
      </c>
      <c r="F482" s="1">
        <v>47149</v>
      </c>
      <c r="G482">
        <v>4</v>
      </c>
      <c r="H482" t="s">
        <v>9</v>
      </c>
      <c r="I482" t="s">
        <v>2630</v>
      </c>
      <c r="L482" t="s">
        <v>1177</v>
      </c>
      <c r="M482" t="s">
        <v>905</v>
      </c>
      <c r="N482" t="s">
        <v>16</v>
      </c>
      <c r="O482" t="s">
        <v>3106</v>
      </c>
      <c r="P482" t="s">
        <v>2629</v>
      </c>
      <c r="Q482" t="s">
        <v>3107</v>
      </c>
      <c r="R482" t="s">
        <v>1103</v>
      </c>
      <c r="V482" t="s">
        <v>227</v>
      </c>
      <c r="W482" t="s">
        <v>1060</v>
      </c>
      <c r="X482" t="str">
        <f t="shared" si="7"/>
        <v>BL557368@TRAC Corp</v>
      </c>
      <c r="Y482" t="str">
        <f>_xlfn.IFNA(_xll.BDP(X482,"INTERVAL_SUM", "MARKET_DATA_OVERRIDE=px_volume", "CALC_INTERVAL=5D"), "")</f>
        <v>#N/A N/A</v>
      </c>
      <c r="Z482" cm="1">
        <f t="array" ref="Z482">_xll.BDP(B482, "CF_ACT_CASH_PAID_FOR_INT_DEBT")</f>
        <v>1392.4</v>
      </c>
      <c r="AA482" t="str" cm="1">
        <f t="array" ref="AA482">_xll.BDP(B482, "TYPE_OF_BOND")</f>
        <v>#N/A Field Not Applicable</v>
      </c>
    </row>
    <row r="483" spans="1:27" x14ac:dyDescent="0.25">
      <c r="A483">
        <v>481</v>
      </c>
      <c r="B483" t="s">
        <v>1104</v>
      </c>
      <c r="C483" s="4" t="s">
        <v>1058</v>
      </c>
      <c r="D483" s="4">
        <v>950000000</v>
      </c>
      <c r="E483" t="s">
        <v>11</v>
      </c>
      <c r="F483" s="1">
        <v>47879</v>
      </c>
      <c r="G483">
        <v>3.25</v>
      </c>
      <c r="H483" t="s">
        <v>9</v>
      </c>
      <c r="I483" t="s">
        <v>2630</v>
      </c>
      <c r="L483" t="s">
        <v>1171</v>
      </c>
      <c r="M483" t="s">
        <v>905</v>
      </c>
      <c r="N483" t="s">
        <v>16</v>
      </c>
      <c r="O483" t="s">
        <v>3106</v>
      </c>
      <c r="P483" t="s">
        <v>2629</v>
      </c>
      <c r="Q483" t="s">
        <v>3107</v>
      </c>
      <c r="R483" t="s">
        <v>1105</v>
      </c>
      <c r="V483" t="s">
        <v>227</v>
      </c>
      <c r="W483" t="s">
        <v>1060</v>
      </c>
      <c r="X483" t="str">
        <f t="shared" si="7"/>
        <v>BL557367@TRAC Corp</v>
      </c>
      <c r="Y483" t="str">
        <f>_xlfn.IFNA(_xll.BDP(X483,"INTERVAL_SUM", "MARKET_DATA_OVERRIDE=px_volume", "CALC_INTERVAL=5D"), "")</f>
        <v>#N/A N/A</v>
      </c>
      <c r="Z483" cm="1">
        <f t="array" ref="Z483">_xll.BDP(B483, "CF_ACT_CASH_PAID_FOR_INT_DEBT")</f>
        <v>1392.4</v>
      </c>
      <c r="AA483" t="str" cm="1">
        <f t="array" ref="AA483">_xll.BDP(B483, "TYPE_OF_BOND")</f>
        <v>#N/A Field Not Applicable</v>
      </c>
    </row>
    <row r="484" spans="1:27" x14ac:dyDescent="0.25">
      <c r="A484">
        <v>482</v>
      </c>
      <c r="B484" t="s">
        <v>1106</v>
      </c>
      <c r="C484" s="4" t="s">
        <v>1058</v>
      </c>
      <c r="D484" s="4">
        <v>1350000000</v>
      </c>
      <c r="E484" t="s">
        <v>11</v>
      </c>
      <c r="F484" s="1">
        <v>47879</v>
      </c>
      <c r="G484">
        <v>4.25</v>
      </c>
      <c r="H484" t="s">
        <v>9</v>
      </c>
      <c r="I484" t="s">
        <v>2630</v>
      </c>
      <c r="L484" t="s">
        <v>1168</v>
      </c>
      <c r="M484" t="s">
        <v>10</v>
      </c>
      <c r="N484" t="s">
        <v>16</v>
      </c>
      <c r="O484" t="s">
        <v>3106</v>
      </c>
      <c r="P484" t="s">
        <v>2629</v>
      </c>
      <c r="Q484" t="s">
        <v>3107</v>
      </c>
      <c r="R484" t="s">
        <v>1107</v>
      </c>
      <c r="V484" t="s">
        <v>227</v>
      </c>
      <c r="W484" t="s">
        <v>1060</v>
      </c>
      <c r="X484" t="str">
        <f t="shared" si="7"/>
        <v>BL557366@TRAC Corp</v>
      </c>
      <c r="Y484" t="str">
        <f>_xlfn.IFNA(_xll.BDP(X484,"INTERVAL_SUM", "MARKET_DATA_OVERRIDE=px_volume", "CALC_INTERVAL=5D"), "")</f>
        <v>#N/A N/A</v>
      </c>
      <c r="Z484" cm="1">
        <f t="array" ref="Z484">_xll.BDP(B484, "CF_ACT_CASH_PAID_FOR_INT_DEBT")</f>
        <v>1392.4</v>
      </c>
      <c r="AA484" t="str" cm="1">
        <f t="array" ref="AA484">_xll.BDP(B484, "TYPE_OF_BOND")</f>
        <v>#N/A Field Not Applicable</v>
      </c>
    </row>
    <row r="485" spans="1:27" x14ac:dyDescent="0.25">
      <c r="A485">
        <v>483</v>
      </c>
      <c r="B485" t="s">
        <v>1108</v>
      </c>
      <c r="C485" s="4" t="s">
        <v>1058</v>
      </c>
      <c r="D485" s="4">
        <v>675000000</v>
      </c>
      <c r="E485" t="s">
        <v>11</v>
      </c>
      <c r="F485" s="1">
        <v>48044</v>
      </c>
      <c r="G485">
        <v>4.5</v>
      </c>
      <c r="H485" t="s">
        <v>9</v>
      </c>
      <c r="I485" t="s">
        <v>2630</v>
      </c>
      <c r="L485" t="s">
        <v>1177</v>
      </c>
      <c r="M485" t="s">
        <v>905</v>
      </c>
      <c r="N485" t="s">
        <v>16</v>
      </c>
      <c r="O485" t="s">
        <v>3106</v>
      </c>
      <c r="P485" t="s">
        <v>2629</v>
      </c>
      <c r="Q485" t="s">
        <v>3107</v>
      </c>
      <c r="R485" t="s">
        <v>1109</v>
      </c>
      <c r="V485" t="s">
        <v>227</v>
      </c>
      <c r="W485" t="s">
        <v>1060</v>
      </c>
      <c r="X485" t="str">
        <f t="shared" si="7"/>
        <v>BL557364@TRAC Corp</v>
      </c>
      <c r="Y485" t="str">
        <f>_xlfn.IFNA(_xll.BDP(X485,"INTERVAL_SUM", "MARKET_DATA_OVERRIDE=px_volume", "CALC_INTERVAL=5D"), "")</f>
        <v>#N/A N/A</v>
      </c>
      <c r="Z485" cm="1">
        <f t="array" ref="Z485">_xll.BDP(B485, "CF_ACT_CASH_PAID_FOR_INT_DEBT")</f>
        <v>1392.4</v>
      </c>
      <c r="AA485" t="str" cm="1">
        <f t="array" ref="AA485">_xll.BDP(B485, "TYPE_OF_BOND")</f>
        <v>#N/A Field Not Applicable</v>
      </c>
    </row>
    <row r="486" spans="1:27" x14ac:dyDescent="0.25">
      <c r="A486">
        <v>484</v>
      </c>
      <c r="B486" t="s">
        <v>1110</v>
      </c>
      <c r="C486" s="4" t="s">
        <v>1058</v>
      </c>
      <c r="D486" s="4">
        <v>1400000000</v>
      </c>
      <c r="E486" t="s">
        <v>11</v>
      </c>
      <c r="F486" s="1">
        <v>48044</v>
      </c>
      <c r="G486">
        <v>4.75</v>
      </c>
      <c r="H486" t="s">
        <v>9</v>
      </c>
      <c r="I486" t="s">
        <v>2630</v>
      </c>
      <c r="L486" t="s">
        <v>1168</v>
      </c>
      <c r="M486" t="s">
        <v>10</v>
      </c>
      <c r="N486" t="s">
        <v>16</v>
      </c>
      <c r="O486" t="s">
        <v>3106</v>
      </c>
      <c r="P486" t="s">
        <v>2629</v>
      </c>
      <c r="Q486" t="s">
        <v>3107</v>
      </c>
      <c r="R486" t="s">
        <v>1111</v>
      </c>
      <c r="V486" t="s">
        <v>227</v>
      </c>
      <c r="W486" t="s">
        <v>1060</v>
      </c>
      <c r="X486" t="str">
        <f t="shared" si="7"/>
        <v>BL557363@TRAC Corp</v>
      </c>
      <c r="Y486" t="str">
        <f>_xlfn.IFNA(_xll.BDP(X486,"INTERVAL_SUM", "MARKET_DATA_OVERRIDE=px_volume", "CALC_INTERVAL=5D"), "")</f>
        <v>#N/A N/A</v>
      </c>
      <c r="Z486" cm="1">
        <f t="array" ref="Z486">_xll.BDP(B486, "CF_ACT_CASH_PAID_FOR_INT_DEBT")</f>
        <v>1392.4</v>
      </c>
      <c r="AA486" t="str" cm="1">
        <f t="array" ref="AA486">_xll.BDP(B486, "TYPE_OF_BOND")</f>
        <v>#N/A Field Not Applicable</v>
      </c>
    </row>
    <row r="487" spans="1:27" x14ac:dyDescent="0.25">
      <c r="A487">
        <v>485</v>
      </c>
      <c r="B487" t="s">
        <v>1112</v>
      </c>
      <c r="C487" s="4" t="s">
        <v>1058</v>
      </c>
      <c r="D487" s="4">
        <v>920000000</v>
      </c>
      <c r="E487" t="s">
        <v>11</v>
      </c>
      <c r="F487" s="1">
        <v>48136</v>
      </c>
      <c r="G487">
        <v>5.4850000000000003</v>
      </c>
      <c r="H487" t="s">
        <v>13</v>
      </c>
      <c r="I487" t="s">
        <v>2636</v>
      </c>
      <c r="J487">
        <v>300</v>
      </c>
      <c r="L487" t="s">
        <v>1171</v>
      </c>
      <c r="M487" t="s">
        <v>905</v>
      </c>
      <c r="N487" t="s">
        <v>16</v>
      </c>
      <c r="O487" t="s">
        <v>3106</v>
      </c>
      <c r="P487" t="s">
        <v>2629</v>
      </c>
      <c r="Q487" t="s">
        <v>3107</v>
      </c>
      <c r="R487" t="s">
        <v>1113</v>
      </c>
      <c r="S487">
        <v>3000000</v>
      </c>
      <c r="T487">
        <v>10</v>
      </c>
      <c r="V487" t="s">
        <v>227</v>
      </c>
      <c r="W487" t="s">
        <v>1060</v>
      </c>
      <c r="X487" t="str">
        <f t="shared" si="7"/>
        <v>BL547270@TRAC Corp</v>
      </c>
      <c r="Y487" t="str">
        <f>_xlfn.IFNA(_xll.BDP(X487,"INTERVAL_SUM", "MARKET_DATA_OVERRIDE=px_volume", "CALC_INTERVAL=5D"), "")</f>
        <v>#N/A N/A</v>
      </c>
      <c r="Z487" cm="1">
        <f t="array" ref="Z487">_xll.BDP(B487, "CF_ACT_CASH_PAID_FOR_INT_DEBT")</f>
        <v>1392.4</v>
      </c>
      <c r="AA487" t="str" cm="1">
        <f t="array" ref="AA487">_xll.BDP(B487, "TYPE_OF_BOND")</f>
        <v>#N/A Field Not Applicable</v>
      </c>
    </row>
    <row r="488" spans="1:27" x14ac:dyDescent="0.25">
      <c r="A488">
        <v>486</v>
      </c>
      <c r="B488" t="s">
        <v>1114</v>
      </c>
      <c r="C488" s="4" t="s">
        <v>1058</v>
      </c>
      <c r="D488" s="4">
        <v>925000000</v>
      </c>
      <c r="E488" t="s">
        <v>11</v>
      </c>
      <c r="F488" s="1">
        <v>47651</v>
      </c>
      <c r="H488" t="s">
        <v>13</v>
      </c>
      <c r="I488" t="s">
        <v>2652</v>
      </c>
      <c r="L488" t="s">
        <v>1177</v>
      </c>
      <c r="M488" t="s">
        <v>905</v>
      </c>
      <c r="N488" t="s">
        <v>16</v>
      </c>
      <c r="O488" t="s">
        <v>3106</v>
      </c>
      <c r="P488" t="s">
        <v>2629</v>
      </c>
      <c r="Q488" t="s">
        <v>3107</v>
      </c>
      <c r="R488" t="s">
        <v>1115</v>
      </c>
      <c r="V488" t="s">
        <v>227</v>
      </c>
      <c r="W488" t="s">
        <v>1060</v>
      </c>
      <c r="X488" t="str">
        <f t="shared" si="7"/>
        <v>BL536016@TRAC Corp</v>
      </c>
      <c r="Y488" t="str">
        <f>_xlfn.IFNA(_xll.BDP(X488,"INTERVAL_SUM", "MARKET_DATA_OVERRIDE=px_volume", "CALC_INTERVAL=5D"), "")</f>
        <v>#N/A N/A</v>
      </c>
      <c r="Z488" cm="1">
        <f t="array" ref="Z488">_xll.BDP(B488, "CF_ACT_CASH_PAID_FOR_INT_DEBT")</f>
        <v>1392.4</v>
      </c>
      <c r="AA488" t="str" cm="1">
        <f t="array" ref="AA488">_xll.BDP(B488, "TYPE_OF_BOND")</f>
        <v>#N/A Field Not Applicable</v>
      </c>
    </row>
    <row r="489" spans="1:27" x14ac:dyDescent="0.25">
      <c r="A489">
        <v>487</v>
      </c>
      <c r="B489" t="s">
        <v>1116</v>
      </c>
      <c r="C489" s="4" t="s">
        <v>1058</v>
      </c>
      <c r="D489" s="4">
        <v>750000000</v>
      </c>
      <c r="E489" t="s">
        <v>11</v>
      </c>
      <c r="F489" s="1">
        <v>47651</v>
      </c>
      <c r="G489">
        <v>6.9802</v>
      </c>
      <c r="H489" t="s">
        <v>13</v>
      </c>
      <c r="I489" t="s">
        <v>2647</v>
      </c>
      <c r="J489">
        <v>325</v>
      </c>
      <c r="L489" t="s">
        <v>1177</v>
      </c>
      <c r="M489" t="s">
        <v>905</v>
      </c>
      <c r="N489" t="s">
        <v>16</v>
      </c>
      <c r="O489" t="s">
        <v>3106</v>
      </c>
      <c r="P489" t="s">
        <v>2629</v>
      </c>
      <c r="Q489" t="s">
        <v>3107</v>
      </c>
      <c r="R489" t="s">
        <v>1117</v>
      </c>
      <c r="S489">
        <v>3852628.64098091</v>
      </c>
      <c r="T489">
        <v>10</v>
      </c>
      <c r="V489" t="s">
        <v>227</v>
      </c>
      <c r="W489" t="s">
        <v>1060</v>
      </c>
      <c r="X489" t="str">
        <f t="shared" si="7"/>
        <v>BL536015@TRAC Corp</v>
      </c>
      <c r="Y489" t="str">
        <f>_xlfn.IFNA(_xll.BDP(X489,"INTERVAL_SUM", "MARKET_DATA_OVERRIDE=px_volume", "CALC_INTERVAL=5D"), "")</f>
        <v>#N/A N/A</v>
      </c>
      <c r="Z489" cm="1">
        <f t="array" ref="Z489">_xll.BDP(B489, "CF_ACT_CASH_PAID_FOR_INT_DEBT")</f>
        <v>1392.4</v>
      </c>
      <c r="AA489" t="str" cm="1">
        <f t="array" ref="AA489">_xll.BDP(B489, "TYPE_OF_BOND")</f>
        <v>#N/A Field Not Applicable</v>
      </c>
    </row>
    <row r="490" spans="1:27" x14ac:dyDescent="0.25">
      <c r="A490">
        <v>488</v>
      </c>
      <c r="B490" t="s">
        <v>1118</v>
      </c>
      <c r="C490" s="4" t="s">
        <v>1058</v>
      </c>
      <c r="D490" s="4">
        <v>1430000000</v>
      </c>
      <c r="E490" t="s">
        <v>11</v>
      </c>
      <c r="F490" s="1">
        <v>48603</v>
      </c>
      <c r="G490">
        <v>5.7350000000000003</v>
      </c>
      <c r="H490" t="s">
        <v>13</v>
      </c>
      <c r="I490" t="s">
        <v>2636</v>
      </c>
      <c r="J490">
        <v>325</v>
      </c>
      <c r="L490" t="s">
        <v>1171</v>
      </c>
      <c r="M490" t="s">
        <v>905</v>
      </c>
      <c r="N490" t="s">
        <v>16</v>
      </c>
      <c r="O490" t="s">
        <v>3106</v>
      </c>
      <c r="P490" t="s">
        <v>2629</v>
      </c>
      <c r="Q490" t="s">
        <v>3107</v>
      </c>
      <c r="R490" t="s">
        <v>1119</v>
      </c>
      <c r="S490">
        <v>3000000</v>
      </c>
      <c r="T490">
        <v>11</v>
      </c>
      <c r="V490" t="s">
        <v>227</v>
      </c>
      <c r="W490" t="s">
        <v>1060</v>
      </c>
      <c r="X490" t="str">
        <f t="shared" si="7"/>
        <v>BL535447@TRAC Corp</v>
      </c>
      <c r="Y490" t="str">
        <f>_xlfn.IFNA(_xll.BDP(X490,"INTERVAL_SUM", "MARKET_DATA_OVERRIDE=px_volume", "CALC_INTERVAL=5D"), "")</f>
        <v>#N/A N/A</v>
      </c>
      <c r="Z490" cm="1">
        <f t="array" ref="Z490">_xll.BDP(B490, "CF_ACT_CASH_PAID_FOR_INT_DEBT")</f>
        <v>1392.4</v>
      </c>
      <c r="AA490" t="str" cm="1">
        <f t="array" ref="AA490">_xll.BDP(B490, "TYPE_OF_BOND")</f>
        <v>#N/A Field Not Applicable</v>
      </c>
    </row>
    <row r="491" spans="1:27" x14ac:dyDescent="0.25">
      <c r="A491">
        <v>489</v>
      </c>
      <c r="B491" t="s">
        <v>1120</v>
      </c>
      <c r="C491" s="4" t="s">
        <v>1058</v>
      </c>
      <c r="D491" s="4">
        <v>642091129</v>
      </c>
      <c r="E491" t="s">
        <v>11</v>
      </c>
      <c r="F491" s="1">
        <v>47696</v>
      </c>
      <c r="H491" t="s">
        <v>13</v>
      </c>
      <c r="I491" t="s">
        <v>2647</v>
      </c>
      <c r="L491" t="s">
        <v>1177</v>
      </c>
      <c r="M491" t="s">
        <v>905</v>
      </c>
      <c r="N491" t="s">
        <v>16</v>
      </c>
      <c r="O491" t="s">
        <v>3106</v>
      </c>
      <c r="P491" t="s">
        <v>2629</v>
      </c>
      <c r="Q491" t="s">
        <v>3107</v>
      </c>
      <c r="R491" t="s">
        <v>1121</v>
      </c>
      <c r="V491" t="s">
        <v>227</v>
      </c>
      <c r="W491" t="s">
        <v>1060</v>
      </c>
      <c r="X491" t="str">
        <f t="shared" si="7"/>
        <v>BL524800@TRAC Corp</v>
      </c>
      <c r="Y491" t="str">
        <f>_xlfn.IFNA(_xll.BDP(X491,"INTERVAL_SUM", "MARKET_DATA_OVERRIDE=px_volume", "CALC_INTERVAL=5D"), "")</f>
        <v>#N/A N/A</v>
      </c>
      <c r="Z491" cm="1">
        <f t="array" ref="Z491">_xll.BDP(B491, "CF_ACT_CASH_PAID_FOR_INT_DEBT")</f>
        <v>1392.4</v>
      </c>
      <c r="AA491" t="str" cm="1">
        <f t="array" ref="AA491">_xll.BDP(B491, "TYPE_OF_BOND")</f>
        <v>#N/A Field Not Applicable</v>
      </c>
    </row>
    <row r="492" spans="1:27" x14ac:dyDescent="0.25">
      <c r="A492">
        <v>490</v>
      </c>
      <c r="B492" t="s">
        <v>1122</v>
      </c>
      <c r="C492" s="4" t="s">
        <v>1058</v>
      </c>
      <c r="D492" s="4">
        <v>925000000</v>
      </c>
      <c r="E492" s="1" t="s">
        <v>11</v>
      </c>
      <c r="F492" s="1">
        <v>47696</v>
      </c>
      <c r="H492" t="s">
        <v>13</v>
      </c>
      <c r="I492" t="s">
        <v>2647</v>
      </c>
      <c r="L492" t="s">
        <v>1177</v>
      </c>
      <c r="M492" t="s">
        <v>905</v>
      </c>
      <c r="N492" t="s">
        <v>16</v>
      </c>
      <c r="O492" t="s">
        <v>3106</v>
      </c>
      <c r="P492" t="s">
        <v>2629</v>
      </c>
      <c r="Q492" t="s">
        <v>3107</v>
      </c>
      <c r="R492" t="s">
        <v>1121</v>
      </c>
      <c r="V492" t="s">
        <v>227</v>
      </c>
      <c r="W492" t="s">
        <v>1060</v>
      </c>
      <c r="X492" t="str">
        <f t="shared" si="7"/>
        <v>BL524799@TRAC Corp</v>
      </c>
      <c r="Y492" t="str">
        <f>_xlfn.IFNA(_xll.BDP(X492,"INTERVAL_SUM", "MARKET_DATA_OVERRIDE=px_volume", "CALC_INTERVAL=5D"), "")</f>
        <v>#N/A N/A</v>
      </c>
      <c r="Z492" cm="1">
        <f t="array" ref="Z492">_xll.BDP(B492, "CF_ACT_CASH_PAID_FOR_INT_DEBT")</f>
        <v>1392.4</v>
      </c>
      <c r="AA492" t="str" cm="1">
        <f t="array" ref="AA492">_xll.BDP(B492, "TYPE_OF_BOND")</f>
        <v>#N/A Field Not Applicable</v>
      </c>
    </row>
    <row r="493" spans="1:27" x14ac:dyDescent="0.25">
      <c r="A493">
        <v>491</v>
      </c>
      <c r="B493" t="s">
        <v>1123</v>
      </c>
      <c r="C493" s="4" t="s">
        <v>1058</v>
      </c>
      <c r="D493" s="4">
        <v>2080200000</v>
      </c>
      <c r="E493" s="1" t="s">
        <v>11</v>
      </c>
      <c r="F493" s="1">
        <v>47938</v>
      </c>
      <c r="G493">
        <v>6.9592000000000001</v>
      </c>
      <c r="H493" t="s">
        <v>13</v>
      </c>
      <c r="I493" t="s">
        <v>2662</v>
      </c>
      <c r="J493">
        <v>317.5</v>
      </c>
      <c r="L493" t="s">
        <v>1168</v>
      </c>
      <c r="M493" t="s">
        <v>10</v>
      </c>
      <c r="N493" t="s">
        <v>16</v>
      </c>
      <c r="O493" t="s">
        <v>3106</v>
      </c>
      <c r="P493" t="s">
        <v>2629</v>
      </c>
      <c r="Q493" t="s">
        <v>3107</v>
      </c>
      <c r="R493" t="s">
        <v>1124</v>
      </c>
      <c r="S493">
        <v>2000000</v>
      </c>
      <c r="T493">
        <v>16</v>
      </c>
      <c r="V493" t="s">
        <v>227</v>
      </c>
      <c r="W493" t="s">
        <v>1060</v>
      </c>
      <c r="X493" t="str">
        <f t="shared" si="7"/>
        <v>BL420829@TRAC Corp</v>
      </c>
      <c r="Y493" t="str">
        <f>_xlfn.IFNA(_xll.BDP(X493,"INTERVAL_SUM", "MARKET_DATA_OVERRIDE=px_volume", "CALC_INTERVAL=5D"), "")</f>
        <v>#N/A N/A</v>
      </c>
      <c r="Z493" cm="1">
        <f t="array" ref="Z493">_xll.BDP(B493, "CF_ACT_CASH_PAID_FOR_INT_DEBT")</f>
        <v>1392.4</v>
      </c>
      <c r="AA493" t="str" cm="1">
        <f t="array" ref="AA493">_xll.BDP(B493, "TYPE_OF_BOND")</f>
        <v>#N/A Field Not Applicable</v>
      </c>
    </row>
    <row r="494" spans="1:27" x14ac:dyDescent="0.25">
      <c r="A494">
        <v>492</v>
      </c>
      <c r="B494" t="s">
        <v>1125</v>
      </c>
      <c r="C494" s="4" t="s">
        <v>1058</v>
      </c>
      <c r="D494" s="4">
        <v>1300000000</v>
      </c>
      <c r="E494" s="1" t="s">
        <v>11</v>
      </c>
      <c r="F494" s="1">
        <v>47149</v>
      </c>
      <c r="G494">
        <v>7.0111999999999997</v>
      </c>
      <c r="H494" t="s">
        <v>13</v>
      </c>
      <c r="I494" t="s">
        <v>2631</v>
      </c>
      <c r="J494">
        <v>325</v>
      </c>
      <c r="L494" t="s">
        <v>1168</v>
      </c>
      <c r="M494" t="s">
        <v>10</v>
      </c>
      <c r="N494" t="s">
        <v>16</v>
      </c>
      <c r="O494" t="s">
        <v>3106</v>
      </c>
      <c r="P494" t="s">
        <v>2629</v>
      </c>
      <c r="Q494" t="s">
        <v>3107</v>
      </c>
      <c r="R494" t="s">
        <v>1126</v>
      </c>
      <c r="S494">
        <v>2000000</v>
      </c>
      <c r="T494">
        <v>26</v>
      </c>
      <c r="V494" t="s">
        <v>227</v>
      </c>
      <c r="W494" t="s">
        <v>1060</v>
      </c>
      <c r="X494" t="str">
        <f t="shared" si="7"/>
        <v>BL344308@TRAC Corp</v>
      </c>
      <c r="Y494" t="str">
        <f>_xlfn.IFNA(_xll.BDP(X494,"INTERVAL_SUM", "MARKET_DATA_OVERRIDE=px_volume", "CALC_INTERVAL=5D"), "")</f>
        <v>#N/A N/A</v>
      </c>
      <c r="Z494" cm="1">
        <f t="array" ref="Z494">_xll.BDP(B494, "CF_ACT_CASH_PAID_FOR_INT_DEBT")</f>
        <v>1392.4</v>
      </c>
      <c r="AA494" t="str" cm="1">
        <f t="array" ref="AA494">_xll.BDP(B494, "TYPE_OF_BOND")</f>
        <v>#N/A Field Not Applicable</v>
      </c>
    </row>
    <row r="495" spans="1:27" x14ac:dyDescent="0.25">
      <c r="A495">
        <v>493</v>
      </c>
      <c r="B495" t="s">
        <v>1127</v>
      </c>
      <c r="C495" s="4" t="s">
        <v>1128</v>
      </c>
      <c r="D495" s="4">
        <v>2064914425.7</v>
      </c>
      <c r="E495" s="1" t="s">
        <v>11</v>
      </c>
      <c r="F495" s="1">
        <v>46986</v>
      </c>
      <c r="G495">
        <v>9.5059000000000005</v>
      </c>
      <c r="H495" t="s">
        <v>13</v>
      </c>
      <c r="I495" t="s">
        <v>2635</v>
      </c>
      <c r="J495">
        <v>550</v>
      </c>
      <c r="L495" t="s">
        <v>1168</v>
      </c>
      <c r="M495" t="s">
        <v>10</v>
      </c>
      <c r="N495" t="s">
        <v>15</v>
      </c>
      <c r="O495" t="s">
        <v>3145</v>
      </c>
      <c r="P495" t="s">
        <v>2634</v>
      </c>
      <c r="Q495" t="s">
        <v>3174</v>
      </c>
      <c r="R495" t="s">
        <v>1129</v>
      </c>
      <c r="S495">
        <v>3000000</v>
      </c>
      <c r="T495">
        <v>25</v>
      </c>
      <c r="V495" t="s">
        <v>227</v>
      </c>
      <c r="W495" t="s">
        <v>1130</v>
      </c>
      <c r="X495" t="str">
        <f t="shared" si="7"/>
        <v>BL505932@TRAC Corp</v>
      </c>
      <c r="Y495" t="str">
        <f>_xlfn.IFNA(_xll.BDP(X495,"INTERVAL_SUM", "MARKET_DATA_OVERRIDE=px_volume", "CALC_INTERVAL=5D"), "")</f>
        <v>#N/A N/A</v>
      </c>
      <c r="Z495" cm="1">
        <f t="array" ref="Z495">_xll.BDP(B495, "CF_ACT_CASH_PAID_FOR_INT_DEBT")</f>
        <v>29.465</v>
      </c>
      <c r="AA495" t="str" cm="1">
        <f t="array" ref="AA495">_xll.BDP(B495, "TYPE_OF_BOND")</f>
        <v>#N/A Field Not Applicable</v>
      </c>
    </row>
    <row r="496" spans="1:27" x14ac:dyDescent="0.25">
      <c r="A496">
        <v>494</v>
      </c>
      <c r="B496" t="s">
        <v>1131</v>
      </c>
      <c r="C496" s="4" t="s">
        <v>1132</v>
      </c>
      <c r="D496" s="4">
        <v>72387976</v>
      </c>
      <c r="E496" s="1" t="s">
        <v>17</v>
      </c>
      <c r="F496" s="1">
        <v>46508</v>
      </c>
      <c r="G496">
        <v>8.375</v>
      </c>
      <c r="H496" t="s">
        <v>9</v>
      </c>
      <c r="L496" t="s">
        <v>1168</v>
      </c>
      <c r="M496" t="s">
        <v>10</v>
      </c>
      <c r="N496" t="s">
        <v>16</v>
      </c>
      <c r="O496" t="s">
        <v>3135</v>
      </c>
      <c r="P496" t="s">
        <v>2629</v>
      </c>
      <c r="Q496" t="s">
        <v>3204</v>
      </c>
      <c r="R496" t="s">
        <v>1133</v>
      </c>
      <c r="S496">
        <v>4533952.6266076397</v>
      </c>
      <c r="T496">
        <v>12</v>
      </c>
      <c r="W496" t="s">
        <v>1134</v>
      </c>
      <c r="X496" t="str">
        <f t="shared" si="7"/>
        <v>ZS463498@TRAC Corp</v>
      </c>
      <c r="Y496">
        <f>_xlfn.IFNA(_xll.BDP(X496,"INTERVAL_SUM", "MARKET_DATA_OVERRIDE=px_volume", "CALC_INTERVAL=5D"), "")</f>
        <v>416</v>
      </c>
      <c r="Z496" cm="1">
        <f t="array" ref="Z496">_xll.BDP(B496, "CF_ACT_CASH_PAID_FOR_INT_DEBT")</f>
        <v>361.17500000000001</v>
      </c>
      <c r="AA496" t="str" cm="1">
        <f t="array" ref="AA496">_xll.BDP(B496, "TYPE_OF_BOND")</f>
        <v>#N/A Field Not Applicable</v>
      </c>
    </row>
    <row r="497" spans="1:27" x14ac:dyDescent="0.25">
      <c r="A497">
        <v>495</v>
      </c>
      <c r="B497" t="s">
        <v>1135</v>
      </c>
      <c r="C497" s="4" t="s">
        <v>1132</v>
      </c>
      <c r="D497" s="4">
        <v>276868000</v>
      </c>
      <c r="E497" s="1" t="s">
        <v>11</v>
      </c>
      <c r="F497" s="1">
        <v>46767</v>
      </c>
      <c r="G497">
        <v>4.75</v>
      </c>
      <c r="H497" t="s">
        <v>9</v>
      </c>
      <c r="L497" t="s">
        <v>1168</v>
      </c>
      <c r="M497" t="s">
        <v>10</v>
      </c>
      <c r="N497" t="s">
        <v>16</v>
      </c>
      <c r="O497" t="s">
        <v>3135</v>
      </c>
      <c r="P497" t="s">
        <v>2629</v>
      </c>
      <c r="Q497" t="s">
        <v>3204</v>
      </c>
      <c r="R497" t="s">
        <v>1136</v>
      </c>
      <c r="S497">
        <v>2383520.00796927</v>
      </c>
      <c r="T497">
        <v>32</v>
      </c>
      <c r="U497" t="s">
        <v>1169</v>
      </c>
      <c r="W497" t="s">
        <v>1134</v>
      </c>
      <c r="X497" t="str">
        <f t="shared" si="7"/>
        <v>ZQ669510@TRAC Corp</v>
      </c>
      <c r="Y497">
        <f>_xlfn.IFNA(_xll.BDP(X497,"INTERVAL_SUM", "MARKET_DATA_OVERRIDE=px_volume", "CALC_INTERVAL=5D"), "")</f>
        <v>2257</v>
      </c>
      <c r="Z497" cm="1">
        <f t="array" ref="Z497">_xll.BDP(B497, "CF_ACT_CASH_PAID_FOR_INT_DEBT")</f>
        <v>361.17500000000001</v>
      </c>
      <c r="AA497" t="str" cm="1">
        <f t="array" ref="AA497">_xll.BDP(B497, "TYPE_OF_BOND")</f>
        <v>#N/A Field Not Applicable</v>
      </c>
    </row>
    <row r="498" spans="1:27" x14ac:dyDescent="0.25">
      <c r="A498">
        <v>496</v>
      </c>
      <c r="B498" t="s">
        <v>1137</v>
      </c>
      <c r="C498" s="4" t="s">
        <v>1132</v>
      </c>
      <c r="D498" s="4">
        <v>178443480</v>
      </c>
      <c r="E498" s="1" t="s">
        <v>11</v>
      </c>
      <c r="F498" s="1">
        <v>47863</v>
      </c>
      <c r="G498">
        <v>7</v>
      </c>
      <c r="H498" t="s">
        <v>9</v>
      </c>
      <c r="L498" t="s">
        <v>1168</v>
      </c>
      <c r="M498" t="s">
        <v>10</v>
      </c>
      <c r="N498" t="s">
        <v>16</v>
      </c>
      <c r="O498" t="s">
        <v>3135</v>
      </c>
      <c r="P498" t="s">
        <v>2629</v>
      </c>
      <c r="Q498" t="s">
        <v>3204</v>
      </c>
      <c r="R498" t="s">
        <v>1138</v>
      </c>
      <c r="S498">
        <v>4024104.2142740199</v>
      </c>
      <c r="T498">
        <v>17</v>
      </c>
      <c r="U498" t="s">
        <v>1169</v>
      </c>
      <c r="W498" t="s">
        <v>1134</v>
      </c>
      <c r="X498" t="str">
        <f t="shared" si="7"/>
        <v>YS250842@TRAC Corp</v>
      </c>
      <c r="Y498">
        <f>_xlfn.IFNA(_xll.BDP(X498,"INTERVAL_SUM", "MARKET_DATA_OVERRIDE=px_volume", "CALC_INTERVAL=5D"), "")</f>
        <v>360</v>
      </c>
      <c r="Z498" cm="1">
        <f t="array" ref="Z498">_xll.BDP(B498, "CF_ACT_CASH_PAID_FOR_INT_DEBT")</f>
        <v>361.17500000000001</v>
      </c>
      <c r="AA498" t="str" cm="1">
        <f t="array" ref="AA498">_xll.BDP(B498, "TYPE_OF_BOND")</f>
        <v>#N/A Field Not Applicable</v>
      </c>
    </row>
    <row r="499" spans="1:27" x14ac:dyDescent="0.25">
      <c r="A499">
        <v>497</v>
      </c>
      <c r="B499" t="s">
        <v>1139</v>
      </c>
      <c r="C499" s="4" t="s">
        <v>1132</v>
      </c>
      <c r="D499" s="4">
        <v>661285130</v>
      </c>
      <c r="E499" s="1" t="s">
        <v>11</v>
      </c>
      <c r="F499" s="1">
        <v>47710</v>
      </c>
      <c r="G499">
        <v>7.75</v>
      </c>
      <c r="H499" t="s">
        <v>9</v>
      </c>
      <c r="L499" t="s">
        <v>1168</v>
      </c>
      <c r="M499" t="s">
        <v>10</v>
      </c>
      <c r="N499" t="s">
        <v>16</v>
      </c>
      <c r="O499" t="s">
        <v>3135</v>
      </c>
      <c r="P499" t="s">
        <v>2629</v>
      </c>
      <c r="Q499" t="s">
        <v>3204</v>
      </c>
      <c r="R499" t="s">
        <v>1140</v>
      </c>
      <c r="S499">
        <v>7490633.3686444303</v>
      </c>
      <c r="T499">
        <v>38</v>
      </c>
      <c r="U499" t="s">
        <v>1169</v>
      </c>
      <c r="W499" t="s">
        <v>1134</v>
      </c>
      <c r="X499" t="str">
        <f t="shared" si="7"/>
        <v>YS249469@TRAC Corp</v>
      </c>
      <c r="Y499">
        <f>_xlfn.IFNA(_xll.BDP(X499,"INTERVAL_SUM", "MARKET_DATA_OVERRIDE=px_volume", "CALC_INTERVAL=5D"), "")</f>
        <v>12462</v>
      </c>
      <c r="Z499" cm="1">
        <f t="array" ref="Z499">_xll.BDP(B499, "CF_ACT_CASH_PAID_FOR_INT_DEBT")</f>
        <v>361.17500000000001</v>
      </c>
      <c r="AA499" t="str" cm="1">
        <f t="array" ref="AA499">_xll.BDP(B499, "TYPE_OF_BOND")</f>
        <v>#N/A Field Not Applicable</v>
      </c>
    </row>
    <row r="500" spans="1:27" x14ac:dyDescent="0.25">
      <c r="A500">
        <v>498</v>
      </c>
      <c r="B500" t="s">
        <v>1141</v>
      </c>
      <c r="C500" s="4" t="s">
        <v>1132</v>
      </c>
      <c r="D500" s="4">
        <v>717588265</v>
      </c>
      <c r="E500" s="1" t="s">
        <v>11</v>
      </c>
      <c r="F500" s="1">
        <v>47239</v>
      </c>
      <c r="G500">
        <v>9.125</v>
      </c>
      <c r="H500" t="s">
        <v>9</v>
      </c>
      <c r="L500" t="s">
        <v>1168</v>
      </c>
      <c r="M500" t="s">
        <v>10</v>
      </c>
      <c r="N500" t="s">
        <v>16</v>
      </c>
      <c r="O500" t="s">
        <v>3135</v>
      </c>
      <c r="P500" t="s">
        <v>2629</v>
      </c>
      <c r="Q500" t="s">
        <v>3204</v>
      </c>
      <c r="R500" t="s">
        <v>1142</v>
      </c>
      <c r="S500">
        <v>3341264.0953045902</v>
      </c>
      <c r="T500">
        <v>48</v>
      </c>
      <c r="U500" t="s">
        <v>1169</v>
      </c>
      <c r="W500" t="s">
        <v>1134</v>
      </c>
      <c r="X500" t="str">
        <f t="shared" si="7"/>
        <v>YS247918@TRAC Corp</v>
      </c>
      <c r="Y500">
        <f>_xlfn.IFNA(_xll.BDP(X500,"INTERVAL_SUM", "MARKET_DATA_OVERRIDE=px_volume", "CALC_INTERVAL=5D"), "")</f>
        <v>9660</v>
      </c>
      <c r="Z500" cm="1">
        <f t="array" ref="Z500">_xll.BDP(B500, "CF_ACT_CASH_PAID_FOR_INT_DEBT")</f>
        <v>361.17500000000001</v>
      </c>
      <c r="AA500" t="str" cm="1">
        <f t="array" ref="AA500">_xll.BDP(B500, "TYPE_OF_BOND")</f>
        <v>#N/A Field Not Applicable</v>
      </c>
    </row>
    <row r="501" spans="1:27" x14ac:dyDescent="0.25">
      <c r="A501">
        <v>499</v>
      </c>
      <c r="B501" t="s">
        <v>1143</v>
      </c>
      <c r="C501" s="4" t="s">
        <v>1132</v>
      </c>
      <c r="D501" s="4">
        <v>675165443</v>
      </c>
      <c r="E501" s="1" t="s">
        <v>33</v>
      </c>
      <c r="F501" s="1">
        <v>47604</v>
      </c>
      <c r="G501">
        <v>10.875</v>
      </c>
      <c r="H501" t="s">
        <v>9</v>
      </c>
      <c r="L501" t="s">
        <v>1168</v>
      </c>
      <c r="M501" t="s">
        <v>10</v>
      </c>
      <c r="N501" t="s">
        <v>16</v>
      </c>
      <c r="O501" t="s">
        <v>3135</v>
      </c>
      <c r="P501" t="s">
        <v>2629</v>
      </c>
      <c r="Q501" t="s">
        <v>3204</v>
      </c>
      <c r="R501" t="s">
        <v>1144</v>
      </c>
      <c r="S501">
        <v>10857849.1190295</v>
      </c>
      <c r="T501">
        <v>37</v>
      </c>
      <c r="U501" t="s">
        <v>1169</v>
      </c>
      <c r="W501" t="s">
        <v>1134</v>
      </c>
      <c r="X501" t="str">
        <f t="shared" si="7"/>
        <v>YS241960@TRAC Corp</v>
      </c>
      <c r="Y501">
        <f>_xlfn.IFNA(_xll.BDP(X501,"INTERVAL_SUM", "MARKET_DATA_OVERRIDE=px_volume", "CALC_INTERVAL=5D"), "")</f>
        <v>14212</v>
      </c>
      <c r="Z501" cm="1">
        <f t="array" ref="Z501">_xll.BDP(B501, "CF_ACT_CASH_PAID_FOR_INT_DEBT")</f>
        <v>361.17500000000001</v>
      </c>
      <c r="AA501" t="str" cm="1">
        <f t="array" ref="AA501">_xll.BDP(B501, "TYPE_OF_BOND")</f>
        <v>#N/A Field Not Applicable</v>
      </c>
    </row>
    <row r="502" spans="1:27" x14ac:dyDescent="0.25">
      <c r="A502">
        <v>500</v>
      </c>
      <c r="B502" t="s">
        <v>1145</v>
      </c>
      <c r="C502" s="4" t="s">
        <v>1132</v>
      </c>
      <c r="D502" s="4">
        <v>6983000</v>
      </c>
      <c r="E502" s="1" t="s">
        <v>11</v>
      </c>
      <c r="F502" s="1">
        <v>46614</v>
      </c>
      <c r="G502">
        <v>5.25</v>
      </c>
      <c r="H502" t="s">
        <v>9</v>
      </c>
      <c r="L502" t="s">
        <v>1168</v>
      </c>
      <c r="M502" t="s">
        <v>10</v>
      </c>
      <c r="N502" t="s">
        <v>16</v>
      </c>
      <c r="O502" t="s">
        <v>3135</v>
      </c>
      <c r="P502" t="s">
        <v>2629</v>
      </c>
      <c r="Q502" t="s">
        <v>3204</v>
      </c>
      <c r="R502" t="s">
        <v>1146</v>
      </c>
      <c r="S502">
        <v>-9997</v>
      </c>
      <c r="U502" t="s">
        <v>1169</v>
      </c>
      <c r="W502" t="s">
        <v>1134</v>
      </c>
      <c r="X502" t="str">
        <f t="shared" si="7"/>
        <v>AZ909225@TRAC Corp</v>
      </c>
      <c r="Y502" t="str">
        <f>_xlfn.IFNA(_xll.BDP(X502,"INTERVAL_SUM", "MARKET_DATA_OVERRIDE=px_volume", "CALC_INTERVAL=5D"), "")</f>
        <v>#N/A N/A</v>
      </c>
      <c r="Z502" cm="1">
        <f t="array" ref="Z502">_xll.BDP(B502, "CF_ACT_CASH_PAID_FOR_INT_DEBT")</f>
        <v>361.17500000000001</v>
      </c>
      <c r="AA502" t="str" cm="1">
        <f t="array" ref="AA502">_xll.BDP(B502, "TYPE_OF_BOND")</f>
        <v>#N/A Field Not Applicable</v>
      </c>
    </row>
    <row r="503" spans="1:27" x14ac:dyDescent="0.25">
      <c r="A503">
        <v>501</v>
      </c>
      <c r="B503" t="s">
        <v>1147</v>
      </c>
      <c r="C503" s="4" t="s">
        <v>1132</v>
      </c>
      <c r="D503" s="4">
        <v>32955480</v>
      </c>
      <c r="E503" s="1" t="s">
        <v>11</v>
      </c>
      <c r="F503" s="1">
        <v>47483</v>
      </c>
      <c r="G503">
        <v>8.6439000000000004</v>
      </c>
      <c r="H503" t="s">
        <v>13</v>
      </c>
      <c r="I503" t="s">
        <v>2631</v>
      </c>
      <c r="J503">
        <v>500</v>
      </c>
      <c r="L503" t="s">
        <v>1168</v>
      </c>
      <c r="M503" t="s">
        <v>1148</v>
      </c>
      <c r="N503" t="s">
        <v>1149</v>
      </c>
      <c r="O503" t="s">
        <v>3176</v>
      </c>
      <c r="R503" t="s">
        <v>1150</v>
      </c>
      <c r="V503" t="s">
        <v>227</v>
      </c>
      <c r="W503" t="s">
        <v>1134</v>
      </c>
      <c r="X503" t="str">
        <f t="shared" si="7"/>
        <v>BL551030@TRAC Corp</v>
      </c>
      <c r="Y503" t="str">
        <f>_xlfn.IFNA(_xll.BDP(X503,"INTERVAL_SUM", "MARKET_DATA_OVERRIDE=px_volume", "CALC_INTERVAL=5D"), "")</f>
        <v>#N/A N/A</v>
      </c>
      <c r="Z503" cm="1">
        <f t="array" ref="Z503">_xll.BDP(B503, "CF_ACT_CASH_PAID_FOR_INT_DEBT")</f>
        <v>361.17500000000001</v>
      </c>
      <c r="AA503" t="str" cm="1">
        <f t="array" ref="AA503">_xll.BDP(B503, "TYPE_OF_BOND")</f>
        <v>#N/A Field Not Applicable</v>
      </c>
    </row>
    <row r="504" spans="1:27" x14ac:dyDescent="0.25">
      <c r="A504">
        <v>502</v>
      </c>
      <c r="B504" t="s">
        <v>1151</v>
      </c>
      <c r="C504" s="4" t="s">
        <v>1132</v>
      </c>
      <c r="D504" s="4">
        <v>2113538252.2112</v>
      </c>
      <c r="E504" s="1" t="s">
        <v>11</v>
      </c>
      <c r="F504" s="1">
        <v>47239</v>
      </c>
      <c r="G504">
        <v>9.5688999999999993</v>
      </c>
      <c r="H504" t="s">
        <v>13</v>
      </c>
      <c r="I504" t="s">
        <v>2631</v>
      </c>
      <c r="J504">
        <v>577.5</v>
      </c>
      <c r="L504" t="s">
        <v>1168</v>
      </c>
      <c r="M504" t="s">
        <v>10</v>
      </c>
      <c r="N504" t="s">
        <v>16</v>
      </c>
      <c r="O504" t="s">
        <v>3135</v>
      </c>
      <c r="P504" t="s">
        <v>2629</v>
      </c>
      <c r="Q504" t="s">
        <v>3204</v>
      </c>
      <c r="R504" t="s">
        <v>1150</v>
      </c>
      <c r="S504">
        <v>5000000</v>
      </c>
      <c r="T504">
        <v>36</v>
      </c>
      <c r="V504" t="s">
        <v>227</v>
      </c>
      <c r="W504" t="s">
        <v>1134</v>
      </c>
      <c r="X504" t="str">
        <f t="shared" si="7"/>
        <v>BL491275@TRAC Corp</v>
      </c>
      <c r="Y504" t="str">
        <f>_xlfn.IFNA(_xll.BDP(X504,"INTERVAL_SUM", "MARKET_DATA_OVERRIDE=px_volume", "CALC_INTERVAL=5D"), "")</f>
        <v>#N/A N/A</v>
      </c>
      <c r="Z504" cm="1">
        <f t="array" ref="Z504">_xll.BDP(B504, "CF_ACT_CASH_PAID_FOR_INT_DEBT")</f>
        <v>361.17500000000001</v>
      </c>
      <c r="AA504" t="str" cm="1">
        <f t="array" ref="AA504">_xll.BDP(B504, "TYPE_OF_BOND")</f>
        <v>#N/A Field Not Applicable</v>
      </c>
    </row>
    <row r="505" spans="1:27" x14ac:dyDescent="0.25">
      <c r="A505">
        <v>503</v>
      </c>
      <c r="B505" t="s">
        <v>1152</v>
      </c>
      <c r="C505" s="4" t="s">
        <v>1132</v>
      </c>
      <c r="D505" s="4">
        <v>75000000</v>
      </c>
      <c r="E505" s="1" t="s">
        <v>11</v>
      </c>
      <c r="F505" s="1">
        <v>46524</v>
      </c>
      <c r="G505">
        <v>5.5294999999999996</v>
      </c>
      <c r="H505" t="s">
        <v>13</v>
      </c>
      <c r="I505" t="s">
        <v>2631</v>
      </c>
      <c r="J505">
        <v>175</v>
      </c>
      <c r="L505" t="s">
        <v>1168</v>
      </c>
      <c r="M505" t="s">
        <v>10</v>
      </c>
      <c r="N505" t="s">
        <v>16</v>
      </c>
      <c r="O505" t="s">
        <v>3135</v>
      </c>
      <c r="P505" t="s">
        <v>2629</v>
      </c>
      <c r="Q505" t="s">
        <v>3204</v>
      </c>
      <c r="R505" t="s">
        <v>1153</v>
      </c>
      <c r="V505" t="s">
        <v>945</v>
      </c>
      <c r="W505" t="s">
        <v>1134</v>
      </c>
      <c r="X505" t="str">
        <f t="shared" si="7"/>
        <v>BL393298@TRAC Corp</v>
      </c>
      <c r="Y505" t="str">
        <f>_xlfn.IFNA(_xll.BDP(X505,"INTERVAL_SUM", "MARKET_DATA_OVERRIDE=px_volume", "CALC_INTERVAL=5D"), "")</f>
        <v>#N/A N/A</v>
      </c>
      <c r="Z505" cm="1">
        <f t="array" ref="Z505">_xll.BDP(B505, "CF_ACT_CASH_PAID_FOR_INT_DEBT")</f>
        <v>361.17500000000001</v>
      </c>
      <c r="AA505" t="str" cm="1">
        <f t="array" ref="AA505">_xll.BDP(B505, "TYPE_OF_BOND")</f>
        <v>#N/A Field Not Applicable</v>
      </c>
    </row>
    <row r="506" spans="1:27" x14ac:dyDescent="0.25">
      <c r="A506">
        <v>504</v>
      </c>
      <c r="B506" t="s">
        <v>412</v>
      </c>
      <c r="C506" s="4" t="s">
        <v>413</v>
      </c>
      <c r="D506" s="4">
        <v>790059000</v>
      </c>
      <c r="E506" s="1" t="s">
        <v>17</v>
      </c>
      <c r="F506" s="1">
        <v>47771</v>
      </c>
      <c r="G506">
        <v>4.75</v>
      </c>
      <c r="H506" t="s">
        <v>9</v>
      </c>
      <c r="L506" t="s">
        <v>1168</v>
      </c>
      <c r="M506" t="s">
        <v>10</v>
      </c>
      <c r="N506" t="s">
        <v>16</v>
      </c>
      <c r="O506" t="s">
        <v>3135</v>
      </c>
      <c r="P506" t="s">
        <v>2629</v>
      </c>
      <c r="Q506" t="s">
        <v>3136</v>
      </c>
      <c r="R506" t="s">
        <v>414</v>
      </c>
      <c r="S506">
        <v>17372757.435096201</v>
      </c>
      <c r="T506">
        <v>26</v>
      </c>
      <c r="U506" t="s">
        <v>1169</v>
      </c>
      <c r="W506" t="s">
        <v>415</v>
      </c>
      <c r="X506" t="str">
        <f t="shared" si="7"/>
        <v>ZO860846@TRAC Corp</v>
      </c>
      <c r="Y506">
        <f>_xlfn.IFNA(_xll.BDP(X506,"INTERVAL_SUM", "MARKET_DATA_OVERRIDE=px_volume", "CALC_INTERVAL=5D"), "")</f>
        <v>20737</v>
      </c>
      <c r="Z506" cm="1">
        <f t="array" ref="Z506">_xll.BDP(B506, "CF_ACT_CASH_PAID_FOR_INT_DEBT")</f>
        <v>393</v>
      </c>
      <c r="AA506" t="str" cm="1">
        <f t="array" ref="AA506">_xll.BDP(B506, "TYPE_OF_BOND")</f>
        <v>#N/A Field Not Applicable</v>
      </c>
    </row>
    <row r="507" spans="1:27" x14ac:dyDescent="0.25">
      <c r="A507">
        <v>505</v>
      </c>
      <c r="B507" t="s">
        <v>416</v>
      </c>
      <c r="C507" s="4" t="s">
        <v>413</v>
      </c>
      <c r="D507" s="4">
        <v>1125000000</v>
      </c>
      <c r="E507" t="s">
        <v>11</v>
      </c>
      <c r="F507" s="1">
        <v>47314</v>
      </c>
      <c r="G507">
        <v>10.5</v>
      </c>
      <c r="H507" t="s">
        <v>9</v>
      </c>
      <c r="L507" t="s">
        <v>1168</v>
      </c>
      <c r="M507" t="s">
        <v>10</v>
      </c>
      <c r="N507" t="s">
        <v>16</v>
      </c>
      <c r="O507" t="s">
        <v>3135</v>
      </c>
      <c r="P507" t="s">
        <v>2629</v>
      </c>
      <c r="Q507" t="s">
        <v>3136</v>
      </c>
      <c r="R507" t="s">
        <v>417</v>
      </c>
      <c r="S507">
        <v>10319785.4523095</v>
      </c>
      <c r="T507">
        <v>51</v>
      </c>
      <c r="U507" t="s">
        <v>1169</v>
      </c>
      <c r="W507" t="s">
        <v>415</v>
      </c>
      <c r="X507" t="str">
        <f t="shared" si="7"/>
        <v>YX231113@TRAC Corp</v>
      </c>
      <c r="Y507">
        <f>_xlfn.IFNA(_xll.BDP(X507,"INTERVAL_SUM", "MARKET_DATA_OVERRIDE=px_volume", "CALC_INTERVAL=5D"), "")</f>
        <v>5260</v>
      </c>
      <c r="Z507" cm="1">
        <f t="array" ref="Z507">_xll.BDP(B507, "CF_ACT_CASH_PAID_FOR_INT_DEBT")</f>
        <v>393</v>
      </c>
      <c r="AA507" t="str" cm="1">
        <f t="array" ref="AA507">_xll.BDP(B507, "TYPE_OF_BOND")</f>
        <v>#N/A Field Not Applicable</v>
      </c>
    </row>
    <row r="508" spans="1:27" x14ac:dyDescent="0.25">
      <c r="A508">
        <v>506</v>
      </c>
      <c r="B508" t="s">
        <v>418</v>
      </c>
      <c r="C508" s="4" t="s">
        <v>413</v>
      </c>
      <c r="D508" s="4">
        <v>775000000</v>
      </c>
      <c r="E508" t="s">
        <v>11</v>
      </c>
      <c r="F508" s="1">
        <v>48806</v>
      </c>
      <c r="G508">
        <v>7.25</v>
      </c>
      <c r="H508" t="s">
        <v>9</v>
      </c>
      <c r="L508" t="s">
        <v>1168</v>
      </c>
      <c r="M508" t="s">
        <v>10</v>
      </c>
      <c r="N508" t="s">
        <v>16</v>
      </c>
      <c r="O508" t="s">
        <v>3135</v>
      </c>
      <c r="P508" t="s">
        <v>2629</v>
      </c>
      <c r="Q508" t="s">
        <v>3136</v>
      </c>
      <c r="R508" t="s">
        <v>419</v>
      </c>
      <c r="S508">
        <v>13362666.525351301</v>
      </c>
      <c r="T508">
        <v>40</v>
      </c>
      <c r="U508" t="s">
        <v>1169</v>
      </c>
      <c r="W508" t="s">
        <v>415</v>
      </c>
      <c r="X508" t="str">
        <f t="shared" si="7"/>
        <v>YM619872@TRAC Corp</v>
      </c>
      <c r="Y508">
        <f>_xlfn.IFNA(_xll.BDP(X508,"INTERVAL_SUM", "MARKET_DATA_OVERRIDE=px_volume", "CALC_INTERVAL=5D"), "")</f>
        <v>11439</v>
      </c>
      <c r="Z508" cm="1">
        <f t="array" ref="Z508">_xll.BDP(B508, "CF_ACT_CASH_PAID_FOR_INT_DEBT")</f>
        <v>393</v>
      </c>
      <c r="AA508" t="str" cm="1">
        <f t="array" ref="AA508">_xll.BDP(B508, "TYPE_OF_BOND")</f>
        <v>#N/A Field Not Applicable</v>
      </c>
    </row>
    <row r="509" spans="1:27" x14ac:dyDescent="0.25">
      <c r="A509">
        <v>507</v>
      </c>
      <c r="B509" t="s">
        <v>420</v>
      </c>
      <c r="C509" s="4" t="s">
        <v>413</v>
      </c>
      <c r="D509" s="4">
        <v>900000000</v>
      </c>
      <c r="E509" t="s">
        <v>33</v>
      </c>
      <c r="F509" s="1">
        <v>48410</v>
      </c>
      <c r="G509">
        <v>9.625</v>
      </c>
      <c r="H509" t="s">
        <v>9</v>
      </c>
      <c r="L509" t="s">
        <v>1168</v>
      </c>
      <c r="M509" t="s">
        <v>10</v>
      </c>
      <c r="N509" t="s">
        <v>16</v>
      </c>
      <c r="O509" t="s">
        <v>3135</v>
      </c>
      <c r="P509" t="s">
        <v>2629</v>
      </c>
      <c r="Q509" t="s">
        <v>3136</v>
      </c>
      <c r="R509" t="s">
        <v>421</v>
      </c>
      <c r="S509">
        <v>7672500.3136148704</v>
      </c>
      <c r="T509">
        <v>29</v>
      </c>
      <c r="U509" t="s">
        <v>1169</v>
      </c>
      <c r="W509" t="s">
        <v>415</v>
      </c>
      <c r="X509" t="str">
        <f t="shared" si="7"/>
        <v>YM129635@TRAC Corp</v>
      </c>
      <c r="Y509">
        <f>_xlfn.IFNA(_xll.BDP(X509,"INTERVAL_SUM", "MARKET_DATA_OVERRIDE=px_volume", "CALC_INTERVAL=5D"), "")</f>
        <v>24080</v>
      </c>
      <c r="Z509" cm="1">
        <f t="array" ref="Z509">_xll.BDP(B509, "CF_ACT_CASH_PAID_FOR_INT_DEBT")</f>
        <v>393</v>
      </c>
      <c r="AA509" t="str" cm="1">
        <f t="array" ref="AA509">_xll.BDP(B509, "TYPE_OF_BOND")</f>
        <v>#N/A Field Not Applicable</v>
      </c>
    </row>
    <row r="510" spans="1:27" x14ac:dyDescent="0.25">
      <c r="A510">
        <v>508</v>
      </c>
      <c r="B510" t="s">
        <v>422</v>
      </c>
      <c r="C510" s="4" t="s">
        <v>413</v>
      </c>
      <c r="D510" s="4">
        <v>1220046000</v>
      </c>
      <c r="E510" t="s">
        <v>17</v>
      </c>
      <c r="F510" s="1">
        <v>48167</v>
      </c>
      <c r="G510">
        <v>5.375</v>
      </c>
      <c r="H510" t="s">
        <v>9</v>
      </c>
      <c r="L510" t="s">
        <v>1168</v>
      </c>
      <c r="M510" t="s">
        <v>10</v>
      </c>
      <c r="N510" t="s">
        <v>16</v>
      </c>
      <c r="O510" t="s">
        <v>3135</v>
      </c>
      <c r="P510" t="s">
        <v>2629</v>
      </c>
      <c r="Q510" t="s">
        <v>3136</v>
      </c>
      <c r="R510" t="s">
        <v>423</v>
      </c>
      <c r="S510">
        <v>14210921.327</v>
      </c>
      <c r="T510">
        <v>33</v>
      </c>
      <c r="U510" t="s">
        <v>1169</v>
      </c>
      <c r="W510" t="s">
        <v>415</v>
      </c>
      <c r="X510" t="str">
        <f t="shared" si="7"/>
        <v>BS116983@TRAC Corp</v>
      </c>
      <c r="Y510">
        <f>_xlfn.IFNA(_xll.BDP(X510,"INTERVAL_SUM", "MARKET_DATA_OVERRIDE=px_volume", "CALC_INTERVAL=5D"), "")</f>
        <v>35120</v>
      </c>
      <c r="Z510" cm="1">
        <f t="array" ref="Z510">_xll.BDP(B510, "CF_ACT_CASH_PAID_FOR_INT_DEBT")</f>
        <v>393</v>
      </c>
      <c r="AA510" t="str" cm="1">
        <f t="array" ref="AA510">_xll.BDP(B510, "TYPE_OF_BOND")</f>
        <v>#N/A Field Not Applicable</v>
      </c>
    </row>
    <row r="511" spans="1:27" x14ac:dyDescent="0.25">
      <c r="A511">
        <v>509</v>
      </c>
      <c r="B511" t="s">
        <v>424</v>
      </c>
      <c r="C511" s="4" t="s">
        <v>413</v>
      </c>
      <c r="D511" s="4">
        <v>739000000</v>
      </c>
      <c r="E511" t="s">
        <v>11</v>
      </c>
      <c r="F511" s="1">
        <v>47088</v>
      </c>
      <c r="G511">
        <v>6.7611999999999997</v>
      </c>
      <c r="H511" t="s">
        <v>13</v>
      </c>
      <c r="I511" t="s">
        <v>2631</v>
      </c>
      <c r="J511">
        <v>300</v>
      </c>
      <c r="L511" t="s">
        <v>1168</v>
      </c>
      <c r="M511" t="s">
        <v>10</v>
      </c>
      <c r="N511" t="s">
        <v>16</v>
      </c>
      <c r="O511" t="s">
        <v>3135</v>
      </c>
      <c r="P511" t="s">
        <v>2629</v>
      </c>
      <c r="Q511" t="s">
        <v>3136</v>
      </c>
      <c r="R511" t="s">
        <v>425</v>
      </c>
      <c r="S511">
        <v>3000000</v>
      </c>
      <c r="T511">
        <v>20</v>
      </c>
      <c r="V511" t="s">
        <v>227</v>
      </c>
      <c r="W511" t="s">
        <v>415</v>
      </c>
      <c r="X511" t="str">
        <f t="shared" si="7"/>
        <v>BL364070@TRAC Corp</v>
      </c>
      <c r="Y511" t="str">
        <f>_xlfn.IFNA(_xll.BDP(X511,"INTERVAL_SUM", "MARKET_DATA_OVERRIDE=px_volume", "CALC_INTERVAL=5D"), "")</f>
        <v>#N/A N/A</v>
      </c>
      <c r="Z511" cm="1">
        <f t="array" ref="Z511">_xll.BDP(B511, "CF_ACT_CASH_PAID_FOR_INT_DEBT")</f>
        <v>393</v>
      </c>
      <c r="AA511" t="str" cm="1">
        <f t="array" ref="AA511">_xll.BDP(B511, "TYPE_OF_BOND")</f>
        <v>#N/A Field Not Applicable</v>
      </c>
    </row>
    <row r="512" spans="1:27" x14ac:dyDescent="0.25">
      <c r="A512">
        <v>510</v>
      </c>
      <c r="B512" t="s">
        <v>426</v>
      </c>
      <c r="C512" s="4" t="s">
        <v>413</v>
      </c>
      <c r="D512" s="4">
        <v>600000000</v>
      </c>
      <c r="E512" t="s">
        <v>331</v>
      </c>
      <c r="F512" s="1"/>
      <c r="G512">
        <v>8</v>
      </c>
      <c r="H512" t="s">
        <v>64</v>
      </c>
      <c r="L512" t="s">
        <v>1168</v>
      </c>
      <c r="M512" t="s">
        <v>10</v>
      </c>
      <c r="N512" t="s">
        <v>16</v>
      </c>
      <c r="O512" t="s">
        <v>3135</v>
      </c>
      <c r="P512" t="s">
        <v>2629</v>
      </c>
      <c r="Q512" t="s">
        <v>3136</v>
      </c>
      <c r="R512" t="s">
        <v>427</v>
      </c>
      <c r="S512">
        <v>689.12649999999996</v>
      </c>
      <c r="T512">
        <v>79</v>
      </c>
      <c r="U512" t="s">
        <v>1176</v>
      </c>
      <c r="W512" t="s">
        <v>415</v>
      </c>
      <c r="X512" t="str">
        <f t="shared" si="7"/>
        <v>EP057911 Pfd</v>
      </c>
      <c r="Y512" t="str">
        <f>_xlfn.IFNA(_xll.BDP(X512,"INTERVAL_SUM", "MARKET_DATA_OVERRIDE=px_volume", "CALC_INTERVAL=5D"), "")</f>
        <v>#N/A N/A</v>
      </c>
      <c r="Z512" cm="1">
        <f t="array" ref="Z512">_xll.BDP(B512, "CF_ACT_CASH_PAID_FOR_INT_DEBT")</f>
        <v>393</v>
      </c>
      <c r="AA512" t="str" cm="1">
        <f t="array" ref="AA512">_xll.BDP(B512, "TYPE_OF_BOND")</f>
        <v>#N/A Field Not Applicable</v>
      </c>
    </row>
    <row r="513" spans="1:27" x14ac:dyDescent="0.25">
      <c r="A513">
        <v>511</v>
      </c>
      <c r="B513" t="s">
        <v>1154</v>
      </c>
      <c r="C513" s="4" t="s">
        <v>1155</v>
      </c>
      <c r="D513" s="4">
        <v>1999468701.3199999</v>
      </c>
      <c r="E513" t="s">
        <v>11</v>
      </c>
      <c r="F513" s="1">
        <v>46996</v>
      </c>
      <c r="G513">
        <v>5.3939000000000004</v>
      </c>
      <c r="H513" t="s">
        <v>13</v>
      </c>
      <c r="I513" t="s">
        <v>2631</v>
      </c>
      <c r="J513">
        <v>175</v>
      </c>
      <c r="L513" t="s">
        <v>1168</v>
      </c>
      <c r="M513" t="s">
        <v>10</v>
      </c>
      <c r="N513" t="s">
        <v>15</v>
      </c>
      <c r="O513" t="s">
        <v>3110</v>
      </c>
      <c r="P513" t="s">
        <v>2634</v>
      </c>
      <c r="Q513" t="s">
        <v>3114</v>
      </c>
      <c r="R513" t="s">
        <v>1156</v>
      </c>
      <c r="S513">
        <v>5000000</v>
      </c>
      <c r="T513">
        <v>27</v>
      </c>
      <c r="V513" t="s">
        <v>227</v>
      </c>
      <c r="W513" t="s">
        <v>1157</v>
      </c>
      <c r="X513" t="str">
        <f t="shared" si="7"/>
        <v>BL498585@TRAC Corp</v>
      </c>
      <c r="Y513" t="str">
        <f>_xlfn.IFNA(_xll.BDP(X513,"INTERVAL_SUM", "MARKET_DATA_OVERRIDE=px_volume", "CALC_INTERVAL=5D"), "")</f>
        <v>#N/A N/A</v>
      </c>
      <c r="Z513" t="str" cm="1">
        <f t="array" ref="Z513">_xll.BDP(B513, "CF_ACT_CASH_PAID_FOR_INT_DEBT")</f>
        <v>#N/A N/A</v>
      </c>
      <c r="AA513" t="str" cm="1">
        <f t="array" ref="AA513">_xll.BDP(B513, "TYPE_OF_BOND")</f>
        <v>#N/A Field Not Applicable</v>
      </c>
    </row>
    <row r="514" spans="1:27" x14ac:dyDescent="0.25">
      <c r="A514">
        <v>512</v>
      </c>
      <c r="B514" t="s">
        <v>566</v>
      </c>
      <c r="C514" s="4" t="s">
        <v>567</v>
      </c>
      <c r="D514" s="4">
        <v>52636000</v>
      </c>
      <c r="E514" t="s">
        <v>12</v>
      </c>
      <c r="F514" s="1">
        <v>47041</v>
      </c>
      <c r="G514">
        <v>11.75</v>
      </c>
      <c r="H514" t="s">
        <v>9</v>
      </c>
      <c r="L514" t="s">
        <v>1168</v>
      </c>
      <c r="M514" t="s">
        <v>10</v>
      </c>
      <c r="N514" t="s">
        <v>16</v>
      </c>
      <c r="O514" t="s">
        <v>3222</v>
      </c>
      <c r="P514" t="s">
        <v>2632</v>
      </c>
      <c r="Q514" t="s">
        <v>3271</v>
      </c>
      <c r="R514" t="s">
        <v>568</v>
      </c>
      <c r="S514">
        <v>13680080.662849801</v>
      </c>
      <c r="T514">
        <v>14</v>
      </c>
      <c r="U514" t="s">
        <v>1169</v>
      </c>
      <c r="W514" t="s">
        <v>569</v>
      </c>
      <c r="X514" t="str">
        <f t="shared" si="7"/>
        <v>ZH478777@TRAC Corp</v>
      </c>
      <c r="Y514" t="str">
        <f>_xlfn.IFNA(_xll.BDP(X514,"INTERVAL_SUM", "MARKET_DATA_OVERRIDE=px_volume", "CALC_INTERVAL=5D"), "")</f>
        <v>#N/A N/A</v>
      </c>
      <c r="Z514" cm="1">
        <f t="array" ref="Z514">_xll.BDP(B514, "CF_ACT_CASH_PAID_FOR_INT_DEBT")</f>
        <v>132.80500000000001</v>
      </c>
      <c r="AA514" t="str" cm="1">
        <f t="array" ref="AA514">_xll.BDP(B514, "TYPE_OF_BOND")</f>
        <v>#N/A Field Not Applicable</v>
      </c>
    </row>
    <row r="515" spans="1:27" x14ac:dyDescent="0.25">
      <c r="A515">
        <v>513</v>
      </c>
      <c r="B515" t="s">
        <v>570</v>
      </c>
      <c r="C515" s="4" t="s">
        <v>567</v>
      </c>
      <c r="D515" s="4">
        <v>343950</v>
      </c>
      <c r="E515" t="s">
        <v>11</v>
      </c>
      <c r="F515" s="1">
        <v>47238</v>
      </c>
      <c r="G515">
        <v>11.75</v>
      </c>
      <c r="H515" t="s">
        <v>9</v>
      </c>
      <c r="L515" t="s">
        <v>1168</v>
      </c>
      <c r="M515" t="s">
        <v>10</v>
      </c>
      <c r="N515" t="s">
        <v>16</v>
      </c>
      <c r="O515" t="s">
        <v>3222</v>
      </c>
      <c r="P515" t="s">
        <v>2632</v>
      </c>
      <c r="Q515" t="s">
        <v>3271</v>
      </c>
      <c r="R515" t="s">
        <v>571</v>
      </c>
      <c r="S515">
        <v>-9997</v>
      </c>
      <c r="U515" t="s">
        <v>1173</v>
      </c>
      <c r="W515" t="s">
        <v>569</v>
      </c>
      <c r="X515" t="str">
        <f t="shared" ref="X515:X578" si="8">SUBSTITUTE(B515," Corp","@TRAC Corp")</f>
        <v>YH438249@TRAC Corp</v>
      </c>
      <c r="Y515" t="str">
        <f>_xlfn.IFNA(_xll.BDP(X515,"INTERVAL_SUM", "MARKET_DATA_OVERRIDE=px_volume", "CALC_INTERVAL=5D"), "")</f>
        <v>#N/A N/A</v>
      </c>
      <c r="Z515" cm="1">
        <f t="array" ref="Z515">_xll.BDP(B515, "CF_ACT_CASH_PAID_FOR_INT_DEBT")</f>
        <v>132.80500000000001</v>
      </c>
      <c r="AA515" t="str" cm="1">
        <f t="array" ref="AA515">_xll.BDP(B515, "TYPE_OF_BOND")</f>
        <v>#N/A Field Not Applicable</v>
      </c>
    </row>
    <row r="516" spans="1:27" x14ac:dyDescent="0.25">
      <c r="A516">
        <v>514</v>
      </c>
      <c r="B516" t="s">
        <v>572</v>
      </c>
      <c r="C516" s="4" t="s">
        <v>567</v>
      </c>
      <c r="D516" s="4">
        <v>1721600</v>
      </c>
      <c r="E516" t="s">
        <v>33</v>
      </c>
      <c r="F516" s="1">
        <v>47238</v>
      </c>
      <c r="G516">
        <v>11.75</v>
      </c>
      <c r="H516" t="s">
        <v>9</v>
      </c>
      <c r="L516" t="s">
        <v>1168</v>
      </c>
      <c r="M516" t="s">
        <v>10</v>
      </c>
      <c r="N516" t="s">
        <v>16</v>
      </c>
      <c r="O516" t="s">
        <v>3222</v>
      </c>
      <c r="P516" t="s">
        <v>2632</v>
      </c>
      <c r="Q516" t="s">
        <v>3271</v>
      </c>
      <c r="R516" t="s">
        <v>571</v>
      </c>
      <c r="S516">
        <v>-9997</v>
      </c>
      <c r="U516" t="s">
        <v>1170</v>
      </c>
      <c r="W516" t="s">
        <v>569</v>
      </c>
      <c r="X516" t="str">
        <f t="shared" si="8"/>
        <v>YH430635@TRAC Corp</v>
      </c>
      <c r="Y516" t="str">
        <f>_xlfn.IFNA(_xll.BDP(X516,"INTERVAL_SUM", "MARKET_DATA_OVERRIDE=px_volume", "CALC_INTERVAL=5D"), "")</f>
        <v>#N/A N/A</v>
      </c>
      <c r="Z516" cm="1">
        <f t="array" ref="Z516">_xll.BDP(B516, "CF_ACT_CASH_PAID_FOR_INT_DEBT")</f>
        <v>132.80500000000001</v>
      </c>
      <c r="AA516" t="str" cm="1">
        <f t="array" ref="AA516">_xll.BDP(B516, "TYPE_OF_BOND")</f>
        <v>#N/A Field Not Applicable</v>
      </c>
    </row>
    <row r="517" spans="1:27" x14ac:dyDescent="0.25">
      <c r="A517">
        <v>515</v>
      </c>
      <c r="B517" t="s">
        <v>573</v>
      </c>
      <c r="C517" s="4" t="s">
        <v>567</v>
      </c>
      <c r="D517" s="4">
        <v>425697458</v>
      </c>
      <c r="E517" t="s">
        <v>33</v>
      </c>
      <c r="F517" s="1">
        <v>47238</v>
      </c>
      <c r="G517">
        <v>11.75</v>
      </c>
      <c r="H517" t="s">
        <v>9</v>
      </c>
      <c r="L517" t="s">
        <v>1168</v>
      </c>
      <c r="M517" t="s">
        <v>10</v>
      </c>
      <c r="N517" t="s">
        <v>16</v>
      </c>
      <c r="O517" t="s">
        <v>3222</v>
      </c>
      <c r="P517" t="s">
        <v>2632</v>
      </c>
      <c r="Q517" t="s">
        <v>3271</v>
      </c>
      <c r="R517" t="s">
        <v>571</v>
      </c>
      <c r="S517">
        <v>7467703.6362478305</v>
      </c>
      <c r="T517">
        <v>8</v>
      </c>
      <c r="U517" t="s">
        <v>1169</v>
      </c>
      <c r="W517" t="s">
        <v>569</v>
      </c>
      <c r="X517" t="str">
        <f t="shared" si="8"/>
        <v>DA247541@TRAC Corp</v>
      </c>
      <c r="Y517" t="str">
        <f>_xlfn.IFNA(_xll.BDP(X517,"INTERVAL_SUM", "MARKET_DATA_OVERRIDE=px_volume", "CALC_INTERVAL=5D"), "")</f>
        <v>#N/A N/A</v>
      </c>
      <c r="Z517" cm="1">
        <f t="array" ref="Z517">_xll.BDP(B517, "CF_ACT_CASH_PAID_FOR_INT_DEBT")</f>
        <v>132.80500000000001</v>
      </c>
      <c r="AA517" t="str" cm="1">
        <f t="array" ref="AA517">_xll.BDP(B517, "TYPE_OF_BOND")</f>
        <v>#N/A Field Not Applicable</v>
      </c>
    </row>
    <row r="518" spans="1:27" x14ac:dyDescent="0.25">
      <c r="A518">
        <v>516</v>
      </c>
      <c r="B518" t="s">
        <v>574</v>
      </c>
      <c r="C518" s="4" t="s">
        <v>567</v>
      </c>
      <c r="D518" s="4">
        <v>319360422</v>
      </c>
      <c r="E518" t="s">
        <v>11</v>
      </c>
      <c r="F518" s="1">
        <v>47238</v>
      </c>
      <c r="G518">
        <v>11.75</v>
      </c>
      <c r="H518" t="s">
        <v>9</v>
      </c>
      <c r="L518" t="s">
        <v>1168</v>
      </c>
      <c r="M518" t="s">
        <v>10</v>
      </c>
      <c r="N518" t="s">
        <v>16</v>
      </c>
      <c r="O518" t="s">
        <v>3222</v>
      </c>
      <c r="P518" t="s">
        <v>2632</v>
      </c>
      <c r="Q518" t="s">
        <v>3271</v>
      </c>
      <c r="R518" t="s">
        <v>571</v>
      </c>
      <c r="S518">
        <v>13652104.1255238</v>
      </c>
      <c r="T518">
        <v>38</v>
      </c>
      <c r="W518" t="s">
        <v>569</v>
      </c>
      <c r="X518" t="str">
        <f t="shared" si="8"/>
        <v>DA247540@TRAC Corp</v>
      </c>
      <c r="Y518">
        <f>_xlfn.IFNA(_xll.BDP(X518,"INTERVAL_SUM", "MARKET_DATA_OVERRIDE=px_volume", "CALC_INTERVAL=5D"), "")</f>
        <v>3076</v>
      </c>
      <c r="Z518" cm="1">
        <f t="array" ref="Z518">_xll.BDP(B518, "CF_ACT_CASH_PAID_FOR_INT_DEBT")</f>
        <v>132.80500000000001</v>
      </c>
      <c r="AA518" t="str" cm="1">
        <f t="array" ref="AA518">_xll.BDP(B518, "TYPE_OF_BOND")</f>
        <v>#N/A Field Not Applicable</v>
      </c>
    </row>
    <row r="519" spans="1:27" x14ac:dyDescent="0.25">
      <c r="A519">
        <v>517</v>
      </c>
      <c r="B519" t="s">
        <v>575</v>
      </c>
      <c r="C519" s="4" t="s">
        <v>567</v>
      </c>
      <c r="D519" s="4">
        <v>65924000</v>
      </c>
      <c r="E519" t="s">
        <v>17</v>
      </c>
      <c r="F519" s="1">
        <v>47164</v>
      </c>
      <c r="G519">
        <v>6</v>
      </c>
      <c r="H519" t="s">
        <v>9</v>
      </c>
      <c r="L519" t="s">
        <v>1168</v>
      </c>
      <c r="M519" t="s">
        <v>10</v>
      </c>
      <c r="N519" t="s">
        <v>16</v>
      </c>
      <c r="O519" t="s">
        <v>3222</v>
      </c>
      <c r="P519" t="s">
        <v>2632</v>
      </c>
      <c r="Q519" t="s">
        <v>3271</v>
      </c>
      <c r="R519" t="s">
        <v>576</v>
      </c>
      <c r="S519">
        <v>14773391.428343199</v>
      </c>
      <c r="T519">
        <v>15</v>
      </c>
      <c r="U519" t="s">
        <v>1169</v>
      </c>
      <c r="W519" t="s">
        <v>569</v>
      </c>
      <c r="X519" t="str">
        <f t="shared" si="8"/>
        <v>BN724172@TRAC Corp</v>
      </c>
      <c r="Y519" t="str">
        <f>_xlfn.IFNA(_xll.BDP(X519,"INTERVAL_SUM", "MARKET_DATA_OVERRIDE=px_volume", "CALC_INTERVAL=5D"), "")</f>
        <v>#N/A N/A</v>
      </c>
      <c r="Z519" cm="1">
        <f t="array" ref="Z519">_xll.BDP(B519, "CF_ACT_CASH_PAID_FOR_INT_DEBT")</f>
        <v>132.80500000000001</v>
      </c>
      <c r="AA519" t="str" cm="1">
        <f t="array" ref="AA519">_xll.BDP(B519, "TYPE_OF_BOND")</f>
        <v>#N/A Field Not Applicable</v>
      </c>
    </row>
    <row r="520" spans="1:27" x14ac:dyDescent="0.25">
      <c r="A520">
        <v>518</v>
      </c>
      <c r="B520" t="s">
        <v>577</v>
      </c>
      <c r="C520" s="4" t="s">
        <v>567</v>
      </c>
      <c r="D520" s="4">
        <v>654832.09</v>
      </c>
      <c r="E520" t="s">
        <v>17</v>
      </c>
      <c r="F520" s="1">
        <v>47164</v>
      </c>
      <c r="H520" t="s">
        <v>9</v>
      </c>
      <c r="L520" t="s">
        <v>1168</v>
      </c>
      <c r="N520" t="s">
        <v>16</v>
      </c>
      <c r="O520" t="s">
        <v>3222</v>
      </c>
      <c r="R520" t="s">
        <v>578</v>
      </c>
      <c r="V520" t="s">
        <v>227</v>
      </c>
      <c r="W520" t="s">
        <v>569</v>
      </c>
      <c r="X520" t="str">
        <f t="shared" si="8"/>
        <v>BL540617@TRAC Corp</v>
      </c>
      <c r="Y520" t="str">
        <f>_xlfn.IFNA(_xll.BDP(X520,"INTERVAL_SUM", "MARKET_DATA_OVERRIDE=px_volume", "CALC_INTERVAL=5D"), "")</f>
        <v>#N/A N/A</v>
      </c>
      <c r="Z520" t="str" cm="1">
        <f t="array" ref="Z520">_xll.BDP(B520, "CF_ACT_CASH_PAID_FOR_INT_DEBT")</f>
        <v>#N/A N/A</v>
      </c>
      <c r="AA520" t="str" cm="1">
        <f t="array" ref="AA520">_xll.BDP(B520, "TYPE_OF_BOND")</f>
        <v>#N/A Field Not Applicable</v>
      </c>
    </row>
    <row r="521" spans="1:27" x14ac:dyDescent="0.25">
      <c r="A521">
        <v>519</v>
      </c>
      <c r="B521" t="s">
        <v>579</v>
      </c>
      <c r="C521" s="4" t="s">
        <v>567</v>
      </c>
      <c r="D521" s="4">
        <v>100000000</v>
      </c>
      <c r="E521" t="s">
        <v>11</v>
      </c>
      <c r="F521" s="1">
        <v>47238</v>
      </c>
      <c r="G521">
        <v>8.4169</v>
      </c>
      <c r="H521" t="s">
        <v>13</v>
      </c>
      <c r="I521" t="s">
        <v>2631</v>
      </c>
      <c r="J521">
        <v>475</v>
      </c>
      <c r="L521" t="s">
        <v>1168</v>
      </c>
      <c r="M521" t="s">
        <v>10</v>
      </c>
      <c r="N521" t="s">
        <v>16</v>
      </c>
      <c r="O521" t="s">
        <v>3222</v>
      </c>
      <c r="P521" t="s">
        <v>2632</v>
      </c>
      <c r="Q521" t="s">
        <v>3271</v>
      </c>
      <c r="R521" t="s">
        <v>580</v>
      </c>
      <c r="V521" t="s">
        <v>227</v>
      </c>
      <c r="W521" t="s">
        <v>569</v>
      </c>
      <c r="X521" t="str">
        <f t="shared" si="8"/>
        <v>BL537799@TRAC Corp</v>
      </c>
      <c r="Y521" t="str">
        <f>_xlfn.IFNA(_xll.BDP(X521,"INTERVAL_SUM", "MARKET_DATA_OVERRIDE=px_volume", "CALC_INTERVAL=5D"), "")</f>
        <v>#N/A N/A</v>
      </c>
      <c r="Z521" cm="1">
        <f t="array" ref="Z521">_xll.BDP(B521, "CF_ACT_CASH_PAID_FOR_INT_DEBT")</f>
        <v>132.80500000000001</v>
      </c>
      <c r="AA521" t="str" cm="1">
        <f t="array" ref="AA521">_xll.BDP(B521, "TYPE_OF_BOND")</f>
        <v>#N/A Field Not Applicable</v>
      </c>
    </row>
    <row r="522" spans="1:27" x14ac:dyDescent="0.25">
      <c r="A522">
        <v>520</v>
      </c>
      <c r="B522" t="s">
        <v>581</v>
      </c>
      <c r="C522" s="4" t="s">
        <v>567</v>
      </c>
      <c r="D522" s="4">
        <v>1555769000</v>
      </c>
      <c r="E522" t="s">
        <v>11</v>
      </c>
      <c r="F522" s="1">
        <v>47149</v>
      </c>
      <c r="G522">
        <v>7.1669</v>
      </c>
      <c r="H522" t="s">
        <v>13</v>
      </c>
      <c r="I522" t="s">
        <v>2631</v>
      </c>
      <c r="J522">
        <v>350</v>
      </c>
      <c r="L522" t="s">
        <v>1168</v>
      </c>
      <c r="M522" t="s">
        <v>10</v>
      </c>
      <c r="N522" t="s">
        <v>16</v>
      </c>
      <c r="O522" t="s">
        <v>3222</v>
      </c>
      <c r="P522" t="s">
        <v>2632</v>
      </c>
      <c r="Q522" t="s">
        <v>3271</v>
      </c>
      <c r="R522" t="s">
        <v>580</v>
      </c>
      <c r="V522" t="s">
        <v>227</v>
      </c>
      <c r="W522" t="s">
        <v>569</v>
      </c>
      <c r="X522" t="str">
        <f t="shared" si="8"/>
        <v>BL535843@TRAC Corp</v>
      </c>
      <c r="Y522" t="str">
        <f>_xlfn.IFNA(_xll.BDP(X522,"INTERVAL_SUM", "MARKET_DATA_OVERRIDE=px_volume", "CALC_INTERVAL=5D"), "")</f>
        <v>#N/A N/A</v>
      </c>
      <c r="Z522" cm="1">
        <f t="array" ref="Z522">_xll.BDP(B522, "CF_ACT_CASH_PAID_FOR_INT_DEBT")</f>
        <v>132.80500000000001</v>
      </c>
      <c r="AA522" t="str" cm="1">
        <f t="array" ref="AA522">_xll.BDP(B522, "TYPE_OF_BOND")</f>
        <v>#N/A Field Not Applicable</v>
      </c>
    </row>
    <row r="523" spans="1:27" x14ac:dyDescent="0.25">
      <c r="A523">
        <v>521</v>
      </c>
      <c r="B523" t="s">
        <v>582</v>
      </c>
      <c r="C523" s="4" t="s">
        <v>567</v>
      </c>
      <c r="D523" s="4">
        <v>525444575</v>
      </c>
      <c r="E523" t="s">
        <v>11</v>
      </c>
      <c r="F523" s="1">
        <v>47149</v>
      </c>
      <c r="G523">
        <v>7.1669</v>
      </c>
      <c r="H523" t="s">
        <v>13</v>
      </c>
      <c r="I523" t="s">
        <v>2631</v>
      </c>
      <c r="J523">
        <v>350</v>
      </c>
      <c r="L523" t="s">
        <v>1168</v>
      </c>
      <c r="M523" t="s">
        <v>10</v>
      </c>
      <c r="N523" t="s">
        <v>16</v>
      </c>
      <c r="O523" t="s">
        <v>3222</v>
      </c>
      <c r="P523" t="s">
        <v>2632</v>
      </c>
      <c r="Q523" t="s">
        <v>3271</v>
      </c>
      <c r="R523" t="s">
        <v>583</v>
      </c>
      <c r="S523">
        <v>5000000</v>
      </c>
      <c r="T523">
        <v>3</v>
      </c>
      <c r="V523" t="s">
        <v>227</v>
      </c>
      <c r="W523" t="s">
        <v>569</v>
      </c>
      <c r="X523" t="str">
        <f t="shared" si="8"/>
        <v>BL535842@TRAC Corp</v>
      </c>
      <c r="Y523" t="str">
        <f>_xlfn.IFNA(_xll.BDP(X523,"INTERVAL_SUM", "MARKET_DATA_OVERRIDE=px_volume", "CALC_INTERVAL=5D"), "")</f>
        <v>#N/A N/A</v>
      </c>
      <c r="Z523" cm="1">
        <f t="array" ref="Z523">_xll.BDP(B523, "CF_ACT_CASH_PAID_FOR_INT_DEBT")</f>
        <v>132.80500000000001</v>
      </c>
      <c r="AA523" t="str" cm="1">
        <f t="array" ref="AA523">_xll.BDP(B523, "TYPE_OF_BOND")</f>
        <v>#N/A Field Not Applicable</v>
      </c>
    </row>
    <row r="524" spans="1:27" x14ac:dyDescent="0.25">
      <c r="A524">
        <v>522</v>
      </c>
      <c r="B524" t="s">
        <v>584</v>
      </c>
      <c r="C524" s="4" t="s">
        <v>567</v>
      </c>
      <c r="D524" s="4">
        <v>223000000</v>
      </c>
      <c r="E524" t="s">
        <v>11</v>
      </c>
      <c r="F524" s="1">
        <v>47149</v>
      </c>
      <c r="G524">
        <v>7.1703999999999999</v>
      </c>
      <c r="H524" t="s">
        <v>13</v>
      </c>
      <c r="I524" t="s">
        <v>2631</v>
      </c>
      <c r="J524">
        <v>350</v>
      </c>
      <c r="L524" t="s">
        <v>1168</v>
      </c>
      <c r="M524" t="s">
        <v>10</v>
      </c>
      <c r="N524" t="s">
        <v>16</v>
      </c>
      <c r="O524" t="s">
        <v>3222</v>
      </c>
      <c r="P524" t="s">
        <v>2632</v>
      </c>
      <c r="Q524" t="s">
        <v>3271</v>
      </c>
      <c r="R524" t="s">
        <v>585</v>
      </c>
      <c r="V524" t="s">
        <v>226</v>
      </c>
      <c r="W524" t="s">
        <v>569</v>
      </c>
      <c r="X524" t="str">
        <f t="shared" si="8"/>
        <v>BL354555@TRAC Corp</v>
      </c>
      <c r="Y524" t="str">
        <f>_xlfn.IFNA(_xll.BDP(X524,"INTERVAL_SUM", "MARKET_DATA_OVERRIDE=px_volume", "CALC_INTERVAL=5D"), "")</f>
        <v>#N/A N/A</v>
      </c>
      <c r="Z524" cm="1">
        <f t="array" ref="Z524">_xll.BDP(B524, "CF_ACT_CASH_PAID_FOR_INT_DEBT")</f>
        <v>132.80500000000001</v>
      </c>
      <c r="AA524" t="str" cm="1">
        <f t="array" ref="AA524">_xll.BDP(B524, "TYPE_OF_BOND")</f>
        <v>#N/A Field Not Applicable</v>
      </c>
    </row>
    <row r="525" spans="1:27" x14ac:dyDescent="0.25">
      <c r="A525">
        <v>523</v>
      </c>
      <c r="B525" t="s">
        <v>2670</v>
      </c>
      <c r="C525" s="4" t="s">
        <v>567</v>
      </c>
      <c r="D525" s="4">
        <v>982000</v>
      </c>
      <c r="E525" t="s">
        <v>33</v>
      </c>
      <c r="F525" s="1">
        <v>47238</v>
      </c>
      <c r="G525">
        <v>7.2439</v>
      </c>
      <c r="H525" t="s">
        <v>13</v>
      </c>
      <c r="I525" t="s">
        <v>2631</v>
      </c>
      <c r="J525">
        <v>360</v>
      </c>
      <c r="L525" t="s">
        <v>1168</v>
      </c>
      <c r="M525" t="s">
        <v>10</v>
      </c>
      <c r="N525" t="s">
        <v>16</v>
      </c>
      <c r="O525" t="s">
        <v>3222</v>
      </c>
      <c r="R525" t="s">
        <v>2671</v>
      </c>
      <c r="V525" t="s">
        <v>227</v>
      </c>
      <c r="W525" t="s">
        <v>569</v>
      </c>
      <c r="X525" t="str">
        <f t="shared" si="8"/>
        <v>BL1001UX@TRAC Corp</v>
      </c>
      <c r="Y525" t="str">
        <f>_xlfn.IFNA(_xll.BDP(X525,"INTERVAL_SUM", "MARKET_DATA_OVERRIDE=px_volume", "CALC_INTERVAL=5D"), "")</f>
        <v>#N/A N/A</v>
      </c>
      <c r="Z525" cm="1">
        <f t="array" ref="Z525">_xll.BDP(B525, "CF_ACT_CASH_PAID_FOR_INT_DEBT")</f>
        <v>132.80500000000001</v>
      </c>
      <c r="AA525" t="str" cm="1">
        <f t="array" ref="AA525">_xll.BDP(B525, "TYPE_OF_BOND")</f>
        <v>#N/A Field Not Applicable</v>
      </c>
    </row>
    <row r="526" spans="1:27" x14ac:dyDescent="0.25">
      <c r="A526">
        <v>524</v>
      </c>
      <c r="B526" t="s">
        <v>2672</v>
      </c>
      <c r="C526" s="4" t="s">
        <v>567</v>
      </c>
      <c r="D526" s="4">
        <v>288000</v>
      </c>
      <c r="E526" s="1" t="s">
        <v>11</v>
      </c>
      <c r="F526" s="1">
        <v>47238</v>
      </c>
      <c r="G526">
        <v>9.3939000000000004</v>
      </c>
      <c r="H526" t="s">
        <v>13</v>
      </c>
      <c r="I526" t="s">
        <v>2631</v>
      </c>
      <c r="J526">
        <v>575</v>
      </c>
      <c r="L526" t="s">
        <v>1168</v>
      </c>
      <c r="M526" t="s">
        <v>10</v>
      </c>
      <c r="N526" t="s">
        <v>16</v>
      </c>
      <c r="O526" t="s">
        <v>3222</v>
      </c>
      <c r="R526" t="s">
        <v>2673</v>
      </c>
      <c r="V526" t="s">
        <v>227</v>
      </c>
      <c r="W526" t="s">
        <v>569</v>
      </c>
      <c r="X526" t="str">
        <f t="shared" si="8"/>
        <v>BL1001UT@TRAC Corp</v>
      </c>
      <c r="Y526" t="str">
        <f>_xlfn.IFNA(_xll.BDP(X526,"INTERVAL_SUM", "MARKET_DATA_OVERRIDE=px_volume", "CALC_INTERVAL=5D"), "")</f>
        <v>#N/A N/A</v>
      </c>
      <c r="Z526" cm="1">
        <f t="array" ref="Z526">_xll.BDP(B526, "CF_ACT_CASH_PAID_FOR_INT_DEBT")</f>
        <v>132.80500000000001</v>
      </c>
      <c r="AA526" t="str" cm="1">
        <f t="array" ref="AA526">_xll.BDP(B526, "TYPE_OF_BOND")</f>
        <v>#N/A Field Not Applicable</v>
      </c>
    </row>
    <row r="527" spans="1:27" x14ac:dyDescent="0.25">
      <c r="A527">
        <v>525</v>
      </c>
      <c r="B527" t="s">
        <v>2674</v>
      </c>
      <c r="C527" s="4" t="s">
        <v>567</v>
      </c>
      <c r="D527" s="4">
        <v>4779000</v>
      </c>
      <c r="E527" s="1" t="s">
        <v>11</v>
      </c>
      <c r="F527" s="1">
        <v>47238</v>
      </c>
      <c r="G527">
        <v>7.2439</v>
      </c>
      <c r="H527" t="s">
        <v>13</v>
      </c>
      <c r="I527" t="s">
        <v>2631</v>
      </c>
      <c r="J527">
        <v>360</v>
      </c>
      <c r="L527" t="s">
        <v>1168</v>
      </c>
      <c r="M527" t="s">
        <v>10</v>
      </c>
      <c r="N527" t="s">
        <v>16</v>
      </c>
      <c r="O527" t="s">
        <v>3222</v>
      </c>
      <c r="R527" t="s">
        <v>580</v>
      </c>
      <c r="V527" t="s">
        <v>227</v>
      </c>
      <c r="W527" t="s">
        <v>569</v>
      </c>
      <c r="X527" t="str">
        <f t="shared" si="8"/>
        <v>BL1001TR@TRAC Corp</v>
      </c>
      <c r="Y527" t="str">
        <f>_xlfn.IFNA(_xll.BDP(X527,"INTERVAL_SUM", "MARKET_DATA_OVERRIDE=px_volume", "CALC_INTERVAL=5D"), "")</f>
        <v>#N/A N/A</v>
      </c>
      <c r="Z527" cm="1">
        <f t="array" ref="Z527">_xll.BDP(B527, "CF_ACT_CASH_PAID_FOR_INT_DEBT")</f>
        <v>132.80500000000001</v>
      </c>
      <c r="AA527" t="str" cm="1">
        <f t="array" ref="AA527">_xll.BDP(B527, "TYPE_OF_BOND")</f>
        <v>#N/A Field Not Applicable</v>
      </c>
    </row>
    <row r="528" spans="1:27" x14ac:dyDescent="0.25">
      <c r="A528">
        <v>526</v>
      </c>
      <c r="B528" t="s">
        <v>3392</v>
      </c>
      <c r="C528" s="4" t="s">
        <v>3393</v>
      </c>
      <c r="D528" s="4">
        <v>1970000000</v>
      </c>
      <c r="E528" s="1" t="s">
        <v>11</v>
      </c>
      <c r="F528" s="1">
        <v>48213</v>
      </c>
      <c r="G528">
        <v>7.8939000000000004</v>
      </c>
      <c r="H528" t="s">
        <v>13</v>
      </c>
      <c r="I528" t="s">
        <v>2631</v>
      </c>
      <c r="J528">
        <v>425</v>
      </c>
      <c r="L528" t="s">
        <v>1168</v>
      </c>
      <c r="M528" t="s">
        <v>10</v>
      </c>
      <c r="N528" t="s">
        <v>16</v>
      </c>
      <c r="O528" t="s">
        <v>3222</v>
      </c>
      <c r="P528" t="s">
        <v>2632</v>
      </c>
      <c r="Q528" t="s">
        <v>3394</v>
      </c>
      <c r="R528" t="s">
        <v>3395</v>
      </c>
      <c r="S528">
        <v>3000000</v>
      </c>
      <c r="T528">
        <v>11</v>
      </c>
      <c r="V528" t="s">
        <v>227</v>
      </c>
      <c r="W528" t="s">
        <v>3396</v>
      </c>
      <c r="X528" t="str">
        <f t="shared" si="8"/>
        <v>BL484581@TRAC Corp</v>
      </c>
      <c r="Y528" t="str">
        <f>_xlfn.IFNA(_xll.BDP(X528,"INTERVAL_SUM", "MARKET_DATA_OVERRIDE=px_volume", "CALC_INTERVAL=5D"), "")</f>
        <v>#N/A N/A</v>
      </c>
      <c r="Z528" t="str" cm="1">
        <f t="array" ref="Z528">_xll.BDP(B528, "CF_ACT_CASH_PAID_FOR_INT_DEBT")</f>
        <v>#N/A N/A</v>
      </c>
      <c r="AA528" t="str" cm="1">
        <f t="array" ref="AA528">_xll.BDP(B528, "TYPE_OF_BOND")</f>
        <v>#N/A Field Not Applicable</v>
      </c>
    </row>
    <row r="529" spans="1:27" x14ac:dyDescent="0.25">
      <c r="A529">
        <v>527</v>
      </c>
      <c r="B529" t="s">
        <v>3397</v>
      </c>
      <c r="C529" s="4" t="s">
        <v>3393</v>
      </c>
      <c r="D529" s="4">
        <v>3008198965.49999</v>
      </c>
      <c r="E529" s="1" t="s">
        <v>11</v>
      </c>
      <c r="F529" s="1">
        <v>46876</v>
      </c>
      <c r="G529">
        <v>7.9141000000000004</v>
      </c>
      <c r="H529" t="s">
        <v>13</v>
      </c>
      <c r="I529" t="s">
        <v>2631</v>
      </c>
      <c r="J529">
        <v>425</v>
      </c>
      <c r="L529" t="s">
        <v>1168</v>
      </c>
      <c r="M529" t="s">
        <v>10</v>
      </c>
      <c r="N529" t="s">
        <v>16</v>
      </c>
      <c r="O529" t="s">
        <v>3222</v>
      </c>
      <c r="P529" t="s">
        <v>2632</v>
      </c>
      <c r="Q529" t="s">
        <v>3394</v>
      </c>
      <c r="R529" t="s">
        <v>3398</v>
      </c>
      <c r="S529">
        <v>2000000</v>
      </c>
      <c r="T529">
        <v>42</v>
      </c>
      <c r="V529" t="s">
        <v>227</v>
      </c>
      <c r="W529" t="s">
        <v>3396</v>
      </c>
      <c r="X529" t="str">
        <f t="shared" si="8"/>
        <v>BL426365@TRAC Corp</v>
      </c>
      <c r="Y529" t="str">
        <f>_xlfn.IFNA(_xll.BDP(X529,"INTERVAL_SUM", "MARKET_DATA_OVERRIDE=px_volume", "CALC_INTERVAL=5D"), "")</f>
        <v>#N/A N/A</v>
      </c>
      <c r="Z529" t="str" cm="1">
        <f t="array" ref="Z529">_xll.BDP(B529, "CF_ACT_CASH_PAID_FOR_INT_DEBT")</f>
        <v>#N/A N/A</v>
      </c>
      <c r="AA529" t="str" cm="1">
        <f t="array" ref="AA529">_xll.BDP(B529, "TYPE_OF_BOND")</f>
        <v>#N/A Field Not Applicable</v>
      </c>
    </row>
    <row r="530" spans="1:27" x14ac:dyDescent="0.25">
      <c r="A530">
        <v>528</v>
      </c>
      <c r="B530" t="s">
        <v>3399</v>
      </c>
      <c r="C530" s="4" t="s">
        <v>3393</v>
      </c>
      <c r="D530" s="4">
        <v>298750000</v>
      </c>
      <c r="E530" t="s">
        <v>11</v>
      </c>
      <c r="F530" s="1">
        <v>47848</v>
      </c>
      <c r="G530">
        <v>6.6703999999999999</v>
      </c>
      <c r="H530" t="s">
        <v>13</v>
      </c>
      <c r="I530" t="s">
        <v>2631</v>
      </c>
      <c r="J530">
        <v>300</v>
      </c>
      <c r="L530" t="s">
        <v>1168</v>
      </c>
      <c r="M530" t="s">
        <v>10</v>
      </c>
      <c r="N530" t="s">
        <v>16</v>
      </c>
      <c r="O530" t="s">
        <v>3222</v>
      </c>
      <c r="P530" t="s">
        <v>2632</v>
      </c>
      <c r="Q530" t="s">
        <v>3394</v>
      </c>
      <c r="R530" t="s">
        <v>3400</v>
      </c>
      <c r="V530" t="s">
        <v>226</v>
      </c>
      <c r="W530" t="s">
        <v>3396</v>
      </c>
      <c r="X530" t="str">
        <f t="shared" si="8"/>
        <v>BL355867@TRAC Corp</v>
      </c>
      <c r="Y530" t="str">
        <f>_xlfn.IFNA(_xll.BDP(X530,"INTERVAL_SUM", "MARKET_DATA_OVERRIDE=px_volume", "CALC_INTERVAL=5D"), "")</f>
        <v>#N/A N/A</v>
      </c>
      <c r="Z530" t="str" cm="1">
        <f t="array" ref="Z530">_xll.BDP(B530, "CF_ACT_CASH_PAID_FOR_INT_DEBT")</f>
        <v>#N/A N/A</v>
      </c>
      <c r="AA530" t="str" cm="1">
        <f t="array" ref="AA530">_xll.BDP(B530, "TYPE_OF_BOND")</f>
        <v>#N/A Field Not Applicable</v>
      </c>
    </row>
    <row r="531" spans="1:27" x14ac:dyDescent="0.25">
      <c r="A531">
        <v>529</v>
      </c>
      <c r="B531" t="s">
        <v>3401</v>
      </c>
      <c r="C531" s="4" t="s">
        <v>3393</v>
      </c>
      <c r="D531" s="4">
        <v>575000000</v>
      </c>
      <c r="E531" t="s">
        <v>33</v>
      </c>
      <c r="F531" s="1">
        <v>47172</v>
      </c>
      <c r="G531">
        <v>9.9295000000000009</v>
      </c>
      <c r="H531" t="s">
        <v>13</v>
      </c>
      <c r="I531" t="s">
        <v>2631</v>
      </c>
      <c r="J531">
        <v>625</v>
      </c>
      <c r="L531" t="s">
        <v>1168</v>
      </c>
      <c r="M531" t="s">
        <v>10</v>
      </c>
      <c r="N531" t="s">
        <v>16</v>
      </c>
      <c r="O531" t="s">
        <v>3222</v>
      </c>
      <c r="P531" t="s">
        <v>2632</v>
      </c>
      <c r="Q531" t="s">
        <v>3394</v>
      </c>
      <c r="R531" t="s">
        <v>3402</v>
      </c>
      <c r="S531">
        <v>5000000</v>
      </c>
      <c r="T531">
        <v>16</v>
      </c>
      <c r="V531" t="s">
        <v>227</v>
      </c>
      <c r="W531" t="s">
        <v>3396</v>
      </c>
      <c r="X531" t="str">
        <f t="shared" si="8"/>
        <v>BL355752@TRAC Corp</v>
      </c>
      <c r="Y531" t="str">
        <f>_xlfn.IFNA(_xll.BDP(X531,"INTERVAL_SUM", "MARKET_DATA_OVERRIDE=px_volume", "CALC_INTERVAL=5D"), "")</f>
        <v>#N/A N/A</v>
      </c>
      <c r="Z531" t="str" cm="1">
        <f t="array" ref="Z531">_xll.BDP(B531, "CF_ACT_CASH_PAID_FOR_INT_DEBT")</f>
        <v>#N/A N/A</v>
      </c>
      <c r="AA531" t="str" cm="1">
        <f t="array" ref="AA531">_xll.BDP(B531, "TYPE_OF_BOND")</f>
        <v>#N/A Field Not Applicable</v>
      </c>
    </row>
    <row r="532" spans="1:27" x14ac:dyDescent="0.25">
      <c r="A532">
        <v>530</v>
      </c>
      <c r="B532" t="s">
        <v>1195</v>
      </c>
      <c r="C532" s="4" t="s">
        <v>1196</v>
      </c>
      <c r="D532" s="4">
        <v>957753</v>
      </c>
      <c r="E532" t="s">
        <v>11</v>
      </c>
      <c r="F532" s="1">
        <v>48193</v>
      </c>
      <c r="G532">
        <v>7.8463000000000003</v>
      </c>
      <c r="H532" t="s">
        <v>13</v>
      </c>
      <c r="I532" t="s">
        <v>2662</v>
      </c>
      <c r="J532">
        <v>400</v>
      </c>
      <c r="L532" t="s">
        <v>1168</v>
      </c>
      <c r="M532" t="s">
        <v>10</v>
      </c>
      <c r="N532" t="s">
        <v>15</v>
      </c>
      <c r="O532" t="s">
        <v>3110</v>
      </c>
      <c r="R532" t="s">
        <v>1197</v>
      </c>
      <c r="V532" t="s">
        <v>227</v>
      </c>
      <c r="W532" t="s">
        <v>1158</v>
      </c>
      <c r="X532" t="str">
        <f t="shared" si="8"/>
        <v>BL520121@TRAC Corp</v>
      </c>
      <c r="Y532" t="str">
        <f>_xlfn.IFNA(_xll.BDP(X532,"INTERVAL_SUM", "MARKET_DATA_OVERRIDE=px_volume", "CALC_INTERVAL=5D"), "")</f>
        <v>#N/A N/A</v>
      </c>
      <c r="Z532" t="str" cm="1">
        <f t="array" ref="Z532">_xll.BDP(B532, "CF_ACT_CASH_PAID_FOR_INT_DEBT")</f>
        <v>#N/A N/A</v>
      </c>
      <c r="AA532" t="str" cm="1">
        <f t="array" ref="AA532">_xll.BDP(B532, "TYPE_OF_BOND")</f>
        <v>#N/A Field Not Applicable</v>
      </c>
    </row>
    <row r="533" spans="1:27" x14ac:dyDescent="0.25">
      <c r="A533">
        <v>531</v>
      </c>
      <c r="B533" t="s">
        <v>1198</v>
      </c>
      <c r="C533" s="4" t="s">
        <v>1196</v>
      </c>
      <c r="D533" s="4">
        <v>1964576250</v>
      </c>
      <c r="E533" t="s">
        <v>11</v>
      </c>
      <c r="F533" s="1">
        <v>47581</v>
      </c>
      <c r="G533">
        <v>7.6477000000000004</v>
      </c>
      <c r="H533" t="s">
        <v>13</v>
      </c>
      <c r="I533" t="s">
        <v>2635</v>
      </c>
      <c r="J533">
        <v>400</v>
      </c>
      <c r="L533" t="s">
        <v>1168</v>
      </c>
      <c r="M533" t="s">
        <v>10</v>
      </c>
      <c r="N533" t="s">
        <v>15</v>
      </c>
      <c r="O533" t="s">
        <v>3110</v>
      </c>
      <c r="P533" t="s">
        <v>2637</v>
      </c>
      <c r="Q533" t="s">
        <v>3175</v>
      </c>
      <c r="R533" t="s">
        <v>1199</v>
      </c>
      <c r="S533">
        <v>5000000</v>
      </c>
      <c r="T533">
        <v>19</v>
      </c>
      <c r="V533" t="s">
        <v>227</v>
      </c>
      <c r="W533" t="s">
        <v>1158</v>
      </c>
      <c r="X533" t="str">
        <f t="shared" si="8"/>
        <v>BL484318@TRAC Corp</v>
      </c>
      <c r="Y533" t="str">
        <f>_xlfn.IFNA(_xll.BDP(X533,"INTERVAL_SUM", "MARKET_DATA_OVERRIDE=px_volume", "CALC_INTERVAL=5D"), "")</f>
        <v>#N/A N/A</v>
      </c>
      <c r="Z533" t="str" cm="1">
        <f t="array" ref="Z533">_xll.BDP(B533, "CF_ACT_CASH_PAID_FOR_INT_DEBT")</f>
        <v>#N/A N/A</v>
      </c>
      <c r="AA533" t="str" cm="1">
        <f t="array" ref="AA533">_xll.BDP(B533, "TYPE_OF_BOND")</f>
        <v>#N/A Field Not Applicable</v>
      </c>
    </row>
    <row r="534" spans="1:27" x14ac:dyDescent="0.25">
      <c r="A534">
        <v>532</v>
      </c>
      <c r="B534" t="s">
        <v>1200</v>
      </c>
      <c r="C534" s="4" t="s">
        <v>1201</v>
      </c>
      <c r="D534" s="4">
        <v>1947609750</v>
      </c>
      <c r="E534" t="s">
        <v>11</v>
      </c>
      <c r="F534" s="1">
        <v>46890</v>
      </c>
      <c r="G534">
        <v>7.4295</v>
      </c>
      <c r="H534" t="s">
        <v>13</v>
      </c>
      <c r="I534" t="s">
        <v>2631</v>
      </c>
      <c r="J534">
        <v>375</v>
      </c>
      <c r="L534" t="s">
        <v>1168</v>
      </c>
      <c r="M534" t="s">
        <v>10</v>
      </c>
      <c r="N534" t="s">
        <v>15</v>
      </c>
      <c r="O534" t="s">
        <v>3110</v>
      </c>
      <c r="P534" t="s">
        <v>2637</v>
      </c>
      <c r="Q534" t="s">
        <v>3111</v>
      </c>
      <c r="R534" t="s">
        <v>1202</v>
      </c>
      <c r="S534">
        <v>3000000</v>
      </c>
      <c r="T534">
        <v>9</v>
      </c>
      <c r="V534" t="s">
        <v>227</v>
      </c>
      <c r="W534" t="s">
        <v>1159</v>
      </c>
      <c r="X534" t="str">
        <f t="shared" si="8"/>
        <v>BL487828@TRAC Corp</v>
      </c>
      <c r="Y534" t="str">
        <f>_xlfn.IFNA(_xll.BDP(X534,"INTERVAL_SUM", "MARKET_DATA_OVERRIDE=px_volume", "CALC_INTERVAL=5D"), "")</f>
        <v>#N/A N/A</v>
      </c>
      <c r="Z534" t="str" cm="1">
        <f t="array" ref="Z534">_xll.BDP(B534, "CF_ACT_CASH_PAID_FOR_INT_DEBT")</f>
        <v>#N/A N/A</v>
      </c>
      <c r="AA534" t="str" cm="1">
        <f t="array" ref="AA534">_xll.BDP(B534, "TYPE_OF_BOND")</f>
        <v>#N/A Field Not Applicable</v>
      </c>
    </row>
    <row r="535" spans="1:27" x14ac:dyDescent="0.25">
      <c r="A535">
        <v>533</v>
      </c>
      <c r="B535" t="s">
        <v>1203</v>
      </c>
      <c r="C535" s="4" t="s">
        <v>1201</v>
      </c>
      <c r="D535" s="4">
        <v>4058654</v>
      </c>
      <c r="E535" t="s">
        <v>11</v>
      </c>
      <c r="F535" s="1">
        <v>47252</v>
      </c>
      <c r="G535">
        <v>8.2538999999999998</v>
      </c>
      <c r="H535" t="s">
        <v>13</v>
      </c>
      <c r="I535" t="s">
        <v>2631</v>
      </c>
      <c r="J535">
        <v>461</v>
      </c>
      <c r="L535" t="s">
        <v>1168</v>
      </c>
      <c r="N535" t="s">
        <v>15</v>
      </c>
      <c r="O535" t="s">
        <v>3110</v>
      </c>
      <c r="R535" t="s">
        <v>1202</v>
      </c>
      <c r="V535" t="s">
        <v>227</v>
      </c>
      <c r="W535" t="s">
        <v>1159</v>
      </c>
      <c r="X535" t="str">
        <f t="shared" si="8"/>
        <v>BL481860@TRAC Corp</v>
      </c>
      <c r="Y535" t="str">
        <f>_xlfn.IFNA(_xll.BDP(X535,"INTERVAL_SUM", "MARKET_DATA_OVERRIDE=px_volume", "CALC_INTERVAL=5D"), "")</f>
        <v>#N/A N/A</v>
      </c>
      <c r="Z535" t="str" cm="1">
        <f t="array" ref="Z535">_xll.BDP(B535, "CF_ACT_CASH_PAID_FOR_INT_DEBT")</f>
        <v>#N/A N/A</v>
      </c>
      <c r="AA535" t="str" cm="1">
        <f t="array" ref="AA535">_xll.BDP(B535, "TYPE_OF_BOND")</f>
        <v>#N/A Field Not Applicable</v>
      </c>
    </row>
    <row r="536" spans="1:27" x14ac:dyDescent="0.25">
      <c r="A536">
        <v>534</v>
      </c>
      <c r="B536" t="s">
        <v>1225</v>
      </c>
      <c r="C536" s="4" t="s">
        <v>1226</v>
      </c>
      <c r="D536" s="4">
        <v>450000000</v>
      </c>
      <c r="E536" t="s">
        <v>17</v>
      </c>
      <c r="F536" s="1">
        <v>48395</v>
      </c>
      <c r="G536">
        <v>10.75</v>
      </c>
      <c r="H536" t="s">
        <v>9</v>
      </c>
      <c r="L536" t="s">
        <v>1168</v>
      </c>
      <c r="M536" t="s">
        <v>10</v>
      </c>
      <c r="N536" t="s">
        <v>1149</v>
      </c>
      <c r="O536" t="s">
        <v>3176</v>
      </c>
      <c r="P536" t="s">
        <v>2675</v>
      </c>
      <c r="Q536" t="s">
        <v>3177</v>
      </c>
      <c r="R536" t="s">
        <v>1227</v>
      </c>
      <c r="S536">
        <v>12419317.388826599</v>
      </c>
      <c r="T536">
        <v>8</v>
      </c>
      <c r="U536" t="s">
        <v>1169</v>
      </c>
      <c r="W536" t="s">
        <v>1228</v>
      </c>
      <c r="X536" t="str">
        <f t="shared" si="8"/>
        <v>YX961438@TRAC Corp</v>
      </c>
      <c r="Y536">
        <f>_xlfn.IFNA(_xll.BDP(X536,"INTERVAL_SUM", "MARKET_DATA_OVERRIDE=px_volume", "CALC_INTERVAL=5D"), "")</f>
        <v>2</v>
      </c>
      <c r="Z536" t="str" cm="1">
        <f t="array" ref="Z536">_xll.BDP(B536, "CF_ACT_CASH_PAID_FOR_INT_DEBT")</f>
        <v>#N/A N/A</v>
      </c>
      <c r="AA536" t="str" cm="1">
        <f t="array" ref="AA536">_xll.BDP(B536, "TYPE_OF_BOND")</f>
        <v>#N/A Field Not Applicable</v>
      </c>
    </row>
    <row r="537" spans="1:27" x14ac:dyDescent="0.25">
      <c r="A537">
        <v>535</v>
      </c>
      <c r="B537" t="s">
        <v>1229</v>
      </c>
      <c r="C537" s="4" t="s">
        <v>1226</v>
      </c>
      <c r="D537" s="4">
        <v>550000000</v>
      </c>
      <c r="E537" t="s">
        <v>12</v>
      </c>
      <c r="F537" s="1">
        <v>48029</v>
      </c>
      <c r="G537">
        <v>8.25</v>
      </c>
      <c r="H537" t="s">
        <v>9</v>
      </c>
      <c r="L537" t="s">
        <v>1168</v>
      </c>
      <c r="M537" t="s">
        <v>10</v>
      </c>
      <c r="N537" t="s">
        <v>1149</v>
      </c>
      <c r="O537" t="s">
        <v>3176</v>
      </c>
      <c r="P537" t="s">
        <v>2675</v>
      </c>
      <c r="Q537" t="s">
        <v>3177</v>
      </c>
      <c r="R537" t="s">
        <v>1230</v>
      </c>
      <c r="S537">
        <v>2793963.0630572699</v>
      </c>
      <c r="T537">
        <v>21</v>
      </c>
      <c r="U537" t="s">
        <v>1169</v>
      </c>
      <c r="W537" t="s">
        <v>1228</v>
      </c>
      <c r="X537" t="str">
        <f t="shared" si="8"/>
        <v>YX961436@TRAC Corp</v>
      </c>
      <c r="Y537">
        <f>_xlfn.IFNA(_xll.BDP(X537,"INTERVAL_SUM", "MARKET_DATA_OVERRIDE=px_volume", "CALC_INTERVAL=5D"), "")</f>
        <v>623</v>
      </c>
      <c r="Z537" t="str" cm="1">
        <f t="array" ref="Z537">_xll.BDP(B537, "CF_ACT_CASH_PAID_FOR_INT_DEBT")</f>
        <v>#N/A N/A</v>
      </c>
      <c r="AA537" t="str" cm="1">
        <f t="array" ref="AA537">_xll.BDP(B537, "TYPE_OF_BOND")</f>
        <v>#N/A Field Not Applicable</v>
      </c>
    </row>
    <row r="538" spans="1:27" x14ac:dyDescent="0.25">
      <c r="A538">
        <v>536</v>
      </c>
      <c r="B538" t="s">
        <v>1231</v>
      </c>
      <c r="C538" s="4" t="s">
        <v>1226</v>
      </c>
      <c r="D538" s="4">
        <v>908812500</v>
      </c>
      <c r="E538" s="1" t="s">
        <v>11</v>
      </c>
      <c r="F538" s="1">
        <v>48037</v>
      </c>
      <c r="G538">
        <v>7.7298999999999998</v>
      </c>
      <c r="H538" t="s">
        <v>13</v>
      </c>
      <c r="I538" t="s">
        <v>2635</v>
      </c>
      <c r="J538">
        <v>400</v>
      </c>
      <c r="L538" t="s">
        <v>1168</v>
      </c>
      <c r="M538" t="s">
        <v>10</v>
      </c>
      <c r="N538" t="s">
        <v>1149</v>
      </c>
      <c r="O538" t="s">
        <v>3176</v>
      </c>
      <c r="P538" t="s">
        <v>2675</v>
      </c>
      <c r="Q538" t="s">
        <v>3177</v>
      </c>
      <c r="R538" t="s">
        <v>1232</v>
      </c>
      <c r="S538">
        <v>3000000</v>
      </c>
      <c r="T538">
        <v>9</v>
      </c>
      <c r="V538" t="s">
        <v>227</v>
      </c>
      <c r="W538" t="s">
        <v>1228</v>
      </c>
      <c r="X538" t="str">
        <f t="shared" si="8"/>
        <v>BL469127@TRAC Corp</v>
      </c>
      <c r="Y538" t="str">
        <f>_xlfn.IFNA(_xll.BDP(X538,"INTERVAL_SUM", "MARKET_DATA_OVERRIDE=px_volume", "CALC_INTERVAL=5D"), "")</f>
        <v>#N/A N/A</v>
      </c>
      <c r="Z538" t="str" cm="1">
        <f t="array" ref="Z538">_xll.BDP(B538, "CF_ACT_CASH_PAID_FOR_INT_DEBT")</f>
        <v>#N/A N/A</v>
      </c>
      <c r="AA538" t="str" cm="1">
        <f t="array" ref="AA538">_xll.BDP(B538, "TYPE_OF_BOND")</f>
        <v>#N/A Field Not Applicable</v>
      </c>
    </row>
    <row r="539" spans="1:27" x14ac:dyDescent="0.25">
      <c r="A539">
        <v>537</v>
      </c>
      <c r="B539" t="s">
        <v>1233</v>
      </c>
      <c r="C539" s="4" t="s">
        <v>1226</v>
      </c>
      <c r="D539" s="4">
        <v>95000000</v>
      </c>
      <c r="E539" s="1" t="s">
        <v>11</v>
      </c>
      <c r="F539" s="1">
        <v>46701</v>
      </c>
      <c r="G539">
        <v>6.4602000000000004</v>
      </c>
      <c r="H539" t="s">
        <v>13</v>
      </c>
      <c r="I539" t="s">
        <v>2652</v>
      </c>
      <c r="J539">
        <v>150</v>
      </c>
      <c r="L539" t="s">
        <v>1168</v>
      </c>
      <c r="M539" t="s">
        <v>10</v>
      </c>
      <c r="N539" t="s">
        <v>1149</v>
      </c>
      <c r="O539" t="s">
        <v>3176</v>
      </c>
      <c r="P539" t="s">
        <v>2675</v>
      </c>
      <c r="Q539" t="s">
        <v>3177</v>
      </c>
      <c r="R539" t="s">
        <v>1234</v>
      </c>
      <c r="V539" t="s">
        <v>945</v>
      </c>
      <c r="W539" t="s">
        <v>1228</v>
      </c>
      <c r="X539" t="str">
        <f t="shared" si="8"/>
        <v>BL364365@TRAC Corp</v>
      </c>
      <c r="Y539" t="str">
        <f>_xlfn.IFNA(_xll.BDP(X539,"INTERVAL_SUM", "MARKET_DATA_OVERRIDE=px_volume", "CALC_INTERVAL=5D"), "")</f>
        <v>#N/A N/A</v>
      </c>
      <c r="Z539" t="str" cm="1">
        <f t="array" ref="Z539">_xll.BDP(B539, "CF_ACT_CASH_PAID_FOR_INT_DEBT")</f>
        <v>#N/A N/A</v>
      </c>
      <c r="AA539" t="str" cm="1">
        <f t="array" ref="AA539">_xll.BDP(B539, "TYPE_OF_BOND")</f>
        <v>#N/A Field Not Applicable</v>
      </c>
    </row>
    <row r="540" spans="1:27" x14ac:dyDescent="0.25">
      <c r="A540">
        <v>538</v>
      </c>
      <c r="B540" t="s">
        <v>3403</v>
      </c>
      <c r="C540" s="4" t="s">
        <v>3404</v>
      </c>
      <c r="D540" s="4">
        <v>315000000</v>
      </c>
      <c r="E540" s="1" t="s">
        <v>11</v>
      </c>
      <c r="F540" s="1">
        <v>47730</v>
      </c>
      <c r="G540">
        <v>9.1095000000000006</v>
      </c>
      <c r="H540" t="s">
        <v>13</v>
      </c>
      <c r="I540" t="s">
        <v>2631</v>
      </c>
      <c r="J540">
        <v>543</v>
      </c>
      <c r="L540" t="s">
        <v>1168</v>
      </c>
      <c r="M540" t="s">
        <v>10</v>
      </c>
      <c r="N540" t="s">
        <v>36</v>
      </c>
      <c r="O540" t="s">
        <v>3113</v>
      </c>
      <c r="P540" t="s">
        <v>2639</v>
      </c>
      <c r="Q540" t="s">
        <v>2639</v>
      </c>
      <c r="R540" t="s">
        <v>3405</v>
      </c>
      <c r="V540" t="s">
        <v>227</v>
      </c>
      <c r="W540" t="s">
        <v>3406</v>
      </c>
      <c r="X540" t="str">
        <f t="shared" si="8"/>
        <v>BL552409@TRAC Corp</v>
      </c>
      <c r="Y540" t="str">
        <f>_xlfn.IFNA(_xll.BDP(X540,"INTERVAL_SUM", "MARKET_DATA_OVERRIDE=px_volume", "CALC_INTERVAL=5D"), "")</f>
        <v>#N/A N/A</v>
      </c>
      <c r="Z540" t="str" cm="1">
        <f t="array" ref="Z540">_xll.BDP(B540, "CF_ACT_CASH_PAID_FOR_INT_DEBT")</f>
        <v>#N/A N/A</v>
      </c>
      <c r="AA540" t="str" cm="1">
        <f t="array" ref="AA540">_xll.BDP(B540, "TYPE_OF_BOND")</f>
        <v>#N/A Field Not Applicable</v>
      </c>
    </row>
    <row r="541" spans="1:27" x14ac:dyDescent="0.25">
      <c r="A541">
        <v>539</v>
      </c>
      <c r="B541" t="s">
        <v>3407</v>
      </c>
      <c r="C541" s="4" t="s">
        <v>3404</v>
      </c>
      <c r="D541" s="4">
        <v>1905000000</v>
      </c>
      <c r="E541" s="1" t="s">
        <v>11</v>
      </c>
      <c r="F541" s="1">
        <v>47730</v>
      </c>
      <c r="G541">
        <v>7.7938999999999998</v>
      </c>
      <c r="H541" t="s">
        <v>13</v>
      </c>
      <c r="I541" t="s">
        <v>2631</v>
      </c>
      <c r="J541">
        <v>400</v>
      </c>
      <c r="L541" t="s">
        <v>1168</v>
      </c>
      <c r="M541" t="s">
        <v>10</v>
      </c>
      <c r="N541" t="s">
        <v>36</v>
      </c>
      <c r="O541" t="s">
        <v>3113</v>
      </c>
      <c r="P541" t="s">
        <v>2639</v>
      </c>
      <c r="Q541" t="s">
        <v>2639</v>
      </c>
      <c r="R541" t="s">
        <v>3405</v>
      </c>
      <c r="V541" t="s">
        <v>227</v>
      </c>
      <c r="W541" t="s">
        <v>3406</v>
      </c>
      <c r="X541" t="str">
        <f t="shared" si="8"/>
        <v>BL552408@TRAC Corp</v>
      </c>
      <c r="Y541" t="str">
        <f>_xlfn.IFNA(_xll.BDP(X541,"INTERVAL_SUM", "MARKET_DATA_OVERRIDE=px_volume", "CALC_INTERVAL=5D"), "")</f>
        <v>#N/A N/A</v>
      </c>
      <c r="Z541" t="str" cm="1">
        <f t="array" ref="Z541">_xll.BDP(B541, "CF_ACT_CASH_PAID_FOR_INT_DEBT")</f>
        <v>#N/A N/A</v>
      </c>
      <c r="AA541" t="str" cm="1">
        <f t="array" ref="AA541">_xll.BDP(B541, "TYPE_OF_BOND")</f>
        <v>#N/A Field Not Applicable</v>
      </c>
    </row>
    <row r="542" spans="1:27" x14ac:dyDescent="0.25">
      <c r="A542">
        <v>540</v>
      </c>
      <c r="B542" t="s">
        <v>1235</v>
      </c>
      <c r="C542" s="4" t="s">
        <v>1236</v>
      </c>
      <c r="D542" s="4">
        <v>370000000</v>
      </c>
      <c r="E542" t="s">
        <v>17</v>
      </c>
      <c r="F542" s="1">
        <v>46706</v>
      </c>
      <c r="G542">
        <v>4.5</v>
      </c>
      <c r="H542" t="s">
        <v>9</v>
      </c>
      <c r="L542" t="s">
        <v>1171</v>
      </c>
      <c r="M542" t="s">
        <v>1076</v>
      </c>
      <c r="N542" t="s">
        <v>36</v>
      </c>
      <c r="O542" t="s">
        <v>3148</v>
      </c>
      <c r="P542" t="s">
        <v>2668</v>
      </c>
      <c r="Q542" t="s">
        <v>3169</v>
      </c>
      <c r="R542" t="s">
        <v>1237</v>
      </c>
      <c r="S542">
        <v>6098415.2957723401</v>
      </c>
      <c r="T542">
        <v>29</v>
      </c>
      <c r="U542" t="s">
        <v>1192</v>
      </c>
      <c r="W542" t="s">
        <v>1238</v>
      </c>
      <c r="X542" t="str">
        <f t="shared" si="8"/>
        <v>ZQ095961@TRAC Corp</v>
      </c>
      <c r="Y542" t="str">
        <f>_xlfn.IFNA(_xll.BDP(X542,"INTERVAL_SUM", "MARKET_DATA_OVERRIDE=px_volume", "CALC_INTERVAL=5D"), "")</f>
        <v>#N/A N/A</v>
      </c>
      <c r="Z542" t="str" cm="1">
        <f t="array" ref="Z542">_xll.BDP(B542, "CF_ACT_CASH_PAID_FOR_INT_DEBT")</f>
        <v>#N/A N/A</v>
      </c>
      <c r="AA542" t="str" cm="1">
        <f t="array" ref="AA542">_xll.BDP(B542, "TYPE_OF_BOND")</f>
        <v>#N/A Field Not Applicable</v>
      </c>
    </row>
    <row r="543" spans="1:27" x14ac:dyDescent="0.25">
      <c r="A543">
        <v>541</v>
      </c>
      <c r="B543" t="s">
        <v>1239</v>
      </c>
      <c r="C543" s="4" t="s">
        <v>1236</v>
      </c>
      <c r="D543" s="4">
        <v>410000000</v>
      </c>
      <c r="E543" t="s">
        <v>17</v>
      </c>
      <c r="F543" s="1">
        <v>46706</v>
      </c>
      <c r="G543">
        <v>6.625</v>
      </c>
      <c r="H543" t="s">
        <v>9</v>
      </c>
      <c r="L543" t="s">
        <v>1168</v>
      </c>
      <c r="M543" t="s">
        <v>1076</v>
      </c>
      <c r="N543" t="s">
        <v>36</v>
      </c>
      <c r="O543" t="s">
        <v>3148</v>
      </c>
      <c r="P543" t="s">
        <v>2668</v>
      </c>
      <c r="Q543" t="s">
        <v>3169</v>
      </c>
      <c r="R543" t="s">
        <v>1240</v>
      </c>
      <c r="S543">
        <v>6080912.5954125598</v>
      </c>
      <c r="T543">
        <v>25</v>
      </c>
      <c r="U543" t="s">
        <v>1169</v>
      </c>
      <c r="W543" t="s">
        <v>1238</v>
      </c>
      <c r="X543" t="str">
        <f t="shared" si="8"/>
        <v>ZQ095225@TRAC Corp</v>
      </c>
      <c r="Y543">
        <f>_xlfn.IFNA(_xll.BDP(X543,"INTERVAL_SUM", "MARKET_DATA_OVERRIDE=px_volume", "CALC_INTERVAL=5D"), "")</f>
        <v>4483</v>
      </c>
      <c r="Z543" t="str" cm="1">
        <f t="array" ref="Z543">_xll.BDP(B543, "CF_ACT_CASH_PAID_FOR_INT_DEBT")</f>
        <v>#N/A N/A</v>
      </c>
      <c r="AA543" t="str" cm="1">
        <f t="array" ref="AA543">_xll.BDP(B543, "TYPE_OF_BOND")</f>
        <v>#N/A Field Not Applicable</v>
      </c>
    </row>
    <row r="544" spans="1:27" x14ac:dyDescent="0.25">
      <c r="A544">
        <v>542</v>
      </c>
      <c r="B544" t="s">
        <v>1241</v>
      </c>
      <c r="C544" s="4" t="s">
        <v>1236</v>
      </c>
      <c r="D544" s="4">
        <v>700000000</v>
      </c>
      <c r="E544" t="s">
        <v>12</v>
      </c>
      <c r="F544" s="1">
        <v>47649</v>
      </c>
      <c r="G544">
        <v>7.375</v>
      </c>
      <c r="H544" t="s">
        <v>9</v>
      </c>
      <c r="L544" t="s">
        <v>1171</v>
      </c>
      <c r="M544" t="s">
        <v>35</v>
      </c>
      <c r="N544" t="s">
        <v>36</v>
      </c>
      <c r="O544" t="s">
        <v>3148</v>
      </c>
      <c r="P544" t="s">
        <v>2668</v>
      </c>
      <c r="Q544" t="s">
        <v>3169</v>
      </c>
      <c r="R544" t="s">
        <v>1242</v>
      </c>
      <c r="S544">
        <v>6019597.69472552</v>
      </c>
      <c r="T544">
        <v>27</v>
      </c>
      <c r="U544" t="s">
        <v>1172</v>
      </c>
      <c r="W544" t="s">
        <v>1238</v>
      </c>
      <c r="X544" t="str">
        <f t="shared" si="8"/>
        <v>ZK750236@TRAC Corp</v>
      </c>
      <c r="Y544" t="str">
        <f>_xlfn.IFNA(_xll.BDP(X544,"INTERVAL_SUM", "MARKET_DATA_OVERRIDE=px_volume", "CALC_INTERVAL=5D"), "")</f>
        <v>#N/A N/A</v>
      </c>
      <c r="Z544" t="str" cm="1">
        <f t="array" ref="Z544">_xll.BDP(B544, "CF_ACT_CASH_PAID_FOR_INT_DEBT")</f>
        <v>#N/A N/A</v>
      </c>
      <c r="AA544" t="str" cm="1">
        <f t="array" ref="AA544">_xll.BDP(B544, "TYPE_OF_BOND")</f>
        <v>#N/A Field Not Applicable</v>
      </c>
    </row>
    <row r="545" spans="1:27" x14ac:dyDescent="0.25">
      <c r="A545">
        <v>543</v>
      </c>
      <c r="B545" t="s">
        <v>1243</v>
      </c>
      <c r="C545" s="4" t="s">
        <v>1236</v>
      </c>
      <c r="D545" s="4">
        <v>500000000</v>
      </c>
      <c r="E545" t="s">
        <v>12</v>
      </c>
      <c r="F545" s="1">
        <v>47894</v>
      </c>
      <c r="G545">
        <v>7.375</v>
      </c>
      <c r="H545" t="s">
        <v>9</v>
      </c>
      <c r="L545" t="s">
        <v>1168</v>
      </c>
      <c r="M545" t="s">
        <v>10</v>
      </c>
      <c r="N545" t="s">
        <v>36</v>
      </c>
      <c r="O545" t="s">
        <v>3148</v>
      </c>
      <c r="P545" t="s">
        <v>2668</v>
      </c>
      <c r="Q545" t="s">
        <v>3169</v>
      </c>
      <c r="R545" t="s">
        <v>1244</v>
      </c>
      <c r="S545">
        <v>10765616.309045199</v>
      </c>
      <c r="T545">
        <v>27</v>
      </c>
      <c r="U545" t="s">
        <v>1169</v>
      </c>
      <c r="W545" t="s">
        <v>1238</v>
      </c>
      <c r="X545" t="str">
        <f t="shared" si="8"/>
        <v>ZF475425@TRAC Corp</v>
      </c>
      <c r="Y545">
        <f>_xlfn.IFNA(_xll.BDP(X545,"INTERVAL_SUM", "MARKET_DATA_OVERRIDE=px_volume", "CALC_INTERVAL=5D"), "")</f>
        <v>4686</v>
      </c>
      <c r="Z545" t="str" cm="1">
        <f t="array" ref="Z545">_xll.BDP(B545, "CF_ACT_CASH_PAID_FOR_INT_DEBT")</f>
        <v>#N/A N/A</v>
      </c>
      <c r="AA545" t="str" cm="1">
        <f t="array" ref="AA545">_xll.BDP(B545, "TYPE_OF_BOND")</f>
        <v>#N/A Field Not Applicable</v>
      </c>
    </row>
    <row r="546" spans="1:27" x14ac:dyDescent="0.25">
      <c r="A546">
        <v>544</v>
      </c>
      <c r="B546" t="s">
        <v>1245</v>
      </c>
      <c r="C546" s="4" t="s">
        <v>1236</v>
      </c>
      <c r="D546" s="4">
        <v>410000000</v>
      </c>
      <c r="E546" t="s">
        <v>12</v>
      </c>
      <c r="F546" s="1">
        <v>48259</v>
      </c>
      <c r="G546">
        <v>8.375</v>
      </c>
      <c r="H546" t="s">
        <v>9</v>
      </c>
      <c r="L546" t="s">
        <v>1168</v>
      </c>
      <c r="M546" t="s">
        <v>35</v>
      </c>
      <c r="N546" t="s">
        <v>36</v>
      </c>
      <c r="O546" t="s">
        <v>3148</v>
      </c>
      <c r="P546" t="s">
        <v>2668</v>
      </c>
      <c r="Q546" t="s">
        <v>3169</v>
      </c>
      <c r="R546" t="s">
        <v>1246</v>
      </c>
      <c r="S546">
        <v>1347421.9918339101</v>
      </c>
      <c r="T546">
        <v>21</v>
      </c>
      <c r="U546" t="s">
        <v>1169</v>
      </c>
      <c r="W546" t="s">
        <v>1238</v>
      </c>
      <c r="X546" t="str">
        <f t="shared" si="8"/>
        <v>YR019969@TRAC Corp</v>
      </c>
      <c r="Y546">
        <f>_xlfn.IFNA(_xll.BDP(X546,"INTERVAL_SUM", "MARKET_DATA_OVERRIDE=px_volume", "CALC_INTERVAL=5D"), "")</f>
        <v>8280</v>
      </c>
      <c r="Z546" t="str" cm="1">
        <f t="array" ref="Z546">_xll.BDP(B546, "CF_ACT_CASH_PAID_FOR_INT_DEBT")</f>
        <v>#N/A N/A</v>
      </c>
      <c r="AA546" t="str" cm="1">
        <f t="array" ref="AA546">_xll.BDP(B546, "TYPE_OF_BOND")</f>
        <v>#N/A Field Not Applicable</v>
      </c>
    </row>
    <row r="547" spans="1:27" x14ac:dyDescent="0.25">
      <c r="A547">
        <v>545</v>
      </c>
      <c r="B547" t="s">
        <v>1247</v>
      </c>
      <c r="C547" s="4" t="s">
        <v>1236</v>
      </c>
      <c r="D547" s="4">
        <v>1021000000</v>
      </c>
      <c r="E547" t="s">
        <v>11</v>
      </c>
      <c r="F547" s="1">
        <v>47427</v>
      </c>
      <c r="G547">
        <v>5.968</v>
      </c>
      <c r="H547" t="s">
        <v>13</v>
      </c>
      <c r="I547" t="s">
        <v>2636</v>
      </c>
      <c r="J547">
        <v>375</v>
      </c>
      <c r="L547" t="s">
        <v>1171</v>
      </c>
      <c r="M547" t="s">
        <v>35</v>
      </c>
      <c r="N547" t="s">
        <v>36</v>
      </c>
      <c r="O547" t="s">
        <v>3148</v>
      </c>
      <c r="P547" t="s">
        <v>2668</v>
      </c>
      <c r="Q547" t="s">
        <v>3169</v>
      </c>
      <c r="R547" t="s">
        <v>1248</v>
      </c>
      <c r="S547">
        <v>3000000</v>
      </c>
      <c r="T547">
        <v>7</v>
      </c>
      <c r="V547" t="s">
        <v>227</v>
      </c>
      <c r="W547" t="s">
        <v>1238</v>
      </c>
      <c r="X547" t="str">
        <f t="shared" si="8"/>
        <v>BL457627@TRAC Corp</v>
      </c>
      <c r="Y547" t="str">
        <f>_xlfn.IFNA(_xll.BDP(X547,"INTERVAL_SUM", "MARKET_DATA_OVERRIDE=px_volume", "CALC_INTERVAL=5D"), "")</f>
        <v>#N/A N/A</v>
      </c>
      <c r="Z547" t="str" cm="1">
        <f t="array" ref="Z547">_xll.BDP(B547, "CF_ACT_CASH_PAID_FOR_INT_DEBT")</f>
        <v>#N/A N/A</v>
      </c>
      <c r="AA547" t="str" cm="1">
        <f t="array" ref="AA547">_xll.BDP(B547, "TYPE_OF_BOND")</f>
        <v>#N/A Field Not Applicable</v>
      </c>
    </row>
    <row r="548" spans="1:27" x14ac:dyDescent="0.25">
      <c r="A548">
        <v>546</v>
      </c>
      <c r="B548" t="s">
        <v>1249</v>
      </c>
      <c r="C548" s="4" t="s">
        <v>1236</v>
      </c>
      <c r="D548" s="4">
        <v>1385000000</v>
      </c>
      <c r="E548" t="s">
        <v>11</v>
      </c>
      <c r="F548" s="1">
        <v>47452</v>
      </c>
      <c r="G548">
        <v>7.1581000000000001</v>
      </c>
      <c r="H548" t="s">
        <v>13</v>
      </c>
      <c r="I548" t="s">
        <v>2635</v>
      </c>
      <c r="J548">
        <v>350</v>
      </c>
      <c r="L548" t="s">
        <v>1168</v>
      </c>
      <c r="M548" t="s">
        <v>35</v>
      </c>
      <c r="N548" t="s">
        <v>36</v>
      </c>
      <c r="O548" t="s">
        <v>3148</v>
      </c>
      <c r="P548" t="s">
        <v>2668</v>
      </c>
      <c r="Q548" t="s">
        <v>3169</v>
      </c>
      <c r="R548" t="s">
        <v>1250</v>
      </c>
      <c r="S548">
        <v>3000000</v>
      </c>
      <c r="T548">
        <v>7</v>
      </c>
      <c r="V548" t="s">
        <v>227</v>
      </c>
      <c r="W548" t="s">
        <v>1238</v>
      </c>
      <c r="X548" t="str">
        <f t="shared" si="8"/>
        <v>BL456919@TRAC Corp</v>
      </c>
      <c r="Y548" t="str">
        <f>_xlfn.IFNA(_xll.BDP(X548,"INTERVAL_SUM", "MARKET_DATA_OVERRIDE=px_volume", "CALC_INTERVAL=5D"), "")</f>
        <v>#N/A N/A</v>
      </c>
      <c r="Z548" t="str" cm="1">
        <f t="array" ref="Z548">_xll.BDP(B548, "CF_ACT_CASH_PAID_FOR_INT_DEBT")</f>
        <v>#N/A N/A</v>
      </c>
      <c r="AA548" t="str" cm="1">
        <f t="array" ref="AA548">_xll.BDP(B548, "TYPE_OF_BOND")</f>
        <v>#N/A Field Not Applicable</v>
      </c>
    </row>
    <row r="549" spans="1:27" x14ac:dyDescent="0.25">
      <c r="A549">
        <v>547</v>
      </c>
      <c r="B549" t="s">
        <v>1251</v>
      </c>
      <c r="C549" s="4" t="s">
        <v>1236</v>
      </c>
      <c r="D549" s="4">
        <v>575319000</v>
      </c>
      <c r="E549" t="s">
        <v>11</v>
      </c>
      <c r="F549" s="1">
        <v>46330</v>
      </c>
      <c r="G549">
        <v>5.2</v>
      </c>
      <c r="H549" t="s">
        <v>13</v>
      </c>
      <c r="I549" t="s">
        <v>2636</v>
      </c>
      <c r="J549">
        <v>300</v>
      </c>
      <c r="L549" t="s">
        <v>1171</v>
      </c>
      <c r="M549" t="s">
        <v>35</v>
      </c>
      <c r="N549" t="s">
        <v>36</v>
      </c>
      <c r="O549" t="s">
        <v>3148</v>
      </c>
      <c r="P549" t="s">
        <v>2668</v>
      </c>
      <c r="Q549" t="s">
        <v>3169</v>
      </c>
      <c r="R549" t="s">
        <v>1248</v>
      </c>
      <c r="S549">
        <v>3973486.8961582398</v>
      </c>
      <c r="T549">
        <v>14</v>
      </c>
      <c r="V549" t="s">
        <v>227</v>
      </c>
      <c r="W549" t="s">
        <v>1238</v>
      </c>
      <c r="X549" t="str">
        <f t="shared" si="8"/>
        <v>BL318400@TRAC Corp</v>
      </c>
      <c r="Y549" t="str">
        <f>_xlfn.IFNA(_xll.BDP(X549,"INTERVAL_SUM", "MARKET_DATA_OVERRIDE=px_volume", "CALC_INTERVAL=5D"), "")</f>
        <v>#N/A N/A</v>
      </c>
      <c r="Z549" t="str" cm="1">
        <f t="array" ref="Z549">_xll.BDP(B549, "CF_ACT_CASH_PAID_FOR_INT_DEBT")</f>
        <v>#N/A N/A</v>
      </c>
      <c r="AA549" t="str" cm="1">
        <f t="array" ref="AA549">_xll.BDP(B549, "TYPE_OF_BOND")</f>
        <v>#N/A Field Not Applicable</v>
      </c>
    </row>
    <row r="550" spans="1:27" x14ac:dyDescent="0.25">
      <c r="A550">
        <v>548</v>
      </c>
      <c r="B550" t="s">
        <v>1252</v>
      </c>
      <c r="C550" s="4" t="s">
        <v>1253</v>
      </c>
      <c r="D550" s="4">
        <v>1856000000</v>
      </c>
      <c r="E550" t="s">
        <v>11</v>
      </c>
      <c r="F550" s="1">
        <v>47025</v>
      </c>
      <c r="G550">
        <v>10.744300000000001</v>
      </c>
      <c r="H550" t="s">
        <v>13</v>
      </c>
      <c r="I550" t="s">
        <v>2635</v>
      </c>
      <c r="J550">
        <v>700</v>
      </c>
      <c r="L550" t="s">
        <v>1168</v>
      </c>
      <c r="M550" t="s">
        <v>35</v>
      </c>
      <c r="N550" t="s">
        <v>36</v>
      </c>
      <c r="O550" t="s">
        <v>3148</v>
      </c>
      <c r="P550" t="s">
        <v>2659</v>
      </c>
      <c r="Q550" t="s">
        <v>3149</v>
      </c>
      <c r="R550" t="s">
        <v>1254</v>
      </c>
      <c r="S550">
        <v>3000000</v>
      </c>
      <c r="T550">
        <v>17</v>
      </c>
      <c r="V550" t="s">
        <v>227</v>
      </c>
      <c r="W550" t="s">
        <v>1255</v>
      </c>
      <c r="X550" t="str">
        <f t="shared" si="8"/>
        <v>BL456697@TRAC Corp</v>
      </c>
      <c r="Y550" t="str">
        <f>_xlfn.IFNA(_xll.BDP(X550,"INTERVAL_SUM", "MARKET_DATA_OVERRIDE=px_volume", "CALC_INTERVAL=5D"), "")</f>
        <v>#N/A N/A</v>
      </c>
      <c r="Z550" t="str" cm="1">
        <f t="array" ref="Z550">_xll.BDP(B550, "CF_ACT_CASH_PAID_FOR_INT_DEBT")</f>
        <v>#N/A N/A</v>
      </c>
      <c r="AA550" t="str" cm="1">
        <f t="array" ref="AA550">_xll.BDP(B550, "TYPE_OF_BOND")</f>
        <v>#N/A Field Not Applicable</v>
      </c>
    </row>
    <row r="551" spans="1:27" x14ac:dyDescent="0.25">
      <c r="A551">
        <v>549</v>
      </c>
      <c r="B551" t="s">
        <v>1256</v>
      </c>
      <c r="C551" s="4" t="s">
        <v>1257</v>
      </c>
      <c r="D551" s="4">
        <v>198599859</v>
      </c>
      <c r="E551" s="1" t="s">
        <v>17</v>
      </c>
      <c r="F551" s="1">
        <v>47150</v>
      </c>
      <c r="G551">
        <v>8.0001899999999999</v>
      </c>
      <c r="H551" t="s">
        <v>13</v>
      </c>
      <c r="I551" t="s">
        <v>2635</v>
      </c>
      <c r="L551" t="s">
        <v>1168</v>
      </c>
      <c r="M551" t="s">
        <v>10</v>
      </c>
      <c r="N551" t="s">
        <v>537</v>
      </c>
      <c r="O551" t="s">
        <v>3129</v>
      </c>
      <c r="P551" t="s">
        <v>2664</v>
      </c>
      <c r="Q551" t="s">
        <v>3168</v>
      </c>
      <c r="R551" t="s">
        <v>1258</v>
      </c>
      <c r="S551">
        <v>3571925.9068187801</v>
      </c>
      <c r="T551">
        <v>11</v>
      </c>
      <c r="U551">
        <v>2025</v>
      </c>
      <c r="W551" t="s">
        <v>1259</v>
      </c>
      <c r="X551" t="str">
        <f t="shared" si="8"/>
        <v>YO932249@TRAC Corp</v>
      </c>
      <c r="Y551" t="str">
        <f>_xlfn.IFNA(_xll.BDP(X551,"INTERVAL_SUM", "MARKET_DATA_OVERRIDE=px_volume", "CALC_INTERVAL=5D"), "")</f>
        <v>#N/A N/A</v>
      </c>
      <c r="Z551" t="str" cm="1">
        <f t="array" ref="Z551">_xll.BDP(B551, "CF_ACT_CASH_PAID_FOR_INT_DEBT")</f>
        <v>#N/A N/A</v>
      </c>
      <c r="AA551" t="str" cm="1">
        <f t="array" ref="AA551">_xll.BDP(B551, "TYPE_OF_BOND")</f>
        <v>#N/A Field Not Applicable</v>
      </c>
    </row>
    <row r="552" spans="1:27" x14ac:dyDescent="0.25">
      <c r="A552">
        <v>550</v>
      </c>
      <c r="B552" t="s">
        <v>1260</v>
      </c>
      <c r="C552" s="4" t="s">
        <v>1257</v>
      </c>
      <c r="D552" s="4">
        <v>186266948.24000001</v>
      </c>
      <c r="E552" s="1" t="s">
        <v>17</v>
      </c>
      <c r="F552" s="1">
        <v>47515</v>
      </c>
      <c r="G552">
        <v>11.475429999999999</v>
      </c>
      <c r="H552" t="s">
        <v>13</v>
      </c>
      <c r="I552" t="s">
        <v>2635</v>
      </c>
      <c r="L552" t="s">
        <v>1168</v>
      </c>
      <c r="M552" t="s">
        <v>10</v>
      </c>
      <c r="N552" t="s">
        <v>537</v>
      </c>
      <c r="O552" t="s">
        <v>3129</v>
      </c>
      <c r="P552" t="s">
        <v>2664</v>
      </c>
      <c r="Q552" t="s">
        <v>3168</v>
      </c>
      <c r="R552" t="s">
        <v>1261</v>
      </c>
      <c r="S552">
        <v>-9997</v>
      </c>
      <c r="U552">
        <v>2024</v>
      </c>
      <c r="W552" t="s">
        <v>1259</v>
      </c>
      <c r="X552" t="str">
        <f t="shared" si="8"/>
        <v>YN030473@TRAC Corp</v>
      </c>
      <c r="Y552" t="str">
        <f>_xlfn.IFNA(_xll.BDP(X552,"INTERVAL_SUM", "MARKET_DATA_OVERRIDE=px_volume", "CALC_INTERVAL=5D"), "")</f>
        <v>#N/A N/A</v>
      </c>
      <c r="Z552" t="str" cm="1">
        <f t="array" ref="Z552">_xll.BDP(B552, "CF_ACT_CASH_PAID_FOR_INT_DEBT")</f>
        <v>#N/A N/A</v>
      </c>
      <c r="AA552" t="str" cm="1">
        <f t="array" ref="AA552">_xll.BDP(B552, "TYPE_OF_BOND")</f>
        <v>#N/A Field Not Applicable</v>
      </c>
    </row>
    <row r="553" spans="1:27" x14ac:dyDescent="0.25">
      <c r="A553">
        <v>551</v>
      </c>
      <c r="B553" t="s">
        <v>1262</v>
      </c>
      <c r="C553" s="4" t="s">
        <v>1257</v>
      </c>
      <c r="D553" s="4">
        <v>270162530.41000003</v>
      </c>
      <c r="E553" s="1" t="s">
        <v>11</v>
      </c>
      <c r="F553" s="1">
        <v>47515</v>
      </c>
      <c r="G553">
        <v>4.6383000000000001</v>
      </c>
      <c r="H553" t="s">
        <v>13</v>
      </c>
      <c r="I553" t="s">
        <v>2635</v>
      </c>
      <c r="J553">
        <v>100</v>
      </c>
      <c r="L553" t="s">
        <v>1168</v>
      </c>
      <c r="M553" t="s">
        <v>10</v>
      </c>
      <c r="N553" t="s">
        <v>537</v>
      </c>
      <c r="O553" t="s">
        <v>3129</v>
      </c>
      <c r="P553" t="s">
        <v>2664</v>
      </c>
      <c r="Q553" t="s">
        <v>3168</v>
      </c>
      <c r="R553" t="s">
        <v>1263</v>
      </c>
      <c r="S553">
        <v>2000000</v>
      </c>
      <c r="T553">
        <v>1</v>
      </c>
      <c r="V553" t="s">
        <v>256</v>
      </c>
      <c r="W553" t="s">
        <v>1259</v>
      </c>
      <c r="X553" t="str">
        <f t="shared" si="8"/>
        <v>BL523034@TRAC Corp</v>
      </c>
      <c r="Y553" t="str">
        <f>_xlfn.IFNA(_xll.BDP(X553,"INTERVAL_SUM", "MARKET_DATA_OVERRIDE=px_volume", "CALC_INTERVAL=5D"), "")</f>
        <v>#N/A N/A</v>
      </c>
      <c r="Z553" t="str" cm="1">
        <f t="array" ref="Z553">_xll.BDP(B553, "CF_ACT_CASH_PAID_FOR_INT_DEBT")</f>
        <v>#N/A N/A</v>
      </c>
      <c r="AA553" t="str" cm="1">
        <f t="array" ref="AA553">_xll.BDP(B553, "TYPE_OF_BOND")</f>
        <v>#N/A Field Not Applicable</v>
      </c>
    </row>
    <row r="554" spans="1:27" x14ac:dyDescent="0.25">
      <c r="A554">
        <v>552</v>
      </c>
      <c r="B554" t="s">
        <v>1264</v>
      </c>
      <c r="C554" s="4" t="s">
        <v>1257</v>
      </c>
      <c r="D554" s="4">
        <v>83935030.810000002</v>
      </c>
      <c r="E554" s="1" t="s">
        <v>11</v>
      </c>
      <c r="F554" s="1">
        <v>47150</v>
      </c>
      <c r="G554">
        <v>7.9939</v>
      </c>
      <c r="H554" t="s">
        <v>13</v>
      </c>
      <c r="I554" t="s">
        <v>2631</v>
      </c>
      <c r="J554">
        <v>425</v>
      </c>
      <c r="L554" t="s">
        <v>1168</v>
      </c>
      <c r="M554" t="s">
        <v>10</v>
      </c>
      <c r="N554" t="s">
        <v>537</v>
      </c>
      <c r="O554" t="s">
        <v>3129</v>
      </c>
      <c r="P554" t="s">
        <v>2664</v>
      </c>
      <c r="Q554" t="s">
        <v>3168</v>
      </c>
      <c r="R554" t="s">
        <v>1265</v>
      </c>
      <c r="S554">
        <v>1000000</v>
      </c>
      <c r="T554">
        <v>2</v>
      </c>
      <c r="V554" t="s">
        <v>227</v>
      </c>
      <c r="W554" t="s">
        <v>1259</v>
      </c>
      <c r="X554" t="str">
        <f t="shared" si="8"/>
        <v>BL514321@TRAC Corp</v>
      </c>
      <c r="Y554" t="str">
        <f>_xlfn.IFNA(_xll.BDP(X554,"INTERVAL_SUM", "MARKET_DATA_OVERRIDE=px_volume", "CALC_INTERVAL=5D"), "")</f>
        <v>#N/A N/A</v>
      </c>
      <c r="Z554" t="str" cm="1">
        <f t="array" ref="Z554">_xll.BDP(B554, "CF_ACT_CASH_PAID_FOR_INT_DEBT")</f>
        <v>#N/A N/A</v>
      </c>
      <c r="AA554" t="str" cm="1">
        <f t="array" ref="AA554">_xll.BDP(B554, "TYPE_OF_BOND")</f>
        <v>#N/A Field Not Applicable</v>
      </c>
    </row>
    <row r="555" spans="1:27" x14ac:dyDescent="0.25">
      <c r="A555">
        <v>553</v>
      </c>
      <c r="B555" t="s">
        <v>1266</v>
      </c>
      <c r="C555" s="4" t="s">
        <v>1257</v>
      </c>
      <c r="D555" s="4">
        <v>429696130</v>
      </c>
      <c r="E555" t="s">
        <v>11</v>
      </c>
      <c r="F555" s="1">
        <v>47515</v>
      </c>
      <c r="G555">
        <v>3.6438999999999999</v>
      </c>
      <c r="H555" t="s">
        <v>13</v>
      </c>
      <c r="I555" t="s">
        <v>2631</v>
      </c>
      <c r="J555">
        <v>0</v>
      </c>
      <c r="L555" t="s">
        <v>1168</v>
      </c>
      <c r="M555" t="s">
        <v>10</v>
      </c>
      <c r="N555" t="s">
        <v>537</v>
      </c>
      <c r="O555" t="s">
        <v>3129</v>
      </c>
      <c r="P555" t="s">
        <v>2664</v>
      </c>
      <c r="Q555" t="s">
        <v>3168</v>
      </c>
      <c r="R555" t="s">
        <v>1267</v>
      </c>
      <c r="V555" t="s">
        <v>256</v>
      </c>
      <c r="W555" t="s">
        <v>1259</v>
      </c>
      <c r="X555" t="str">
        <f t="shared" si="8"/>
        <v>BL512367@TRAC Corp</v>
      </c>
      <c r="Y555" t="str">
        <f>_xlfn.IFNA(_xll.BDP(X555,"INTERVAL_SUM", "MARKET_DATA_OVERRIDE=px_volume", "CALC_INTERVAL=5D"), "")</f>
        <v>#N/A N/A</v>
      </c>
      <c r="Z555" t="str" cm="1">
        <f t="array" ref="Z555">_xll.BDP(B555, "CF_ACT_CASH_PAID_FOR_INT_DEBT")</f>
        <v>#N/A N/A</v>
      </c>
      <c r="AA555" t="str" cm="1">
        <f t="array" ref="AA555">_xll.BDP(B555, "TYPE_OF_BOND")</f>
        <v>#N/A Field Not Applicable</v>
      </c>
    </row>
    <row r="556" spans="1:27" x14ac:dyDescent="0.25">
      <c r="A556">
        <v>554</v>
      </c>
      <c r="B556" t="s">
        <v>1268</v>
      </c>
      <c r="C556" s="4" t="s">
        <v>1257</v>
      </c>
      <c r="D556" s="4">
        <v>21363567.100000001</v>
      </c>
      <c r="E556" t="s">
        <v>11</v>
      </c>
      <c r="F556" s="1">
        <v>47515</v>
      </c>
      <c r="G556">
        <v>4.6439000000000004</v>
      </c>
      <c r="H556" t="s">
        <v>13</v>
      </c>
      <c r="I556" t="s">
        <v>2631</v>
      </c>
      <c r="J556">
        <v>100</v>
      </c>
      <c r="L556" t="s">
        <v>1168</v>
      </c>
      <c r="M556" t="s">
        <v>10</v>
      </c>
      <c r="N556" t="s">
        <v>537</v>
      </c>
      <c r="O556" t="s">
        <v>3129</v>
      </c>
      <c r="P556" t="s">
        <v>2664</v>
      </c>
      <c r="Q556" t="s">
        <v>3168</v>
      </c>
      <c r="R556" t="s">
        <v>1269</v>
      </c>
      <c r="V556" t="s">
        <v>256</v>
      </c>
      <c r="W556" t="s">
        <v>1259</v>
      </c>
      <c r="X556" t="str">
        <f t="shared" si="8"/>
        <v>BL512365@TRAC Corp</v>
      </c>
      <c r="Y556" t="str">
        <f>_xlfn.IFNA(_xll.BDP(X556,"INTERVAL_SUM", "MARKET_DATA_OVERRIDE=px_volume", "CALC_INTERVAL=5D"), "")</f>
        <v>#N/A N/A</v>
      </c>
      <c r="Z556" t="str" cm="1">
        <f t="array" ref="Z556">_xll.BDP(B556, "CF_ACT_CASH_PAID_FOR_INT_DEBT")</f>
        <v>#N/A N/A</v>
      </c>
      <c r="AA556" t="str" cm="1">
        <f t="array" ref="AA556">_xll.BDP(B556, "TYPE_OF_BOND")</f>
        <v>#N/A Field Not Applicable</v>
      </c>
    </row>
    <row r="557" spans="1:27" x14ac:dyDescent="0.25">
      <c r="A557">
        <v>555</v>
      </c>
      <c r="B557" t="s">
        <v>1270</v>
      </c>
      <c r="C557" s="4" t="s">
        <v>1257</v>
      </c>
      <c r="D557" s="4">
        <v>596305572.5</v>
      </c>
      <c r="E557" t="s">
        <v>11</v>
      </c>
      <c r="F557" s="1">
        <v>47150</v>
      </c>
      <c r="G557">
        <v>3.6438999999999999</v>
      </c>
      <c r="H557" t="s">
        <v>13</v>
      </c>
      <c r="I557" t="s">
        <v>2631</v>
      </c>
      <c r="J557">
        <v>0</v>
      </c>
      <c r="L557" t="s">
        <v>1168</v>
      </c>
      <c r="M557" t="s">
        <v>10</v>
      </c>
      <c r="N557" t="s">
        <v>537</v>
      </c>
      <c r="O557" t="s">
        <v>3129</v>
      </c>
      <c r="P557" t="s">
        <v>2664</v>
      </c>
      <c r="Q557" t="s">
        <v>3168</v>
      </c>
      <c r="R557" t="s">
        <v>1263</v>
      </c>
      <c r="V557" t="s">
        <v>256</v>
      </c>
      <c r="W557" t="s">
        <v>1259</v>
      </c>
      <c r="X557" t="str">
        <f t="shared" si="8"/>
        <v>BL512364@TRAC Corp</v>
      </c>
      <c r="Y557" t="str">
        <f>_xlfn.IFNA(_xll.BDP(X557,"INTERVAL_SUM", "MARKET_DATA_OVERRIDE=px_volume", "CALC_INTERVAL=5D"), "")</f>
        <v>#N/A N/A</v>
      </c>
      <c r="Z557" t="str" cm="1">
        <f t="array" ref="Z557">_xll.BDP(B557, "CF_ACT_CASH_PAID_FOR_INT_DEBT")</f>
        <v>#N/A N/A</v>
      </c>
      <c r="AA557" t="str" cm="1">
        <f t="array" ref="AA557">_xll.BDP(B557, "TYPE_OF_BOND")</f>
        <v>#N/A Field Not Applicable</v>
      </c>
    </row>
    <row r="558" spans="1:27" x14ac:dyDescent="0.25">
      <c r="A558">
        <v>556</v>
      </c>
      <c r="B558" t="s">
        <v>1271</v>
      </c>
      <c r="C558" s="4" t="s">
        <v>1257</v>
      </c>
      <c r="D558" s="4">
        <v>1837468147.1500001</v>
      </c>
      <c r="E558" t="s">
        <v>11</v>
      </c>
      <c r="F558" s="1">
        <v>47150</v>
      </c>
      <c r="G558">
        <v>8.0657999999999994</v>
      </c>
      <c r="H558" t="s">
        <v>13</v>
      </c>
      <c r="I558" t="s">
        <v>2635</v>
      </c>
      <c r="J558">
        <v>425</v>
      </c>
      <c r="L558" t="s">
        <v>1168</v>
      </c>
      <c r="M558" t="s">
        <v>10</v>
      </c>
      <c r="N558" t="s">
        <v>537</v>
      </c>
      <c r="O558" t="s">
        <v>3129</v>
      </c>
      <c r="P558" t="s">
        <v>2664</v>
      </c>
      <c r="Q558" t="s">
        <v>3168</v>
      </c>
      <c r="R558" t="s">
        <v>1265</v>
      </c>
      <c r="S558">
        <v>3000000</v>
      </c>
      <c r="T558">
        <v>5</v>
      </c>
      <c r="V558" t="s">
        <v>227</v>
      </c>
      <c r="W558" t="s">
        <v>1259</v>
      </c>
      <c r="X558" t="str">
        <f t="shared" si="8"/>
        <v>BL512363@TRAC Corp</v>
      </c>
      <c r="Y558" t="str">
        <f>_xlfn.IFNA(_xll.BDP(X558,"INTERVAL_SUM", "MARKET_DATA_OVERRIDE=px_volume", "CALC_INTERVAL=5D"), "")</f>
        <v>#N/A N/A</v>
      </c>
      <c r="Z558" t="str" cm="1">
        <f t="array" ref="Z558">_xll.BDP(B558, "CF_ACT_CASH_PAID_FOR_INT_DEBT")</f>
        <v>#N/A N/A</v>
      </c>
      <c r="AA558" t="str" cm="1">
        <f t="array" ref="AA558">_xll.BDP(B558, "TYPE_OF_BOND")</f>
        <v>#N/A Field Not Applicable</v>
      </c>
    </row>
    <row r="559" spans="1:27" x14ac:dyDescent="0.25">
      <c r="A559">
        <v>557</v>
      </c>
      <c r="B559" t="s">
        <v>1272</v>
      </c>
      <c r="C559" s="4" t="s">
        <v>1257</v>
      </c>
      <c r="D559" s="4">
        <v>350000000</v>
      </c>
      <c r="E559" t="s">
        <v>11</v>
      </c>
      <c r="F559" s="1">
        <v>47150</v>
      </c>
      <c r="G559">
        <v>9.6439000000000004</v>
      </c>
      <c r="H559" t="s">
        <v>13</v>
      </c>
      <c r="I559" t="s">
        <v>2631</v>
      </c>
      <c r="J559">
        <v>600</v>
      </c>
      <c r="L559" t="s">
        <v>1168</v>
      </c>
      <c r="M559" t="s">
        <v>10</v>
      </c>
      <c r="N559" t="s">
        <v>537</v>
      </c>
      <c r="O559" t="s">
        <v>3129</v>
      </c>
      <c r="P559" t="s">
        <v>2664</v>
      </c>
      <c r="Q559" t="s">
        <v>3168</v>
      </c>
      <c r="R559" t="s">
        <v>1265</v>
      </c>
      <c r="S559">
        <v>2000000</v>
      </c>
      <c r="T559">
        <v>14</v>
      </c>
      <c r="V559" t="s">
        <v>227</v>
      </c>
      <c r="W559" t="s">
        <v>1259</v>
      </c>
      <c r="X559" t="str">
        <f t="shared" si="8"/>
        <v>BL512361@TRAC Corp</v>
      </c>
      <c r="Y559" t="str">
        <f>_xlfn.IFNA(_xll.BDP(X559,"INTERVAL_SUM", "MARKET_DATA_OVERRIDE=px_volume", "CALC_INTERVAL=5D"), "")</f>
        <v>#N/A N/A</v>
      </c>
      <c r="Z559" t="str" cm="1">
        <f t="array" ref="Z559">_xll.BDP(B559, "CF_ACT_CASH_PAID_FOR_INT_DEBT")</f>
        <v>#N/A N/A</v>
      </c>
      <c r="AA559" t="str" cm="1">
        <f t="array" ref="AA559">_xll.BDP(B559, "TYPE_OF_BOND")</f>
        <v>#N/A Field Not Applicable</v>
      </c>
    </row>
    <row r="560" spans="1:27" x14ac:dyDescent="0.25">
      <c r="A560">
        <v>558</v>
      </c>
      <c r="B560" t="s">
        <v>3408</v>
      </c>
      <c r="C560" s="4" t="s">
        <v>3409</v>
      </c>
      <c r="D560" s="4">
        <v>476807870</v>
      </c>
      <c r="E560" t="s">
        <v>33</v>
      </c>
      <c r="F560" s="1">
        <v>47270</v>
      </c>
      <c r="G560">
        <v>10.914</v>
      </c>
      <c r="H560" t="s">
        <v>13</v>
      </c>
      <c r="I560" t="s">
        <v>2635</v>
      </c>
      <c r="J560">
        <v>725</v>
      </c>
      <c r="L560" t="s">
        <v>1168</v>
      </c>
      <c r="M560" t="s">
        <v>10</v>
      </c>
      <c r="N560" t="s">
        <v>15</v>
      </c>
      <c r="O560" t="s">
        <v>3110</v>
      </c>
      <c r="P560" t="s">
        <v>2637</v>
      </c>
      <c r="Q560" t="s">
        <v>3112</v>
      </c>
      <c r="R560" t="s">
        <v>3410</v>
      </c>
      <c r="S560">
        <v>2000000</v>
      </c>
      <c r="T560">
        <v>1</v>
      </c>
      <c r="V560" t="s">
        <v>227</v>
      </c>
      <c r="W560" t="s">
        <v>3411</v>
      </c>
      <c r="X560" t="str">
        <f t="shared" si="8"/>
        <v>BL511671@TRAC Corp</v>
      </c>
      <c r="Y560" t="str">
        <f>_xlfn.IFNA(_xll.BDP(X560,"INTERVAL_SUM", "MARKET_DATA_OVERRIDE=px_volume", "CALC_INTERVAL=5D"), "")</f>
        <v>#N/A N/A</v>
      </c>
      <c r="Z560" t="str" cm="1">
        <f t="array" ref="Z560">_xll.BDP(B560, "CF_ACT_CASH_PAID_FOR_INT_DEBT")</f>
        <v>#N/A N/A</v>
      </c>
      <c r="AA560" t="str" cm="1">
        <f t="array" ref="AA560">_xll.BDP(B560, "TYPE_OF_BOND")</f>
        <v>#N/A Field Not Applicable</v>
      </c>
    </row>
    <row r="561" spans="1:27" x14ac:dyDescent="0.25">
      <c r="A561">
        <v>559</v>
      </c>
      <c r="B561" t="s">
        <v>3412</v>
      </c>
      <c r="C561" s="4" t="s">
        <v>3409</v>
      </c>
      <c r="D561" s="4">
        <v>1781533187.5899999</v>
      </c>
      <c r="E561" t="s">
        <v>11</v>
      </c>
      <c r="F561" s="1">
        <v>47270</v>
      </c>
      <c r="G561">
        <v>8.4139999999999997</v>
      </c>
      <c r="H561" t="s">
        <v>13</v>
      </c>
      <c r="I561" t="s">
        <v>2635</v>
      </c>
      <c r="J561">
        <v>475</v>
      </c>
      <c r="L561" t="s">
        <v>1168</v>
      </c>
      <c r="M561" t="s">
        <v>10</v>
      </c>
      <c r="N561" t="s">
        <v>15</v>
      </c>
      <c r="O561" t="s">
        <v>3110</v>
      </c>
      <c r="P561" t="s">
        <v>2637</v>
      </c>
      <c r="Q561" t="s">
        <v>3112</v>
      </c>
      <c r="R561" t="s">
        <v>3413</v>
      </c>
      <c r="S561">
        <v>3000000</v>
      </c>
      <c r="T561">
        <v>4</v>
      </c>
      <c r="V561" t="s">
        <v>227</v>
      </c>
      <c r="W561" t="s">
        <v>3411</v>
      </c>
      <c r="X561" t="str">
        <f t="shared" si="8"/>
        <v>BL509344@TRAC Corp</v>
      </c>
      <c r="Y561" t="str">
        <f>_xlfn.IFNA(_xll.BDP(X561,"INTERVAL_SUM", "MARKET_DATA_OVERRIDE=px_volume", "CALC_INTERVAL=5D"), "")</f>
        <v>#N/A N/A</v>
      </c>
      <c r="Z561" t="str" cm="1">
        <f t="array" ref="Z561">_xll.BDP(B561, "CF_ACT_CASH_PAID_FOR_INT_DEBT")</f>
        <v>#N/A N/A</v>
      </c>
      <c r="AA561" t="str" cm="1">
        <f t="array" ref="AA561">_xll.BDP(B561, "TYPE_OF_BOND")</f>
        <v>#N/A Field Not Applicable</v>
      </c>
    </row>
    <row r="562" spans="1:27" x14ac:dyDescent="0.25">
      <c r="A562">
        <v>560</v>
      </c>
      <c r="B562" t="s">
        <v>3414</v>
      </c>
      <c r="C562" s="4" t="s">
        <v>3409</v>
      </c>
      <c r="D562" s="4">
        <v>200000000</v>
      </c>
      <c r="E562" t="s">
        <v>11</v>
      </c>
      <c r="F562" s="1">
        <v>46623</v>
      </c>
      <c r="G562">
        <v>11.4602</v>
      </c>
      <c r="H562" t="s">
        <v>13</v>
      </c>
      <c r="I562" t="s">
        <v>2652</v>
      </c>
      <c r="J562">
        <v>650</v>
      </c>
      <c r="L562" t="s">
        <v>1168</v>
      </c>
      <c r="M562" t="s">
        <v>10</v>
      </c>
      <c r="N562" t="s">
        <v>15</v>
      </c>
      <c r="O562" t="s">
        <v>3110</v>
      </c>
      <c r="P562" t="s">
        <v>2634</v>
      </c>
      <c r="Q562" t="s">
        <v>3115</v>
      </c>
      <c r="R562" t="s">
        <v>3415</v>
      </c>
      <c r="S562">
        <v>2817903.4801825401</v>
      </c>
      <c r="T562">
        <v>14</v>
      </c>
      <c r="V562" t="s">
        <v>227</v>
      </c>
      <c r="W562" t="s">
        <v>3411</v>
      </c>
      <c r="X562" t="str">
        <f t="shared" si="8"/>
        <v>BL343630@TRAC Corp</v>
      </c>
      <c r="Y562" t="str">
        <f>_xlfn.IFNA(_xll.BDP(X562,"INTERVAL_SUM", "MARKET_DATA_OVERRIDE=px_volume", "CALC_INTERVAL=5D"), "")</f>
        <v>#N/A N/A</v>
      </c>
      <c r="Z562" t="str" cm="1">
        <f t="array" ref="Z562">_xll.BDP(B562, "CF_ACT_CASH_PAID_FOR_INT_DEBT")</f>
        <v>#N/A N/A</v>
      </c>
      <c r="AA562" t="str" cm="1">
        <f t="array" ref="AA562">_xll.BDP(B562, "TYPE_OF_BOND")</f>
        <v>#N/A Field Not Applicable</v>
      </c>
    </row>
    <row r="563" spans="1:27" x14ac:dyDescent="0.25">
      <c r="A563">
        <v>561</v>
      </c>
      <c r="B563" t="s">
        <v>1273</v>
      </c>
      <c r="C563" s="4" t="s">
        <v>1274</v>
      </c>
      <c r="D563" s="4">
        <v>725000000</v>
      </c>
      <c r="E563" t="s">
        <v>11</v>
      </c>
      <c r="F563" s="1">
        <v>48136</v>
      </c>
      <c r="G563">
        <v>9.5</v>
      </c>
      <c r="H563" t="s">
        <v>9</v>
      </c>
      <c r="L563" t="s">
        <v>1168</v>
      </c>
      <c r="M563" t="s">
        <v>10</v>
      </c>
      <c r="N563" t="s">
        <v>333</v>
      </c>
      <c r="O563" t="s">
        <v>3210</v>
      </c>
      <c r="P563" t="s">
        <v>2677</v>
      </c>
      <c r="Q563" t="s">
        <v>3247</v>
      </c>
      <c r="R563" t="s">
        <v>1275</v>
      </c>
      <c r="S563">
        <v>14873755.914900299</v>
      </c>
      <c r="T563">
        <v>36</v>
      </c>
      <c r="U563" t="s">
        <v>1169</v>
      </c>
      <c r="W563" t="s">
        <v>1276</v>
      </c>
      <c r="X563" t="str">
        <f t="shared" si="8"/>
        <v>ZH022463@TRAC Corp</v>
      </c>
      <c r="Y563">
        <f>_xlfn.IFNA(_xll.BDP(X563,"INTERVAL_SUM", "MARKET_DATA_OVERRIDE=px_volume", "CALC_INTERVAL=5D"), "")</f>
        <v>6481</v>
      </c>
      <c r="Z563" t="str" cm="1">
        <f t="array" ref="Z563">_xll.BDP(B563, "CF_ACT_CASH_PAID_FOR_INT_DEBT")</f>
        <v>#N/A N/A</v>
      </c>
      <c r="AA563" t="str" cm="1">
        <f t="array" ref="AA563">_xll.BDP(B563, "TYPE_OF_BOND")</f>
        <v>#N/A Field Not Applicable</v>
      </c>
    </row>
    <row r="564" spans="1:27" x14ac:dyDescent="0.25">
      <c r="A564">
        <v>562</v>
      </c>
      <c r="B564" t="s">
        <v>1277</v>
      </c>
      <c r="C564" s="4" t="s">
        <v>1274</v>
      </c>
      <c r="D564" s="4">
        <v>5000000</v>
      </c>
      <c r="E564" t="s">
        <v>33</v>
      </c>
      <c r="F564" s="1">
        <v>46751</v>
      </c>
      <c r="G564">
        <v>12.793900000000001</v>
      </c>
      <c r="H564" t="s">
        <v>13</v>
      </c>
      <c r="I564" t="s">
        <v>2631</v>
      </c>
      <c r="J564">
        <v>915</v>
      </c>
      <c r="L564" t="s">
        <v>1168</v>
      </c>
      <c r="N564" t="s">
        <v>333</v>
      </c>
      <c r="O564" t="s">
        <v>3210</v>
      </c>
      <c r="R564" t="s">
        <v>1278</v>
      </c>
      <c r="V564" t="s">
        <v>227</v>
      </c>
      <c r="W564" t="s">
        <v>1276</v>
      </c>
      <c r="X564" t="str">
        <f t="shared" si="8"/>
        <v>BL495430@TRAC Corp</v>
      </c>
      <c r="Y564" t="str">
        <f>_xlfn.IFNA(_xll.BDP(X564,"INTERVAL_SUM", "MARKET_DATA_OVERRIDE=px_volume", "CALC_INTERVAL=5D"), "")</f>
        <v>#N/A N/A</v>
      </c>
      <c r="Z564" t="str" cm="1">
        <f t="array" ref="Z564">_xll.BDP(B564, "CF_ACT_CASH_PAID_FOR_INT_DEBT")</f>
        <v>#N/A N/A</v>
      </c>
      <c r="AA564" t="str" cm="1">
        <f t="array" ref="AA564">_xll.BDP(B564, "TYPE_OF_BOND")</f>
        <v>#N/A Field Not Applicable</v>
      </c>
    </row>
    <row r="565" spans="1:27" x14ac:dyDescent="0.25">
      <c r="A565">
        <v>563</v>
      </c>
      <c r="B565" t="s">
        <v>1279</v>
      </c>
      <c r="C565" s="4" t="s">
        <v>1274</v>
      </c>
      <c r="D565" s="4">
        <v>1045000000</v>
      </c>
      <c r="E565" t="s">
        <v>11</v>
      </c>
      <c r="F565" s="1">
        <v>47836</v>
      </c>
      <c r="G565">
        <v>8.1410999999999998</v>
      </c>
      <c r="H565" t="s">
        <v>13</v>
      </c>
      <c r="I565" t="s">
        <v>2635</v>
      </c>
      <c r="J565">
        <v>450</v>
      </c>
      <c r="L565" t="s">
        <v>1168</v>
      </c>
      <c r="M565" t="s">
        <v>10</v>
      </c>
      <c r="N565" t="s">
        <v>333</v>
      </c>
      <c r="O565" t="s">
        <v>3210</v>
      </c>
      <c r="P565" t="s">
        <v>2643</v>
      </c>
      <c r="Q565" t="s">
        <v>3224</v>
      </c>
      <c r="R565" t="s">
        <v>1280</v>
      </c>
      <c r="S565">
        <v>3000000</v>
      </c>
      <c r="T565">
        <v>23</v>
      </c>
      <c r="V565" t="s">
        <v>227</v>
      </c>
      <c r="W565" t="s">
        <v>1276</v>
      </c>
      <c r="X565" t="str">
        <f t="shared" si="8"/>
        <v>BL441755@TRAC Corp</v>
      </c>
      <c r="Y565" t="str">
        <f>_xlfn.IFNA(_xll.BDP(X565,"INTERVAL_SUM", "MARKET_DATA_OVERRIDE=px_volume", "CALC_INTERVAL=5D"), "")</f>
        <v>#N/A N/A</v>
      </c>
      <c r="Z565" t="str" cm="1">
        <f t="array" ref="Z565">_xll.BDP(B565, "CF_ACT_CASH_PAID_FOR_INT_DEBT")</f>
        <v>#N/A N/A</v>
      </c>
      <c r="AA565" t="str" cm="1">
        <f t="array" ref="AA565">_xll.BDP(B565, "TYPE_OF_BOND")</f>
        <v>#N/A Field Not Applicable</v>
      </c>
    </row>
    <row r="566" spans="1:27" x14ac:dyDescent="0.25">
      <c r="A566">
        <v>564</v>
      </c>
      <c r="B566" t="s">
        <v>1281</v>
      </c>
      <c r="C566" s="4" t="s">
        <v>1282</v>
      </c>
      <c r="D566" s="4">
        <v>500000000</v>
      </c>
      <c r="E566" s="1" t="s">
        <v>11</v>
      </c>
      <c r="F566" s="1">
        <v>48502</v>
      </c>
      <c r="G566">
        <v>7.25</v>
      </c>
      <c r="H566" t="s">
        <v>9</v>
      </c>
      <c r="L566" t="s">
        <v>1168</v>
      </c>
      <c r="M566" t="s">
        <v>10</v>
      </c>
      <c r="N566" t="s">
        <v>36</v>
      </c>
      <c r="O566" t="s">
        <v>3148</v>
      </c>
      <c r="P566" t="s">
        <v>2659</v>
      </c>
      <c r="Q566" t="s">
        <v>3179</v>
      </c>
      <c r="R566" t="s">
        <v>1283</v>
      </c>
      <c r="S566">
        <v>5269685.19666065</v>
      </c>
      <c r="T566">
        <v>20</v>
      </c>
      <c r="U566" t="s">
        <v>1169</v>
      </c>
      <c r="W566" t="s">
        <v>1284</v>
      </c>
      <c r="X566" t="str">
        <f t="shared" si="8"/>
        <v>YK048456@TRAC Corp</v>
      </c>
      <c r="Y566">
        <f>_xlfn.IFNA(_xll.BDP(X566,"INTERVAL_SUM", "MARKET_DATA_OVERRIDE=px_volume", "CALC_INTERVAL=5D"), "")</f>
        <v>26329</v>
      </c>
      <c r="Z566" cm="1">
        <f t="array" ref="Z566">_xll.BDP(B566, "CF_ACT_CASH_PAID_FOR_INT_DEBT")</f>
        <v>175.10599999999999</v>
      </c>
      <c r="AA566" t="str" cm="1">
        <f t="array" ref="AA566">_xll.BDP(B566, "TYPE_OF_BOND")</f>
        <v>#N/A Field Not Applicable</v>
      </c>
    </row>
    <row r="567" spans="1:27" x14ac:dyDescent="0.25">
      <c r="A567">
        <v>565</v>
      </c>
      <c r="B567" t="s">
        <v>1285</v>
      </c>
      <c r="C567" s="4" t="s">
        <v>1282</v>
      </c>
      <c r="D567" s="4">
        <v>1194000000</v>
      </c>
      <c r="E567" s="1" t="s">
        <v>11</v>
      </c>
      <c r="F567" s="1">
        <v>48479</v>
      </c>
      <c r="G567">
        <v>6.9295</v>
      </c>
      <c r="H567" t="s">
        <v>13</v>
      </c>
      <c r="I567" t="s">
        <v>2631</v>
      </c>
      <c r="J567">
        <v>325</v>
      </c>
      <c r="L567" t="s">
        <v>1168</v>
      </c>
      <c r="M567" t="s">
        <v>10</v>
      </c>
      <c r="N567" t="s">
        <v>36</v>
      </c>
      <c r="O567" t="s">
        <v>3148</v>
      </c>
      <c r="P567" t="s">
        <v>2659</v>
      </c>
      <c r="Q567" t="s">
        <v>3179</v>
      </c>
      <c r="R567" t="s">
        <v>1286</v>
      </c>
      <c r="S567">
        <v>2000000</v>
      </c>
      <c r="T567">
        <v>11</v>
      </c>
      <c r="V567" t="s">
        <v>227</v>
      </c>
      <c r="W567" t="s">
        <v>1284</v>
      </c>
      <c r="X567" t="str">
        <f t="shared" si="8"/>
        <v>BL523157@TRAC Corp</v>
      </c>
      <c r="Y567" t="str">
        <f>_xlfn.IFNA(_xll.BDP(X567,"INTERVAL_SUM", "MARKET_DATA_OVERRIDE=px_volume", "CALC_INTERVAL=5D"), "")</f>
        <v>#N/A N/A</v>
      </c>
      <c r="Z567" cm="1">
        <f t="array" ref="Z567">_xll.BDP(B567, "CF_ACT_CASH_PAID_FOR_INT_DEBT")</f>
        <v>175.10599999999999</v>
      </c>
      <c r="AA567" t="str" cm="1">
        <f t="array" ref="AA567">_xll.BDP(B567, "TYPE_OF_BOND")</f>
        <v>#N/A Field Not Applicable</v>
      </c>
    </row>
    <row r="568" spans="1:27" x14ac:dyDescent="0.25">
      <c r="A568">
        <v>566</v>
      </c>
      <c r="B568" t="s">
        <v>1287</v>
      </c>
      <c r="C568" s="4" t="s">
        <v>1282</v>
      </c>
      <c r="D568" s="4">
        <v>65000000</v>
      </c>
      <c r="E568" s="1" t="s">
        <v>11</v>
      </c>
      <c r="F568" s="1">
        <v>47749</v>
      </c>
      <c r="G568">
        <v>6.1795</v>
      </c>
      <c r="H568" t="s">
        <v>13</v>
      </c>
      <c r="I568" t="s">
        <v>2631</v>
      </c>
      <c r="J568">
        <v>250</v>
      </c>
      <c r="L568" t="s">
        <v>1168</v>
      </c>
      <c r="M568" t="s">
        <v>10</v>
      </c>
      <c r="N568" t="s">
        <v>36</v>
      </c>
      <c r="O568" t="s">
        <v>3148</v>
      </c>
      <c r="P568" t="s">
        <v>2659</v>
      </c>
      <c r="Q568" t="s">
        <v>3179</v>
      </c>
      <c r="R568" t="s">
        <v>1288</v>
      </c>
      <c r="V568" t="s">
        <v>226</v>
      </c>
      <c r="W568" t="s">
        <v>1284</v>
      </c>
      <c r="X568" t="str">
        <f t="shared" si="8"/>
        <v>BL246383@TRAC Corp</v>
      </c>
      <c r="Y568" t="str">
        <f>_xlfn.IFNA(_xll.BDP(X568,"INTERVAL_SUM", "MARKET_DATA_OVERRIDE=px_volume", "CALC_INTERVAL=5D"), "")</f>
        <v>#N/A N/A</v>
      </c>
      <c r="Z568" cm="1">
        <f t="array" ref="Z568">_xll.BDP(B568, "CF_ACT_CASH_PAID_FOR_INT_DEBT")</f>
        <v>175.10599999999999</v>
      </c>
      <c r="AA568" t="str" cm="1">
        <f t="array" ref="AA568">_xll.BDP(B568, "TYPE_OF_BOND")</f>
        <v>#N/A Field Not Applicable</v>
      </c>
    </row>
    <row r="569" spans="1:27" x14ac:dyDescent="0.25">
      <c r="A569">
        <v>567</v>
      </c>
      <c r="B569" t="s">
        <v>1289</v>
      </c>
      <c r="C569" s="4" t="s">
        <v>1282</v>
      </c>
      <c r="D569" s="4">
        <v>200000000</v>
      </c>
      <c r="E569" s="1" t="s">
        <v>331</v>
      </c>
      <c r="F569" s="1"/>
      <c r="G569">
        <v>5.5</v>
      </c>
      <c r="H569" t="s">
        <v>64</v>
      </c>
      <c r="L569" t="s">
        <v>1168</v>
      </c>
      <c r="M569" t="s">
        <v>10</v>
      </c>
      <c r="N569" t="s">
        <v>36</v>
      </c>
      <c r="O569" t="s">
        <v>3148</v>
      </c>
      <c r="P569" t="s">
        <v>2659</v>
      </c>
      <c r="Q569" t="s">
        <v>3179</v>
      </c>
      <c r="R569" t="s">
        <v>1290</v>
      </c>
      <c r="S569">
        <v>121.4616484375</v>
      </c>
      <c r="T569">
        <v>52</v>
      </c>
      <c r="U569" t="s">
        <v>1176</v>
      </c>
      <c r="W569" t="s">
        <v>1284</v>
      </c>
      <c r="X569" t="str">
        <f t="shared" si="8"/>
        <v>EP060073 Pfd</v>
      </c>
      <c r="Y569" t="str">
        <f>_xlfn.IFNA(_xll.BDP(X569,"INTERVAL_SUM", "MARKET_DATA_OVERRIDE=px_volume", "CALC_INTERVAL=5D"), "")</f>
        <v>#N/A N/A</v>
      </c>
      <c r="Z569" cm="1">
        <f t="array" ref="Z569">_xll.BDP(B569, "CF_ACT_CASH_PAID_FOR_INT_DEBT")</f>
        <v>175.10599999999999</v>
      </c>
      <c r="AA569" t="str" cm="1">
        <f t="array" ref="AA569">_xll.BDP(B569, "TYPE_OF_BOND")</f>
        <v>#N/A Field Not Applicable</v>
      </c>
    </row>
    <row r="570" spans="1:27" x14ac:dyDescent="0.25">
      <c r="A570">
        <v>568</v>
      </c>
      <c r="B570" t="s">
        <v>3416</v>
      </c>
      <c r="C570" s="4" t="s">
        <v>3417</v>
      </c>
      <c r="D570" s="4">
        <v>300000000</v>
      </c>
      <c r="E570" s="1" t="s">
        <v>11</v>
      </c>
      <c r="F570" s="1">
        <v>48626</v>
      </c>
      <c r="G570">
        <v>5.2990000000000004</v>
      </c>
      <c r="H570" t="s">
        <v>9</v>
      </c>
      <c r="L570" t="s">
        <v>1175</v>
      </c>
      <c r="M570" t="s">
        <v>19</v>
      </c>
      <c r="N570" t="s">
        <v>16</v>
      </c>
      <c r="O570" t="s">
        <v>3106</v>
      </c>
      <c r="P570" t="s">
        <v>2629</v>
      </c>
      <c r="Q570" t="s">
        <v>3107</v>
      </c>
      <c r="R570" t="s">
        <v>3418</v>
      </c>
      <c r="S570">
        <v>10927951.9309319</v>
      </c>
      <c r="T570">
        <v>41</v>
      </c>
      <c r="W570" t="s">
        <v>3419</v>
      </c>
      <c r="X570" t="str">
        <f t="shared" si="8"/>
        <v>ZL050201@TRAC Corp</v>
      </c>
      <c r="Y570" t="str">
        <f>_xlfn.IFNA(_xll.BDP(X570,"INTERVAL_SUM", "MARKET_DATA_OVERRIDE=px_volume", "CALC_INTERVAL=5D"), "")</f>
        <v>#N/A N/A</v>
      </c>
      <c r="Z570" cm="1">
        <f t="array" ref="Z570">_xll.BDP(B570, "CF_ACT_CASH_PAID_FOR_INT_DEBT")</f>
        <v>268.899</v>
      </c>
      <c r="AA570" t="str" cm="1">
        <f t="array" ref="AA570">_xll.BDP(B570, "TYPE_OF_BOND")</f>
        <v>#N/A Field Not Applicable</v>
      </c>
    </row>
    <row r="571" spans="1:27" x14ac:dyDescent="0.25">
      <c r="A571">
        <v>569</v>
      </c>
      <c r="B571" t="s">
        <v>3420</v>
      </c>
      <c r="C571" s="4" t="s">
        <v>3417</v>
      </c>
      <c r="D571" s="4">
        <v>275000000</v>
      </c>
      <c r="E571" s="1" t="s">
        <v>17</v>
      </c>
      <c r="F571" s="1">
        <v>47176</v>
      </c>
      <c r="G571">
        <v>6.125</v>
      </c>
      <c r="H571" t="s">
        <v>9</v>
      </c>
      <c r="L571" t="s">
        <v>1175</v>
      </c>
      <c r="M571" t="s">
        <v>19</v>
      </c>
      <c r="N571" t="s">
        <v>16</v>
      </c>
      <c r="O571" t="s">
        <v>3106</v>
      </c>
      <c r="P571" t="s">
        <v>2629</v>
      </c>
      <c r="Q571" t="s">
        <v>3107</v>
      </c>
      <c r="R571" t="s">
        <v>3421</v>
      </c>
      <c r="S571">
        <v>32759944.6300372</v>
      </c>
      <c r="T571">
        <v>80</v>
      </c>
      <c r="W571" t="s">
        <v>3419</v>
      </c>
      <c r="X571" t="str">
        <f t="shared" si="8"/>
        <v>ZD252277@TRAC Corp</v>
      </c>
      <c r="Y571" t="str">
        <f>_xlfn.IFNA(_xll.BDP(X571,"INTERVAL_SUM", "MARKET_DATA_OVERRIDE=px_volume", "CALC_INTERVAL=5D"), "")</f>
        <v>#N/A N/A</v>
      </c>
      <c r="Z571" cm="1">
        <f t="array" ref="Z571">_xll.BDP(B571, "CF_ACT_CASH_PAID_FOR_INT_DEBT")</f>
        <v>268.899</v>
      </c>
      <c r="AA571" t="str" cm="1">
        <f t="array" ref="AA571">_xll.BDP(B571, "TYPE_OF_BOND")</f>
        <v>#N/A Field Not Applicable</v>
      </c>
    </row>
    <row r="572" spans="1:27" x14ac:dyDescent="0.25">
      <c r="A572">
        <v>570</v>
      </c>
      <c r="B572" t="s">
        <v>3422</v>
      </c>
      <c r="C572" s="4" t="s">
        <v>3417</v>
      </c>
      <c r="D572" s="4">
        <v>325000000</v>
      </c>
      <c r="E572" s="1" t="s">
        <v>11</v>
      </c>
      <c r="F572" s="1">
        <v>49346</v>
      </c>
      <c r="G572">
        <v>4.7430000000000003</v>
      </c>
      <c r="H572" t="s">
        <v>9</v>
      </c>
      <c r="L572" t="s">
        <v>1175</v>
      </c>
      <c r="M572" t="s">
        <v>19</v>
      </c>
      <c r="N572" t="s">
        <v>16</v>
      </c>
      <c r="O572" t="s">
        <v>3106</v>
      </c>
      <c r="P572" t="s">
        <v>2629</v>
      </c>
      <c r="Q572" t="s">
        <v>3107</v>
      </c>
      <c r="R572" t="s">
        <v>3423</v>
      </c>
      <c r="S572">
        <v>15349757.3529095</v>
      </c>
      <c r="T572">
        <v>36</v>
      </c>
      <c r="W572" t="s">
        <v>3419</v>
      </c>
      <c r="X572" t="str">
        <f t="shared" si="8"/>
        <v>YR260246@TRAC Corp</v>
      </c>
      <c r="Y572" t="str">
        <f>_xlfn.IFNA(_xll.BDP(X572,"INTERVAL_SUM", "MARKET_DATA_OVERRIDE=px_volume", "CALC_INTERVAL=5D"), "")</f>
        <v>#N/A N/A</v>
      </c>
      <c r="Z572" cm="1">
        <f t="array" ref="Z572">_xll.BDP(B572, "CF_ACT_CASH_PAID_FOR_INT_DEBT")</f>
        <v>268.899</v>
      </c>
      <c r="AA572" t="str" cm="1">
        <f t="array" ref="AA572">_xll.BDP(B572, "TYPE_OF_BOND")</f>
        <v>#N/A Field Not Applicable</v>
      </c>
    </row>
    <row r="573" spans="1:27" x14ac:dyDescent="0.25">
      <c r="A573">
        <v>571</v>
      </c>
      <c r="B573" t="s">
        <v>3424</v>
      </c>
      <c r="C573" s="4" t="s">
        <v>3417</v>
      </c>
      <c r="D573" s="4">
        <v>500000000</v>
      </c>
      <c r="E573" s="1" t="s">
        <v>11</v>
      </c>
      <c r="F573" s="1">
        <v>48113</v>
      </c>
      <c r="G573">
        <v>2.9910000000000001</v>
      </c>
      <c r="H573" t="s">
        <v>9</v>
      </c>
      <c r="L573" t="s">
        <v>1175</v>
      </c>
      <c r="M573" t="s">
        <v>19</v>
      </c>
      <c r="N573" t="s">
        <v>16</v>
      </c>
      <c r="O573" t="s">
        <v>3106</v>
      </c>
      <c r="P573" t="s">
        <v>2629</v>
      </c>
      <c r="Q573" t="s">
        <v>3107</v>
      </c>
      <c r="R573" t="s">
        <v>3425</v>
      </c>
      <c r="S573">
        <v>22756477.144551001</v>
      </c>
      <c r="T573">
        <v>49</v>
      </c>
      <c r="W573" t="s">
        <v>3419</v>
      </c>
      <c r="X573" t="str">
        <f t="shared" si="8"/>
        <v>BR429942@TRAC Corp</v>
      </c>
      <c r="Y573" t="str">
        <f>_xlfn.IFNA(_xll.BDP(X573,"INTERVAL_SUM", "MARKET_DATA_OVERRIDE=px_volume", "CALC_INTERVAL=5D"), "")</f>
        <v>#N/A N/A</v>
      </c>
      <c r="Z573" cm="1">
        <f t="array" ref="Z573">_xll.BDP(B573, "CF_ACT_CASH_PAID_FOR_INT_DEBT")</f>
        <v>268.899</v>
      </c>
      <c r="AA573" t="str" cm="1">
        <f t="array" ref="AA573">_xll.BDP(B573, "TYPE_OF_BOND")</f>
        <v>#N/A Field Not Applicable</v>
      </c>
    </row>
    <row r="574" spans="1:27" x14ac:dyDescent="0.25">
      <c r="A574">
        <v>572</v>
      </c>
      <c r="B574" t="s">
        <v>3426</v>
      </c>
      <c r="C574" s="4" t="s">
        <v>3417</v>
      </c>
      <c r="D574" s="4">
        <v>150000000</v>
      </c>
      <c r="E574" s="1" t="s">
        <v>12</v>
      </c>
      <c r="F574" s="1">
        <v>46266</v>
      </c>
      <c r="G574">
        <v>4.29</v>
      </c>
      <c r="H574" t="s">
        <v>9</v>
      </c>
      <c r="L574" t="s">
        <v>1168</v>
      </c>
      <c r="M574" t="s">
        <v>19</v>
      </c>
      <c r="N574" t="s">
        <v>16</v>
      </c>
      <c r="O574" t="s">
        <v>3106</v>
      </c>
      <c r="P574" t="s">
        <v>2629</v>
      </c>
      <c r="Q574" t="s">
        <v>3107</v>
      </c>
      <c r="R574" t="s">
        <v>3427</v>
      </c>
      <c r="S574">
        <v>-9997</v>
      </c>
      <c r="W574" t="s">
        <v>3419</v>
      </c>
      <c r="X574" t="str">
        <f t="shared" si="8"/>
        <v>AZ319668@TRAC Corp</v>
      </c>
      <c r="Y574" t="str">
        <f>_xlfn.IFNA(_xll.BDP(X574,"INTERVAL_SUM", "MARKET_DATA_OVERRIDE=px_volume", "CALC_INTERVAL=5D"), "")</f>
        <v>#N/A N/A</v>
      </c>
      <c r="Z574" cm="1">
        <f t="array" ref="Z574">_xll.BDP(B574, "CF_ACT_CASH_PAID_FOR_INT_DEBT")</f>
        <v>268.899</v>
      </c>
      <c r="AA574" t="str" cm="1">
        <f t="array" ref="AA574">_xll.BDP(B574, "TYPE_OF_BOND")</f>
        <v>#N/A Field Not Applicable</v>
      </c>
    </row>
    <row r="575" spans="1:27" x14ac:dyDescent="0.25">
      <c r="A575">
        <v>573</v>
      </c>
      <c r="B575" t="s">
        <v>3428</v>
      </c>
      <c r="C575" s="4" t="s">
        <v>3417</v>
      </c>
      <c r="D575" s="4">
        <v>475000000</v>
      </c>
      <c r="E575" s="1" t="s">
        <v>11</v>
      </c>
      <c r="F575" s="1">
        <v>47025</v>
      </c>
      <c r="H575" t="s">
        <v>13</v>
      </c>
      <c r="I575" t="s">
        <v>2631</v>
      </c>
      <c r="L575" t="s">
        <v>1168</v>
      </c>
      <c r="M575" t="s">
        <v>10</v>
      </c>
      <c r="N575" t="s">
        <v>16</v>
      </c>
      <c r="O575" t="s">
        <v>3106</v>
      </c>
      <c r="P575" t="s">
        <v>2629</v>
      </c>
      <c r="Q575" t="s">
        <v>3107</v>
      </c>
      <c r="R575" t="s">
        <v>3429</v>
      </c>
      <c r="V575" t="s">
        <v>227</v>
      </c>
      <c r="W575" t="s">
        <v>3419</v>
      </c>
      <c r="X575" t="str">
        <f t="shared" si="8"/>
        <v>BL444353@TRAC Corp</v>
      </c>
      <c r="Y575" t="str">
        <f>_xlfn.IFNA(_xll.BDP(X575,"INTERVAL_SUM", "MARKET_DATA_OVERRIDE=px_volume", "CALC_INTERVAL=5D"), "")</f>
        <v>#N/A N/A</v>
      </c>
      <c r="Z575" cm="1">
        <f t="array" ref="Z575">_xll.BDP(B575, "CF_ACT_CASH_PAID_FOR_INT_DEBT")</f>
        <v>268.899</v>
      </c>
      <c r="AA575" t="str" cm="1">
        <f t="array" ref="AA575">_xll.BDP(B575, "TYPE_OF_BOND")</f>
        <v>#N/A Field Not Applicable</v>
      </c>
    </row>
    <row r="576" spans="1:27" x14ac:dyDescent="0.25">
      <c r="A576">
        <v>574</v>
      </c>
      <c r="B576" t="s">
        <v>3430</v>
      </c>
      <c r="C576" s="4" t="s">
        <v>3417</v>
      </c>
      <c r="D576" s="4">
        <v>775000000</v>
      </c>
      <c r="E576" s="1" t="s">
        <v>11</v>
      </c>
      <c r="F576" s="1">
        <v>47756</v>
      </c>
      <c r="G576">
        <v>6.9025999999999996</v>
      </c>
      <c r="H576" t="s">
        <v>13</v>
      </c>
      <c r="I576" t="s">
        <v>2631</v>
      </c>
      <c r="J576">
        <v>325</v>
      </c>
      <c r="L576" t="s">
        <v>1168</v>
      </c>
      <c r="M576" t="s">
        <v>10</v>
      </c>
      <c r="N576" t="s">
        <v>16</v>
      </c>
      <c r="O576" t="s">
        <v>3106</v>
      </c>
      <c r="P576" t="s">
        <v>2629</v>
      </c>
      <c r="Q576" t="s">
        <v>3107</v>
      </c>
      <c r="R576" t="s">
        <v>3431</v>
      </c>
      <c r="S576">
        <v>2000000</v>
      </c>
      <c r="T576">
        <v>4</v>
      </c>
      <c r="V576" t="s">
        <v>227</v>
      </c>
      <c r="W576" t="s">
        <v>3419</v>
      </c>
      <c r="X576" t="str">
        <f t="shared" si="8"/>
        <v>BL442034@TRAC Corp</v>
      </c>
      <c r="Y576" t="str">
        <f>_xlfn.IFNA(_xll.BDP(X576,"INTERVAL_SUM", "MARKET_DATA_OVERRIDE=px_volume", "CALC_INTERVAL=5D"), "")</f>
        <v>#N/A N/A</v>
      </c>
      <c r="Z576" cm="1">
        <f t="array" ref="Z576">_xll.BDP(B576, "CF_ACT_CASH_PAID_FOR_INT_DEBT")</f>
        <v>268.899</v>
      </c>
      <c r="AA576" t="str" cm="1">
        <f t="array" ref="AA576">_xll.BDP(B576, "TYPE_OF_BOND")</f>
        <v>#N/A Field Not Applicable</v>
      </c>
    </row>
    <row r="577" spans="1:27" x14ac:dyDescent="0.25">
      <c r="A577">
        <v>575</v>
      </c>
      <c r="B577" t="s">
        <v>3432</v>
      </c>
      <c r="C577" s="4" t="s">
        <v>3417</v>
      </c>
      <c r="D577" s="4">
        <v>900000000</v>
      </c>
      <c r="E577" s="1" t="s">
        <v>11</v>
      </c>
      <c r="F577" s="1">
        <v>47011</v>
      </c>
      <c r="G577">
        <v>6.2907999999999999</v>
      </c>
      <c r="H577" t="s">
        <v>13</v>
      </c>
      <c r="I577" t="s">
        <v>2631</v>
      </c>
      <c r="J577">
        <v>250</v>
      </c>
      <c r="L577" t="s">
        <v>1168</v>
      </c>
      <c r="M577" t="s">
        <v>10</v>
      </c>
      <c r="N577" t="s">
        <v>16</v>
      </c>
      <c r="O577" t="s">
        <v>3106</v>
      </c>
      <c r="P577" t="s">
        <v>2629</v>
      </c>
      <c r="Q577" t="s">
        <v>3107</v>
      </c>
      <c r="R577" t="s">
        <v>3433</v>
      </c>
      <c r="S577">
        <v>2000000</v>
      </c>
      <c r="T577">
        <v>6</v>
      </c>
      <c r="V577" t="s">
        <v>227</v>
      </c>
      <c r="W577" t="s">
        <v>3419</v>
      </c>
      <c r="X577" t="str">
        <f t="shared" si="8"/>
        <v>BL367965@TRAC Corp</v>
      </c>
      <c r="Y577" t="str">
        <f>_xlfn.IFNA(_xll.BDP(X577,"INTERVAL_SUM", "MARKET_DATA_OVERRIDE=px_volume", "CALC_INTERVAL=5D"), "")</f>
        <v>#N/A N/A</v>
      </c>
      <c r="Z577" t="str" cm="1">
        <f t="array" ref="Z577">_xll.BDP(B577, "CF_ACT_CASH_PAID_FOR_INT_DEBT")</f>
        <v>#N/A N/A</v>
      </c>
      <c r="AA577" t="str" cm="1">
        <f t="array" ref="AA577">_xll.BDP(B577, "TYPE_OF_BOND")</f>
        <v>#N/A Field Not Applicable</v>
      </c>
    </row>
    <row r="578" spans="1:27" x14ac:dyDescent="0.25">
      <c r="A578">
        <v>576</v>
      </c>
      <c r="B578" t="s">
        <v>3434</v>
      </c>
      <c r="C578" s="4" t="s">
        <v>3417</v>
      </c>
      <c r="D578" s="4">
        <v>70000000</v>
      </c>
      <c r="E578" s="1" t="s">
        <v>11</v>
      </c>
      <c r="F578" s="1">
        <v>47270</v>
      </c>
      <c r="H578" t="s">
        <v>13</v>
      </c>
      <c r="I578" t="s">
        <v>3435</v>
      </c>
      <c r="L578" t="s">
        <v>1175</v>
      </c>
      <c r="M578" t="s">
        <v>19</v>
      </c>
      <c r="N578" t="s">
        <v>16</v>
      </c>
      <c r="O578" t="s">
        <v>3106</v>
      </c>
      <c r="P578" t="s">
        <v>2629</v>
      </c>
      <c r="Q578" t="s">
        <v>3107</v>
      </c>
      <c r="R578" t="s">
        <v>3436</v>
      </c>
      <c r="V578" t="s">
        <v>227</v>
      </c>
      <c r="W578" t="s">
        <v>3419</v>
      </c>
      <c r="X578" t="str">
        <f t="shared" si="8"/>
        <v>BL1001VH@TRAC Corp</v>
      </c>
      <c r="Y578" t="str">
        <f>_xlfn.IFNA(_xll.BDP(X578,"INTERVAL_SUM", "MARKET_DATA_OVERRIDE=px_volume", "CALC_INTERVAL=5D"), "")</f>
        <v>#N/A N/A</v>
      </c>
      <c r="Z578" t="str" cm="1">
        <f t="array" ref="Z578">_xll.BDP(B578, "CF_ACT_CASH_PAID_FOR_INT_DEBT")</f>
        <v>#N/A N/A</v>
      </c>
      <c r="AA578" t="str" cm="1">
        <f t="array" ref="AA578">_xll.BDP(B578, "TYPE_OF_BOND")</f>
        <v>#N/A Field Not Applicable</v>
      </c>
    </row>
    <row r="579" spans="1:27" x14ac:dyDescent="0.25">
      <c r="A579">
        <v>577</v>
      </c>
      <c r="B579" t="s">
        <v>3437</v>
      </c>
      <c r="C579" s="4" t="s">
        <v>3417</v>
      </c>
      <c r="D579" s="4">
        <v>22203100</v>
      </c>
      <c r="E579" s="1" t="s">
        <v>11</v>
      </c>
      <c r="F579" s="1">
        <v>48001</v>
      </c>
      <c r="H579" t="s">
        <v>13</v>
      </c>
      <c r="L579" t="s">
        <v>1175</v>
      </c>
      <c r="M579" t="s">
        <v>19</v>
      </c>
      <c r="N579" t="s">
        <v>16</v>
      </c>
      <c r="O579" t="s">
        <v>3106</v>
      </c>
      <c r="P579" t="s">
        <v>2629</v>
      </c>
      <c r="Q579" t="s">
        <v>3107</v>
      </c>
      <c r="R579" t="s">
        <v>3438</v>
      </c>
      <c r="V579" t="s">
        <v>226</v>
      </c>
      <c r="W579" t="s">
        <v>3419</v>
      </c>
      <c r="X579" t="str">
        <f t="shared" ref="X579:X642" si="9">SUBSTITUTE(B579," Corp","@TRAC Corp")</f>
        <v>BL041061@TRAC Corp</v>
      </c>
      <c r="Y579" t="str">
        <f>_xlfn.IFNA(_xll.BDP(X579,"INTERVAL_SUM", "MARKET_DATA_OVERRIDE=px_volume", "CALC_INTERVAL=5D"), "")</f>
        <v>#N/A N/A</v>
      </c>
      <c r="Z579" t="str" cm="1">
        <f t="array" ref="Z579">_xll.BDP(B579, "CF_ACT_CASH_PAID_FOR_INT_DEBT")</f>
        <v>#N/A N/A</v>
      </c>
      <c r="AA579" t="str" cm="1">
        <f t="array" ref="AA579">_xll.BDP(B579, "TYPE_OF_BOND")</f>
        <v>#N/A Field Not Applicable</v>
      </c>
    </row>
    <row r="580" spans="1:27" x14ac:dyDescent="0.25">
      <c r="A580">
        <v>578</v>
      </c>
      <c r="B580" t="s">
        <v>1303</v>
      </c>
      <c r="C580" s="4" t="s">
        <v>1304</v>
      </c>
      <c r="D580" s="4">
        <v>86023000</v>
      </c>
      <c r="E580" s="1" t="s">
        <v>17</v>
      </c>
      <c r="F580" s="1">
        <v>46299</v>
      </c>
      <c r="G580">
        <v>3.7</v>
      </c>
      <c r="H580" t="s">
        <v>9</v>
      </c>
      <c r="L580" t="s">
        <v>1168</v>
      </c>
      <c r="M580" t="s">
        <v>10</v>
      </c>
      <c r="N580" t="s">
        <v>16</v>
      </c>
      <c r="O580" t="s">
        <v>3203</v>
      </c>
      <c r="P580" t="s">
        <v>2629</v>
      </c>
      <c r="Q580" t="s">
        <v>3205</v>
      </c>
      <c r="R580" t="s">
        <v>1305</v>
      </c>
      <c r="S580">
        <v>3357453.8368498599</v>
      </c>
      <c r="T580">
        <v>34</v>
      </c>
      <c r="W580" t="s">
        <v>1306</v>
      </c>
      <c r="X580" t="str">
        <f t="shared" si="9"/>
        <v>QZ739372@TRAC Corp</v>
      </c>
      <c r="Y580">
        <f>_xlfn.IFNA(_xll.BDP(X580,"INTERVAL_SUM", "MARKET_DATA_OVERRIDE=px_volume", "CALC_INTERVAL=5D"), "")</f>
        <v>16</v>
      </c>
      <c r="Z580" cm="1">
        <f t="array" ref="Z580">_xll.BDP(B580, "CF_ACT_CASH_PAID_FOR_INT_DEBT")</f>
        <v>833</v>
      </c>
      <c r="AA580" t="str" cm="1">
        <f t="array" ref="AA580">_xll.BDP(B580, "TYPE_OF_BOND")</f>
        <v>#N/A Field Not Applicable</v>
      </c>
    </row>
    <row r="581" spans="1:27" x14ac:dyDescent="0.25">
      <c r="A581">
        <v>579</v>
      </c>
      <c r="B581" t="s">
        <v>1307</v>
      </c>
      <c r="C581" s="4" t="s">
        <v>1304</v>
      </c>
      <c r="D581" s="4">
        <v>584271000</v>
      </c>
      <c r="E581" s="1" t="s">
        <v>17</v>
      </c>
      <c r="F581" s="1">
        <v>46402</v>
      </c>
      <c r="G581">
        <v>2.9</v>
      </c>
      <c r="H581" t="s">
        <v>9</v>
      </c>
      <c r="L581" t="s">
        <v>1168</v>
      </c>
      <c r="M581" t="s">
        <v>10</v>
      </c>
      <c r="N581" t="s">
        <v>16</v>
      </c>
      <c r="O581" t="s">
        <v>3203</v>
      </c>
      <c r="P581" t="s">
        <v>2629</v>
      </c>
      <c r="Q581" t="s">
        <v>3205</v>
      </c>
      <c r="R581" t="s">
        <v>1308</v>
      </c>
      <c r="S581">
        <v>6606653.1679235203</v>
      </c>
      <c r="T581">
        <v>43</v>
      </c>
      <c r="W581" t="s">
        <v>1306</v>
      </c>
      <c r="X581" t="str">
        <f t="shared" si="9"/>
        <v>LW785817@TRAC Corp</v>
      </c>
      <c r="Y581">
        <f>_xlfn.IFNA(_xll.BDP(X581,"INTERVAL_SUM", "MARKET_DATA_OVERRIDE=px_volume", "CALC_INTERVAL=5D"), "")</f>
        <v>594</v>
      </c>
      <c r="Z581" cm="1">
        <f t="array" ref="Z581">_xll.BDP(B581, "CF_ACT_CASH_PAID_FOR_INT_DEBT")</f>
        <v>833</v>
      </c>
      <c r="AA581" t="str" cm="1">
        <f t="array" ref="AA581">_xll.BDP(B581, "TYPE_OF_BOND")</f>
        <v>#N/A Field Not Applicable</v>
      </c>
    </row>
    <row r="582" spans="1:27" x14ac:dyDescent="0.25">
      <c r="A582">
        <v>580</v>
      </c>
      <c r="B582" t="s">
        <v>1309</v>
      </c>
      <c r="C582" s="4" t="s">
        <v>1304</v>
      </c>
      <c r="D582" s="4">
        <v>600000000</v>
      </c>
      <c r="E582" s="1" t="s">
        <v>17</v>
      </c>
      <c r="F582" s="1">
        <v>52977</v>
      </c>
      <c r="G582">
        <v>4.5999999999999996</v>
      </c>
      <c r="H582" t="s">
        <v>9</v>
      </c>
      <c r="L582" t="s">
        <v>1168</v>
      </c>
      <c r="M582" t="s">
        <v>10</v>
      </c>
      <c r="N582" t="s">
        <v>16</v>
      </c>
      <c r="O582" t="s">
        <v>3203</v>
      </c>
      <c r="P582" t="s">
        <v>2629</v>
      </c>
      <c r="Q582" t="s">
        <v>3205</v>
      </c>
      <c r="R582" t="s">
        <v>1310</v>
      </c>
      <c r="S582">
        <v>19263743.909864999</v>
      </c>
      <c r="T582">
        <v>28</v>
      </c>
      <c r="W582" t="s">
        <v>1306</v>
      </c>
      <c r="X582" t="str">
        <f t="shared" si="9"/>
        <v>EK686917@TRAC Corp</v>
      </c>
      <c r="Y582">
        <f>_xlfn.IFNA(_xll.BDP(X582,"INTERVAL_SUM", "MARKET_DATA_OVERRIDE=px_volume", "CALC_INTERVAL=5D"), "")</f>
        <v>10455</v>
      </c>
      <c r="Z582" cm="1">
        <f t="array" ref="Z582">_xll.BDP(B582, "CF_ACT_CASH_PAID_FOR_INT_DEBT")</f>
        <v>833</v>
      </c>
      <c r="AA582" t="str" cm="1">
        <f t="array" ref="AA582">_xll.BDP(B582, "TYPE_OF_BOND")</f>
        <v>#N/A Field Not Applicable</v>
      </c>
    </row>
    <row r="583" spans="1:27" x14ac:dyDescent="0.25">
      <c r="A583">
        <v>581</v>
      </c>
      <c r="B583" t="s">
        <v>1311</v>
      </c>
      <c r="C583" s="4" t="s">
        <v>1304</v>
      </c>
      <c r="D583" s="4">
        <v>87397000</v>
      </c>
      <c r="E583" s="1" t="s">
        <v>17</v>
      </c>
      <c r="F583" s="1">
        <v>49293</v>
      </c>
      <c r="G583">
        <v>4.8499999999999996</v>
      </c>
      <c r="H583" t="s">
        <v>9</v>
      </c>
      <c r="L583" t="s">
        <v>1168</v>
      </c>
      <c r="M583" t="s">
        <v>10</v>
      </c>
      <c r="N583" t="s">
        <v>16</v>
      </c>
      <c r="O583" t="s">
        <v>3203</v>
      </c>
      <c r="P583" t="s">
        <v>2629</v>
      </c>
      <c r="Q583" t="s">
        <v>3205</v>
      </c>
      <c r="R583" t="s">
        <v>1312</v>
      </c>
      <c r="S583">
        <v>4962357.5606451696</v>
      </c>
      <c r="T583">
        <v>7</v>
      </c>
      <c r="W583" t="s">
        <v>1306</v>
      </c>
      <c r="X583" t="str">
        <f t="shared" si="9"/>
        <v>EK641114@TRAC Corp</v>
      </c>
      <c r="Y583">
        <f>_xlfn.IFNA(_xll.BDP(X583,"INTERVAL_SUM", "MARKET_DATA_OVERRIDE=px_volume", "CALC_INTERVAL=5D"), "")</f>
        <v>510</v>
      </c>
      <c r="Z583" cm="1">
        <f t="array" ref="Z583">_xll.BDP(B583, "CF_ACT_CASH_PAID_FOR_INT_DEBT")</f>
        <v>833</v>
      </c>
      <c r="AA583" t="str" cm="1">
        <f t="array" ref="AA583">_xll.BDP(B583, "TYPE_OF_BOND")</f>
        <v>#N/A Field Not Applicable</v>
      </c>
    </row>
    <row r="584" spans="1:27" x14ac:dyDescent="0.25">
      <c r="A584">
        <v>582</v>
      </c>
      <c r="B584" t="s">
        <v>1313</v>
      </c>
      <c r="C584" s="4" t="s">
        <v>1304</v>
      </c>
      <c r="D584" s="4">
        <v>550000000</v>
      </c>
      <c r="E584" s="1" t="s">
        <v>17</v>
      </c>
      <c r="F584" s="1">
        <v>52824</v>
      </c>
      <c r="G584">
        <v>4.9000000000000004</v>
      </c>
      <c r="H584" t="s">
        <v>9</v>
      </c>
      <c r="L584" t="s">
        <v>1168</v>
      </c>
      <c r="M584" t="s">
        <v>10</v>
      </c>
      <c r="N584" t="s">
        <v>16</v>
      </c>
      <c r="O584" t="s">
        <v>3203</v>
      </c>
      <c r="P584" t="s">
        <v>2629</v>
      </c>
      <c r="Q584" t="s">
        <v>3205</v>
      </c>
      <c r="R584" t="s">
        <v>1314</v>
      </c>
      <c r="S584">
        <v>16928008.655270301</v>
      </c>
      <c r="T584">
        <v>18</v>
      </c>
      <c r="W584" t="s">
        <v>1306</v>
      </c>
      <c r="X584" t="str">
        <f t="shared" si="9"/>
        <v>EK433738@TRAC Corp</v>
      </c>
      <c r="Y584">
        <f>_xlfn.IFNA(_xll.BDP(X584,"INTERVAL_SUM", "MARKET_DATA_OVERRIDE=px_volume", "CALC_INTERVAL=5D"), "")</f>
        <v>7552</v>
      </c>
      <c r="Z584" cm="1">
        <f t="array" ref="Z584">_xll.BDP(B584, "CF_ACT_CASH_PAID_FOR_INT_DEBT")</f>
        <v>833</v>
      </c>
      <c r="AA584" t="str" cm="1">
        <f t="array" ref="AA584">_xll.BDP(B584, "TYPE_OF_BOND")</f>
        <v>#N/A Field Not Applicable</v>
      </c>
    </row>
    <row r="585" spans="1:27" x14ac:dyDescent="0.25">
      <c r="A585">
        <v>583</v>
      </c>
      <c r="B585" t="s">
        <v>1315</v>
      </c>
      <c r="C585" s="4" t="s">
        <v>1304</v>
      </c>
      <c r="D585" s="4">
        <v>347623000</v>
      </c>
      <c r="E585" s="1" t="s">
        <v>17</v>
      </c>
      <c r="F585" s="1">
        <v>52688</v>
      </c>
      <c r="G585">
        <v>5.25</v>
      </c>
      <c r="H585" t="s">
        <v>9</v>
      </c>
      <c r="L585" t="s">
        <v>1168</v>
      </c>
      <c r="M585" t="s">
        <v>10</v>
      </c>
      <c r="N585" t="s">
        <v>16</v>
      </c>
      <c r="O585" t="s">
        <v>3203</v>
      </c>
      <c r="P585" t="s">
        <v>2629</v>
      </c>
      <c r="Q585" t="s">
        <v>3205</v>
      </c>
      <c r="R585" t="s">
        <v>1316</v>
      </c>
      <c r="S585">
        <v>11175027.948902</v>
      </c>
      <c r="T585">
        <v>16</v>
      </c>
      <c r="W585" t="s">
        <v>1306</v>
      </c>
      <c r="X585" t="str">
        <f t="shared" si="9"/>
        <v>EK108802@TRAC Corp</v>
      </c>
      <c r="Y585">
        <f>_xlfn.IFNA(_xll.BDP(X585,"INTERVAL_SUM", "MARKET_DATA_OVERRIDE=px_volume", "CALC_INTERVAL=5D"), "")</f>
        <v>5613</v>
      </c>
      <c r="Z585" cm="1">
        <f t="array" ref="Z585">_xll.BDP(B585, "CF_ACT_CASH_PAID_FOR_INT_DEBT")</f>
        <v>833</v>
      </c>
      <c r="AA585" t="str" cm="1">
        <f t="array" ref="AA585">_xll.BDP(B585, "TYPE_OF_BOND")</f>
        <v>#N/A Field Not Applicable</v>
      </c>
    </row>
    <row r="586" spans="1:27" x14ac:dyDescent="0.25">
      <c r="A586">
        <v>584</v>
      </c>
      <c r="B586" t="s">
        <v>1317</v>
      </c>
      <c r="C586" s="4" t="s">
        <v>1304</v>
      </c>
      <c r="D586" s="4">
        <v>1250000000</v>
      </c>
      <c r="E586" s="1" t="s">
        <v>17</v>
      </c>
      <c r="F586" s="1">
        <v>52475</v>
      </c>
      <c r="G586">
        <v>5.85</v>
      </c>
      <c r="H586" t="s">
        <v>9</v>
      </c>
      <c r="L586" t="s">
        <v>1168</v>
      </c>
      <c r="M586" t="s">
        <v>10</v>
      </c>
      <c r="N586" t="s">
        <v>16</v>
      </c>
      <c r="O586" t="s">
        <v>3203</v>
      </c>
      <c r="P586" t="s">
        <v>2629</v>
      </c>
      <c r="Q586" t="s">
        <v>3205</v>
      </c>
      <c r="R586" t="s">
        <v>1318</v>
      </c>
      <c r="S586">
        <v>27399543.950468801</v>
      </c>
      <c r="T586">
        <v>28</v>
      </c>
      <c r="W586" t="s">
        <v>1306</v>
      </c>
      <c r="X586" t="str">
        <f t="shared" si="9"/>
        <v>EJ789334@TRAC Corp</v>
      </c>
      <c r="Y586">
        <f>_xlfn.IFNA(_xll.BDP(X586,"INTERVAL_SUM", "MARKET_DATA_OVERRIDE=px_volume", "CALC_INTERVAL=5D"), "")</f>
        <v>13783</v>
      </c>
      <c r="Z586" cm="1">
        <f t="array" ref="Z586">_xll.BDP(B586, "CF_ACT_CASH_PAID_FOR_INT_DEBT")</f>
        <v>833</v>
      </c>
      <c r="AA586" t="str" cm="1">
        <f t="array" ref="AA586">_xll.BDP(B586, "TYPE_OF_BOND")</f>
        <v>#N/A Field Not Applicable</v>
      </c>
    </row>
    <row r="587" spans="1:27" x14ac:dyDescent="0.25">
      <c r="A587">
        <v>585</v>
      </c>
      <c r="B587" t="s">
        <v>1319</v>
      </c>
      <c r="C587" s="4" t="s">
        <v>1304</v>
      </c>
      <c r="D587" s="4">
        <v>1446365000</v>
      </c>
      <c r="E587" s="1" t="s">
        <v>17</v>
      </c>
      <c r="F587" s="1">
        <v>52305</v>
      </c>
      <c r="G587">
        <v>4.375</v>
      </c>
      <c r="H587" t="s">
        <v>9</v>
      </c>
      <c r="L587" t="s">
        <v>1168</v>
      </c>
      <c r="M587" t="s">
        <v>10</v>
      </c>
      <c r="N587" t="s">
        <v>16</v>
      </c>
      <c r="O587" t="s">
        <v>3203</v>
      </c>
      <c r="P587" t="s">
        <v>2629</v>
      </c>
      <c r="Q587" t="s">
        <v>3205</v>
      </c>
      <c r="R587" t="s">
        <v>1320</v>
      </c>
      <c r="S587">
        <v>6337178.5026489599</v>
      </c>
      <c r="T587">
        <v>20</v>
      </c>
      <c r="W587" t="s">
        <v>1306</v>
      </c>
      <c r="X587" t="str">
        <f t="shared" si="9"/>
        <v>EJ729042@TRAC Corp</v>
      </c>
      <c r="Y587">
        <f>_xlfn.IFNA(_xll.BDP(X587,"INTERVAL_SUM", "MARKET_DATA_OVERRIDE=px_volume", "CALC_INTERVAL=5D"), "")</f>
        <v>6112</v>
      </c>
      <c r="Z587" cm="1">
        <f t="array" ref="Z587">_xll.BDP(B587, "CF_ACT_CASH_PAID_FOR_INT_DEBT")</f>
        <v>833</v>
      </c>
      <c r="AA587" t="str" cm="1">
        <f t="array" ref="AA587">_xll.BDP(B587, "TYPE_OF_BOND")</f>
        <v>#N/A Field Not Applicable</v>
      </c>
    </row>
    <row r="588" spans="1:27" x14ac:dyDescent="0.25">
      <c r="A588">
        <v>586</v>
      </c>
      <c r="B588" t="s">
        <v>1321</v>
      </c>
      <c r="C588" s="4" t="s">
        <v>1304</v>
      </c>
      <c r="D588" s="4">
        <v>17754000</v>
      </c>
      <c r="E588" s="1" t="s">
        <v>17</v>
      </c>
      <c r="F588" s="1">
        <v>52397</v>
      </c>
      <c r="G588">
        <v>4.875</v>
      </c>
      <c r="H588" t="s">
        <v>9</v>
      </c>
      <c r="L588" t="s">
        <v>1168</v>
      </c>
      <c r="M588" t="s">
        <v>10</v>
      </c>
      <c r="N588" t="s">
        <v>16</v>
      </c>
      <c r="O588" t="s">
        <v>3203</v>
      </c>
      <c r="P588" t="s">
        <v>2629</v>
      </c>
      <c r="Q588" t="s">
        <v>3205</v>
      </c>
      <c r="R588" t="s">
        <v>1322</v>
      </c>
      <c r="S588">
        <v>663970.45443657902</v>
      </c>
      <c r="T588">
        <v>4</v>
      </c>
      <c r="W588" t="s">
        <v>1306</v>
      </c>
      <c r="X588" t="str">
        <f t="shared" si="9"/>
        <v>EJ588730@TRAC Corp</v>
      </c>
      <c r="Y588" t="str">
        <f>_xlfn.IFNA(_xll.BDP(X588,"INTERVAL_SUM", "MARKET_DATA_OVERRIDE=px_volume", "CALC_INTERVAL=5D"), "")</f>
        <v>#N/A N/A</v>
      </c>
      <c r="Z588" cm="1">
        <f t="array" ref="Z588">_xll.BDP(B588, "CF_ACT_CASH_PAID_FOR_INT_DEBT")</f>
        <v>833</v>
      </c>
      <c r="AA588" t="str" cm="1">
        <f t="array" ref="AA588">_xll.BDP(B588, "TYPE_OF_BOND")</f>
        <v>#N/A Field Not Applicable</v>
      </c>
    </row>
    <row r="589" spans="1:27" x14ac:dyDescent="0.25">
      <c r="A589">
        <v>587</v>
      </c>
      <c r="B589" t="s">
        <v>1323</v>
      </c>
      <c r="C589" s="4" t="s">
        <v>1304</v>
      </c>
      <c r="D589" s="4">
        <v>500000000</v>
      </c>
      <c r="E589" s="1" t="s">
        <v>17</v>
      </c>
      <c r="F589" s="1">
        <v>52048</v>
      </c>
      <c r="G589">
        <v>4.8499999999999996</v>
      </c>
      <c r="H589" t="s">
        <v>9</v>
      </c>
      <c r="L589" t="s">
        <v>1168</v>
      </c>
      <c r="M589" t="s">
        <v>10</v>
      </c>
      <c r="N589" t="s">
        <v>16</v>
      </c>
      <c r="O589" t="s">
        <v>3203</v>
      </c>
      <c r="P589" t="s">
        <v>2629</v>
      </c>
      <c r="Q589" t="s">
        <v>3205</v>
      </c>
      <c r="R589" t="s">
        <v>1324</v>
      </c>
      <c r="S589">
        <v>1127355.71942516</v>
      </c>
      <c r="T589">
        <v>16</v>
      </c>
      <c r="W589" t="s">
        <v>1306</v>
      </c>
      <c r="X589" t="str">
        <f t="shared" si="9"/>
        <v>EJ235049@TRAC Corp</v>
      </c>
      <c r="Y589">
        <f>_xlfn.IFNA(_xll.BDP(X589,"INTERVAL_SUM", "MARKET_DATA_OVERRIDE=px_volume", "CALC_INTERVAL=5D"), "")</f>
        <v>6587</v>
      </c>
      <c r="Z589" cm="1">
        <f t="array" ref="Z589">_xll.BDP(B589, "CF_ACT_CASH_PAID_FOR_INT_DEBT")</f>
        <v>833</v>
      </c>
      <c r="AA589" t="str" cm="1">
        <f t="array" ref="AA589">_xll.BDP(B589, "TYPE_OF_BOND")</f>
        <v>#N/A Field Not Applicable</v>
      </c>
    </row>
    <row r="590" spans="1:27" x14ac:dyDescent="0.25">
      <c r="A590">
        <v>588</v>
      </c>
      <c r="B590" t="s">
        <v>1325</v>
      </c>
      <c r="C590" s="4" t="s">
        <v>1304</v>
      </c>
      <c r="D590" s="4">
        <v>46266000</v>
      </c>
      <c r="E590" s="1" t="s">
        <v>17</v>
      </c>
      <c r="F590" s="1">
        <v>51924</v>
      </c>
      <c r="G590">
        <v>4.5</v>
      </c>
      <c r="H590" t="s">
        <v>9</v>
      </c>
      <c r="L590" t="s">
        <v>1168</v>
      </c>
      <c r="M590" t="s">
        <v>10</v>
      </c>
      <c r="N590" t="s">
        <v>16</v>
      </c>
      <c r="O590" t="s">
        <v>3203</v>
      </c>
      <c r="P590" t="s">
        <v>2629</v>
      </c>
      <c r="Q590" t="s">
        <v>3205</v>
      </c>
      <c r="R590" t="s">
        <v>1326</v>
      </c>
      <c r="S590">
        <v>1320202.92544348</v>
      </c>
      <c r="T590">
        <v>5</v>
      </c>
      <c r="W590" t="s">
        <v>1306</v>
      </c>
      <c r="X590" t="str">
        <f t="shared" si="9"/>
        <v>EJ041884@TRAC Corp</v>
      </c>
      <c r="Y590">
        <f>_xlfn.IFNA(_xll.BDP(X590,"INTERVAL_SUM", "MARKET_DATA_OVERRIDE=px_volume", "CALC_INTERVAL=5D"), "")</f>
        <v>530</v>
      </c>
      <c r="Z590" cm="1">
        <f t="array" ref="Z590">_xll.BDP(B590, "CF_ACT_CASH_PAID_FOR_INT_DEBT")</f>
        <v>833</v>
      </c>
      <c r="AA590" t="str" cm="1">
        <f t="array" ref="AA590">_xll.BDP(B590, "TYPE_OF_BOND")</f>
        <v>#N/A Field Not Applicable</v>
      </c>
    </row>
    <row r="591" spans="1:27" x14ac:dyDescent="0.25">
      <c r="A591">
        <v>589</v>
      </c>
      <c r="B591" t="s">
        <v>1327</v>
      </c>
      <c r="C591" s="4" t="s">
        <v>1304</v>
      </c>
      <c r="D591" s="4">
        <v>300000000</v>
      </c>
      <c r="E591" s="1" t="s">
        <v>17</v>
      </c>
      <c r="F591" s="1">
        <v>51424</v>
      </c>
      <c r="G591">
        <v>5.9</v>
      </c>
      <c r="H591" t="s">
        <v>9</v>
      </c>
      <c r="L591" t="s">
        <v>1168</v>
      </c>
      <c r="M591" t="s">
        <v>10</v>
      </c>
      <c r="N591" t="s">
        <v>16</v>
      </c>
      <c r="O591" t="s">
        <v>3203</v>
      </c>
      <c r="P591" t="s">
        <v>2629</v>
      </c>
      <c r="Q591" t="s">
        <v>3205</v>
      </c>
      <c r="R591" t="s">
        <v>1328</v>
      </c>
      <c r="S591">
        <v>5918907.3346246099</v>
      </c>
      <c r="T591">
        <v>12</v>
      </c>
      <c r="W591" t="s">
        <v>1306</v>
      </c>
      <c r="X591" t="str">
        <f t="shared" si="9"/>
        <v>EI425926@TRAC Corp</v>
      </c>
      <c r="Y591">
        <f>_xlfn.IFNA(_xll.BDP(X591,"INTERVAL_SUM", "MARKET_DATA_OVERRIDE=px_volume", "CALC_INTERVAL=5D"), "")</f>
        <v>622</v>
      </c>
      <c r="Z591" cm="1">
        <f t="array" ref="Z591">_xll.BDP(B591, "CF_ACT_CASH_PAID_FOR_INT_DEBT")</f>
        <v>833</v>
      </c>
      <c r="AA591" t="str" cm="1">
        <f t="array" ref="AA591">_xll.BDP(B591, "TYPE_OF_BOND")</f>
        <v>#N/A Field Not Applicable</v>
      </c>
    </row>
    <row r="592" spans="1:27" x14ac:dyDescent="0.25">
      <c r="A592">
        <v>590</v>
      </c>
      <c r="B592" t="s">
        <v>1329</v>
      </c>
      <c r="C592" s="4" t="s">
        <v>1304</v>
      </c>
      <c r="D592" s="4">
        <v>76085000</v>
      </c>
      <c r="E592" s="1" t="s">
        <v>17</v>
      </c>
      <c r="F592" s="1">
        <v>50318</v>
      </c>
      <c r="G592">
        <v>6.75</v>
      </c>
      <c r="H592" t="s">
        <v>9</v>
      </c>
      <c r="L592" t="s">
        <v>1168</v>
      </c>
      <c r="M592" t="s">
        <v>10</v>
      </c>
      <c r="N592" t="s">
        <v>16</v>
      </c>
      <c r="O592" t="s">
        <v>3203</v>
      </c>
      <c r="P592" t="s">
        <v>2629</v>
      </c>
      <c r="Q592" t="s">
        <v>3205</v>
      </c>
      <c r="R592" t="s">
        <v>1330</v>
      </c>
      <c r="S592">
        <v>2344349.4092485602</v>
      </c>
      <c r="T592">
        <v>6</v>
      </c>
      <c r="W592" t="s">
        <v>1306</v>
      </c>
      <c r="X592" t="str">
        <f t="shared" si="9"/>
        <v>EG894240@TRAC Corp</v>
      </c>
      <c r="Y592">
        <f>_xlfn.IFNA(_xll.BDP(X592,"INTERVAL_SUM", "MARKET_DATA_OVERRIDE=px_volume", "CALC_INTERVAL=5D"), "")</f>
        <v>191</v>
      </c>
      <c r="Z592" cm="1">
        <f t="array" ref="Z592">_xll.BDP(B592, "CF_ACT_CASH_PAID_FOR_INT_DEBT")</f>
        <v>833</v>
      </c>
      <c r="AA592" t="str" cm="1">
        <f t="array" ref="AA592">_xll.BDP(B592, "TYPE_OF_BOND")</f>
        <v>#N/A Field Not Applicable</v>
      </c>
    </row>
    <row r="593" spans="1:27" x14ac:dyDescent="0.25">
      <c r="A593">
        <v>591</v>
      </c>
      <c r="B593" t="s">
        <v>1331</v>
      </c>
      <c r="C593" s="4" t="s">
        <v>1304</v>
      </c>
      <c r="D593" s="4">
        <v>1079963000</v>
      </c>
      <c r="E593" s="1" t="s">
        <v>17</v>
      </c>
      <c r="F593" s="1">
        <v>49795</v>
      </c>
      <c r="G593">
        <v>6.875</v>
      </c>
      <c r="H593" t="s">
        <v>9</v>
      </c>
      <c r="L593" t="s">
        <v>1168</v>
      </c>
      <c r="M593" t="s">
        <v>10</v>
      </c>
      <c r="N593" t="s">
        <v>16</v>
      </c>
      <c r="O593" t="s">
        <v>3203</v>
      </c>
      <c r="P593" t="s">
        <v>2629</v>
      </c>
      <c r="Q593" t="s">
        <v>3205</v>
      </c>
      <c r="R593" t="s">
        <v>1332</v>
      </c>
      <c r="S593">
        <v>27325043.737195998</v>
      </c>
      <c r="T593">
        <v>42</v>
      </c>
      <c r="W593" t="s">
        <v>1306</v>
      </c>
      <c r="X593" t="str">
        <f t="shared" si="9"/>
        <v>EF721953@TRAC Corp</v>
      </c>
      <c r="Y593">
        <f>_xlfn.IFNA(_xll.BDP(X593,"INTERVAL_SUM", "MARKET_DATA_OVERRIDE=px_volume", "CALC_INTERVAL=5D"), "")</f>
        <v>38188</v>
      </c>
      <c r="Z593" cm="1">
        <f t="array" ref="Z593">_xll.BDP(B593, "CF_ACT_CASH_PAID_FOR_INT_DEBT")</f>
        <v>833</v>
      </c>
      <c r="AA593" t="str" cm="1">
        <f t="array" ref="AA593">_xll.BDP(B593, "TYPE_OF_BOND")</f>
        <v>#N/A Field Not Applicable</v>
      </c>
    </row>
    <row r="594" spans="1:27" x14ac:dyDescent="0.25">
      <c r="A594">
        <v>592</v>
      </c>
      <c r="B594" t="s">
        <v>1333</v>
      </c>
      <c r="C594" s="4" t="s">
        <v>1304</v>
      </c>
      <c r="D594" s="4">
        <v>430513000</v>
      </c>
      <c r="E594" s="1" t="s">
        <v>17</v>
      </c>
      <c r="F594" s="1">
        <v>48714</v>
      </c>
      <c r="G594">
        <v>5.5</v>
      </c>
      <c r="H594" t="s">
        <v>9</v>
      </c>
      <c r="L594" t="s">
        <v>1168</v>
      </c>
      <c r="M594" t="s">
        <v>10</v>
      </c>
      <c r="N594" t="s">
        <v>16</v>
      </c>
      <c r="O594" t="s">
        <v>3203</v>
      </c>
      <c r="P594" t="s">
        <v>2629</v>
      </c>
      <c r="Q594" t="s">
        <v>3205</v>
      </c>
      <c r="R594" t="s">
        <v>1334</v>
      </c>
      <c r="S594">
        <v>15008548.8999977</v>
      </c>
      <c r="T594">
        <v>21</v>
      </c>
      <c r="W594" t="s">
        <v>1306</v>
      </c>
      <c r="X594" t="str">
        <f t="shared" si="9"/>
        <v>EC972767@TRAC Corp</v>
      </c>
      <c r="Y594">
        <f>_xlfn.IFNA(_xll.BDP(X594,"INTERVAL_SUM", "MARKET_DATA_OVERRIDE=px_volume", "CALC_INTERVAL=5D"), "")</f>
        <v>3592</v>
      </c>
      <c r="Z594" cm="1">
        <f t="array" ref="Z594">_xll.BDP(B594, "CF_ACT_CASH_PAID_FOR_INT_DEBT")</f>
        <v>833</v>
      </c>
      <c r="AA594" t="str" cm="1">
        <f t="array" ref="AA594">_xll.BDP(B594, "TYPE_OF_BOND")</f>
        <v>#N/A Field Not Applicable</v>
      </c>
    </row>
    <row r="595" spans="1:27" x14ac:dyDescent="0.25">
      <c r="A595">
        <v>593</v>
      </c>
      <c r="B595" t="s">
        <v>1335</v>
      </c>
      <c r="C595" s="4" t="s">
        <v>1304</v>
      </c>
      <c r="D595" s="4">
        <v>826813000</v>
      </c>
      <c r="E595" s="1" t="s">
        <v>17</v>
      </c>
      <c r="F595" s="1">
        <v>47694</v>
      </c>
      <c r="G595">
        <v>7.875</v>
      </c>
      <c r="H595" t="s">
        <v>9</v>
      </c>
      <c r="L595" t="s">
        <v>1168</v>
      </c>
      <c r="M595" t="s">
        <v>10</v>
      </c>
      <c r="N595" t="s">
        <v>16</v>
      </c>
      <c r="O595" t="s">
        <v>3203</v>
      </c>
      <c r="P595" t="s">
        <v>2629</v>
      </c>
      <c r="Q595" t="s">
        <v>3205</v>
      </c>
      <c r="R595" t="s">
        <v>1336</v>
      </c>
      <c r="S595">
        <v>11279430.6298465</v>
      </c>
      <c r="T595">
        <v>33</v>
      </c>
      <c r="W595" t="s">
        <v>1306</v>
      </c>
      <c r="X595" t="str">
        <f t="shared" si="9"/>
        <v>EC278276@TRAC Corp</v>
      </c>
      <c r="Y595">
        <f>_xlfn.IFNA(_xll.BDP(X595,"INTERVAL_SUM", "MARKET_DATA_OVERRIDE=px_volume", "CALC_INTERVAL=5D"), "")</f>
        <v>10636</v>
      </c>
      <c r="Z595" cm="1">
        <f t="array" ref="Z595">_xll.BDP(B595, "CF_ACT_CASH_PAID_FOR_INT_DEBT")</f>
        <v>833</v>
      </c>
      <c r="AA595" t="str" cm="1">
        <f t="array" ref="AA595">_xll.BDP(B595, "TYPE_OF_BOND")</f>
        <v>#N/A Field Not Applicable</v>
      </c>
    </row>
    <row r="596" spans="1:27" x14ac:dyDescent="0.25">
      <c r="A596">
        <v>594</v>
      </c>
      <c r="B596" t="s">
        <v>1337</v>
      </c>
      <c r="C596" s="4" t="s">
        <v>1304</v>
      </c>
      <c r="D596" s="4">
        <v>1000000000</v>
      </c>
      <c r="E596" s="1" t="s">
        <v>1161</v>
      </c>
      <c r="F596" s="1">
        <v>59260</v>
      </c>
      <c r="G596">
        <v>6.375</v>
      </c>
      <c r="H596" t="s">
        <v>1162</v>
      </c>
      <c r="I596" t="s">
        <v>2697</v>
      </c>
      <c r="L596" t="s">
        <v>1168</v>
      </c>
      <c r="M596" t="s">
        <v>10</v>
      </c>
      <c r="N596" t="s">
        <v>16</v>
      </c>
      <c r="O596" t="s">
        <v>3203</v>
      </c>
      <c r="P596" t="s">
        <v>2629</v>
      </c>
      <c r="Q596" t="s">
        <v>3205</v>
      </c>
      <c r="R596" t="s">
        <v>1338</v>
      </c>
      <c r="S596">
        <v>26734027.227210298</v>
      </c>
      <c r="T596">
        <v>29</v>
      </c>
      <c r="W596" t="s">
        <v>1306</v>
      </c>
      <c r="X596" t="str">
        <f t="shared" si="9"/>
        <v>BV521066@TRAC Corp</v>
      </c>
      <c r="Y596">
        <f>_xlfn.IFNA(_xll.BDP(X596,"INTERVAL_SUM", "MARKET_DATA_OVERRIDE=px_volume", "CALC_INTERVAL=5D"), "")</f>
        <v>11603</v>
      </c>
      <c r="Z596" cm="1">
        <f t="array" ref="Z596">_xll.BDP(B596, "CF_ACT_CASH_PAID_FOR_INT_DEBT")</f>
        <v>833</v>
      </c>
      <c r="AA596" t="str" cm="1">
        <f t="array" ref="AA596">_xll.BDP(B596, "TYPE_OF_BOND")</f>
        <v>Hybrid</v>
      </c>
    </row>
    <row r="597" spans="1:27" x14ac:dyDescent="0.25">
      <c r="A597">
        <v>595</v>
      </c>
      <c r="B597" t="s">
        <v>1339</v>
      </c>
      <c r="C597" s="4" t="s">
        <v>1304</v>
      </c>
      <c r="D597" s="4">
        <v>1000000000</v>
      </c>
      <c r="E597" s="1" t="s">
        <v>17</v>
      </c>
      <c r="F597" s="1">
        <v>54927</v>
      </c>
      <c r="G597">
        <v>4.95</v>
      </c>
      <c r="H597" t="s">
        <v>9</v>
      </c>
      <c r="L597" t="s">
        <v>1168</v>
      </c>
      <c r="M597" t="s">
        <v>10</v>
      </c>
      <c r="N597" t="s">
        <v>16</v>
      </c>
      <c r="O597" t="s">
        <v>3203</v>
      </c>
      <c r="P597" t="s">
        <v>2629</v>
      </c>
      <c r="Q597" t="s">
        <v>3205</v>
      </c>
      <c r="R597" t="s">
        <v>1340</v>
      </c>
      <c r="S597">
        <v>10058258.9664125</v>
      </c>
      <c r="T597">
        <v>33</v>
      </c>
      <c r="W597" t="s">
        <v>1306</v>
      </c>
      <c r="X597" t="str">
        <f t="shared" si="9"/>
        <v>BJ450829@TRAC Corp</v>
      </c>
      <c r="Y597">
        <f>_xlfn.IFNA(_xll.BDP(X597,"INTERVAL_SUM", "MARKET_DATA_OVERRIDE=px_volume", "CALC_INTERVAL=5D"), "")</f>
        <v>9197</v>
      </c>
      <c r="Z597" cm="1">
        <f t="array" ref="Z597">_xll.BDP(B597, "CF_ACT_CASH_PAID_FOR_INT_DEBT")</f>
        <v>833</v>
      </c>
      <c r="AA597" t="str" cm="1">
        <f t="array" ref="AA597">_xll.BDP(B597, "TYPE_OF_BOND")</f>
        <v>#N/A Field Not Applicable</v>
      </c>
    </row>
    <row r="598" spans="1:27" x14ac:dyDescent="0.25">
      <c r="A598">
        <v>596</v>
      </c>
      <c r="B598" t="s">
        <v>1341</v>
      </c>
      <c r="C598" s="4" t="s">
        <v>1304</v>
      </c>
      <c r="D598" s="4">
        <v>1000000000</v>
      </c>
      <c r="E598" s="1" t="s">
        <v>17</v>
      </c>
      <c r="F598" s="1">
        <v>48353</v>
      </c>
      <c r="G598">
        <v>4.2</v>
      </c>
      <c r="H598" t="s">
        <v>9</v>
      </c>
      <c r="L598" t="s">
        <v>1168</v>
      </c>
      <c r="M598" t="s">
        <v>10</v>
      </c>
      <c r="N598" t="s">
        <v>16</v>
      </c>
      <c r="O598" t="s">
        <v>3203</v>
      </c>
      <c r="P598" t="s">
        <v>2629</v>
      </c>
      <c r="Q598" t="s">
        <v>3205</v>
      </c>
      <c r="R598" t="s">
        <v>1342</v>
      </c>
      <c r="S598">
        <v>17600382.4077546</v>
      </c>
      <c r="T598">
        <v>33</v>
      </c>
      <c r="W598" t="s">
        <v>1306</v>
      </c>
      <c r="X598" t="str">
        <f t="shared" si="9"/>
        <v>BJ450828@TRAC Corp</v>
      </c>
      <c r="Y598">
        <f>_xlfn.IFNA(_xll.BDP(X598,"INTERVAL_SUM", "MARKET_DATA_OVERRIDE=px_volume", "CALC_INTERVAL=5D"), "")</f>
        <v>20467</v>
      </c>
      <c r="Z598" cm="1">
        <f t="array" ref="Z598">_xll.BDP(B598, "CF_ACT_CASH_PAID_FOR_INT_DEBT")</f>
        <v>833</v>
      </c>
      <c r="AA598" t="str" cm="1">
        <f t="array" ref="AA598">_xll.BDP(B598, "TYPE_OF_BOND")</f>
        <v>#N/A Field Not Applicable</v>
      </c>
    </row>
    <row r="599" spans="1:27" x14ac:dyDescent="0.25">
      <c r="A599">
        <v>597</v>
      </c>
      <c r="B599" t="s">
        <v>1343</v>
      </c>
      <c r="C599" s="4" t="s">
        <v>1304</v>
      </c>
      <c r="D599" s="4">
        <v>1250000000</v>
      </c>
      <c r="E599" s="1" t="s">
        <v>17</v>
      </c>
      <c r="F599" s="1">
        <v>47863</v>
      </c>
      <c r="G599">
        <v>4.95</v>
      </c>
      <c r="H599" t="s">
        <v>9</v>
      </c>
      <c r="L599" t="s">
        <v>1168</v>
      </c>
      <c r="M599" t="s">
        <v>10</v>
      </c>
      <c r="N599" t="s">
        <v>16</v>
      </c>
      <c r="O599" t="s">
        <v>3203</v>
      </c>
      <c r="P599" t="s">
        <v>2629</v>
      </c>
      <c r="Q599" t="s">
        <v>3205</v>
      </c>
      <c r="R599" t="s">
        <v>1344</v>
      </c>
      <c r="S599">
        <v>24294829.771426301</v>
      </c>
      <c r="T599">
        <v>54</v>
      </c>
      <c r="W599" t="s">
        <v>1306</v>
      </c>
      <c r="X599" t="str">
        <f t="shared" si="9"/>
        <v>BH428437@TRAC Corp</v>
      </c>
      <c r="Y599">
        <f>_xlfn.IFNA(_xll.BDP(X599,"INTERVAL_SUM", "MARKET_DATA_OVERRIDE=px_volume", "CALC_INTERVAL=5D"), "")</f>
        <v>20620</v>
      </c>
      <c r="Z599" cm="1">
        <f t="array" ref="Z599">_xll.BDP(B599, "CF_ACT_CASH_PAID_FOR_INT_DEBT")</f>
        <v>833</v>
      </c>
      <c r="AA599" t="str" cm="1">
        <f t="array" ref="AA599">_xll.BDP(B599, "TYPE_OF_BOND")</f>
        <v>#N/A Field Not Applicable</v>
      </c>
    </row>
    <row r="600" spans="1:27" x14ac:dyDescent="0.25">
      <c r="A600">
        <v>598</v>
      </c>
      <c r="B600" t="s">
        <v>1345</v>
      </c>
      <c r="C600" s="4" t="s">
        <v>1304</v>
      </c>
      <c r="D600" s="4">
        <v>500000000</v>
      </c>
      <c r="E600" s="1" t="s">
        <v>17</v>
      </c>
      <c r="F600" s="1">
        <v>47270</v>
      </c>
      <c r="G600">
        <v>4.2</v>
      </c>
      <c r="H600" t="s">
        <v>9</v>
      </c>
      <c r="L600" t="s">
        <v>1168</v>
      </c>
      <c r="M600" t="s">
        <v>10</v>
      </c>
      <c r="N600" t="s">
        <v>16</v>
      </c>
      <c r="O600" t="s">
        <v>3203</v>
      </c>
      <c r="P600" t="s">
        <v>2629</v>
      </c>
      <c r="Q600" t="s">
        <v>3205</v>
      </c>
      <c r="R600" t="s">
        <v>1346</v>
      </c>
      <c r="S600">
        <v>7168965.8296182798</v>
      </c>
      <c r="T600">
        <v>41</v>
      </c>
      <c r="W600" t="s">
        <v>1306</v>
      </c>
      <c r="X600" t="str">
        <f t="shared" si="9"/>
        <v>AX333946@TRAC Corp</v>
      </c>
      <c r="Y600">
        <f>_xlfn.IFNA(_xll.BDP(X600,"INTERVAL_SUM", "MARKET_DATA_OVERRIDE=px_volume", "CALC_INTERVAL=5D"), "")</f>
        <v>2682</v>
      </c>
      <c r="Z600" cm="1">
        <f t="array" ref="Z600">_xll.BDP(B600, "CF_ACT_CASH_PAID_FOR_INT_DEBT")</f>
        <v>833</v>
      </c>
      <c r="AA600" t="str" cm="1">
        <f t="array" ref="AA600">_xll.BDP(B600, "TYPE_OF_BOND")</f>
        <v>#N/A Field Not Applicable</v>
      </c>
    </row>
    <row r="601" spans="1:27" x14ac:dyDescent="0.25">
      <c r="A601">
        <v>599</v>
      </c>
      <c r="B601" t="s">
        <v>1347</v>
      </c>
      <c r="C601" s="4" t="s">
        <v>1304</v>
      </c>
      <c r="D601" s="4">
        <v>494000000</v>
      </c>
      <c r="E601" s="1" t="s">
        <v>17</v>
      </c>
      <c r="F601" s="1">
        <v>46905</v>
      </c>
      <c r="G601">
        <v>3.7</v>
      </c>
      <c r="H601" t="s">
        <v>9</v>
      </c>
      <c r="L601" t="s">
        <v>1168</v>
      </c>
      <c r="M601" t="s">
        <v>10</v>
      </c>
      <c r="N601" t="s">
        <v>16</v>
      </c>
      <c r="O601" t="s">
        <v>3203</v>
      </c>
      <c r="P601" t="s">
        <v>2629</v>
      </c>
      <c r="Q601" t="s">
        <v>3205</v>
      </c>
      <c r="R601" t="s">
        <v>1348</v>
      </c>
      <c r="S601">
        <v>12758832.2225594</v>
      </c>
      <c r="T601">
        <v>53</v>
      </c>
      <c r="W601" t="s">
        <v>1306</v>
      </c>
      <c r="X601" t="str">
        <f t="shared" si="9"/>
        <v>AV620013@TRAC Corp</v>
      </c>
      <c r="Y601">
        <f>_xlfn.IFNA(_xll.BDP(X601,"INTERVAL_SUM", "MARKET_DATA_OVERRIDE=px_volume", "CALC_INTERVAL=5D"), "")</f>
        <v>2846</v>
      </c>
      <c r="Z601" cm="1">
        <f t="array" ref="Z601">_xll.BDP(B601, "CF_ACT_CASH_PAID_FOR_INT_DEBT")</f>
        <v>833</v>
      </c>
      <c r="AA601" t="str" cm="1">
        <f t="array" ref="AA601">_xll.BDP(B601, "TYPE_OF_BOND")</f>
        <v>#N/A Field Not Applicable</v>
      </c>
    </row>
    <row r="602" spans="1:27" x14ac:dyDescent="0.25">
      <c r="A602">
        <v>600</v>
      </c>
      <c r="B602" t="s">
        <v>1349</v>
      </c>
      <c r="C602" s="4" t="s">
        <v>1304</v>
      </c>
      <c r="D602" s="4">
        <v>6000000</v>
      </c>
      <c r="E602" s="1" t="s">
        <v>17</v>
      </c>
      <c r="F602" s="1">
        <v>46905</v>
      </c>
      <c r="G602">
        <v>3.7</v>
      </c>
      <c r="H602" t="s">
        <v>9</v>
      </c>
      <c r="L602" t="s">
        <v>1168</v>
      </c>
      <c r="M602" t="s">
        <v>10</v>
      </c>
      <c r="N602" t="s">
        <v>16</v>
      </c>
      <c r="O602" t="s">
        <v>3203</v>
      </c>
      <c r="P602" t="s">
        <v>2629</v>
      </c>
      <c r="Q602" t="s">
        <v>3205</v>
      </c>
      <c r="R602" t="s">
        <v>1348</v>
      </c>
      <c r="S602">
        <v>-9997</v>
      </c>
      <c r="U602" t="s">
        <v>1169</v>
      </c>
      <c r="W602" t="s">
        <v>1306</v>
      </c>
      <c r="X602" t="str">
        <f t="shared" si="9"/>
        <v>AQ010221@TRAC Corp</v>
      </c>
      <c r="Y602" t="str">
        <f>_xlfn.IFNA(_xll.BDP(X602,"INTERVAL_SUM", "MARKET_DATA_OVERRIDE=px_volume", "CALC_INTERVAL=5D"), "")</f>
        <v>#N/A N/A</v>
      </c>
      <c r="Z602" cm="1">
        <f t="array" ref="Z602">_xll.BDP(B602, "CF_ACT_CASH_PAID_FOR_INT_DEBT")</f>
        <v>833</v>
      </c>
      <c r="AA602" t="str" cm="1">
        <f t="array" ref="AA602">_xll.BDP(B602, "TYPE_OF_BOND")</f>
        <v>#N/A Field Not Applicable</v>
      </c>
    </row>
    <row r="603" spans="1:27" x14ac:dyDescent="0.25">
      <c r="A603">
        <v>601</v>
      </c>
      <c r="B603" t="s">
        <v>1350</v>
      </c>
      <c r="C603" s="4" t="s">
        <v>1304</v>
      </c>
      <c r="D603" s="4">
        <v>500000000</v>
      </c>
      <c r="E603" s="1" t="s">
        <v>17</v>
      </c>
      <c r="F603" s="1">
        <v>46798</v>
      </c>
      <c r="G603">
        <v>3.375</v>
      </c>
      <c r="H603" t="s">
        <v>9</v>
      </c>
      <c r="L603" t="s">
        <v>1168</v>
      </c>
      <c r="M603" t="s">
        <v>10</v>
      </c>
      <c r="N603" t="s">
        <v>16</v>
      </c>
      <c r="O603" t="s">
        <v>3203</v>
      </c>
      <c r="P603" t="s">
        <v>2629</v>
      </c>
      <c r="Q603" t="s">
        <v>3205</v>
      </c>
      <c r="R603" t="s">
        <v>1351</v>
      </c>
      <c r="S603">
        <v>16262834.111959299</v>
      </c>
      <c r="T603">
        <v>52</v>
      </c>
      <c r="W603" t="s">
        <v>1306</v>
      </c>
      <c r="X603" t="str">
        <f t="shared" si="9"/>
        <v>AO125940@TRAC Corp</v>
      </c>
      <c r="Y603">
        <f>_xlfn.IFNA(_xll.BDP(X603,"INTERVAL_SUM", "MARKET_DATA_OVERRIDE=px_volume", "CALC_INTERVAL=5D"), "")</f>
        <v>9752</v>
      </c>
      <c r="Z603" cm="1">
        <f t="array" ref="Z603">_xll.BDP(B603, "CF_ACT_CASH_PAID_FOR_INT_DEBT")</f>
        <v>833</v>
      </c>
      <c r="AA603" t="str" cm="1">
        <f t="array" ref="AA603">_xll.BDP(B603, "TYPE_OF_BOND")</f>
        <v>#N/A Field Not Applicable</v>
      </c>
    </row>
    <row r="604" spans="1:27" x14ac:dyDescent="0.25">
      <c r="A604">
        <v>602</v>
      </c>
      <c r="B604" t="s">
        <v>1352</v>
      </c>
      <c r="C604" s="4" t="s">
        <v>1304</v>
      </c>
      <c r="D604" s="4">
        <v>650000000</v>
      </c>
      <c r="E604" s="1" t="s">
        <v>1161</v>
      </c>
      <c r="F604" s="1">
        <v>57404</v>
      </c>
      <c r="G604">
        <v>6.25</v>
      </c>
      <c r="H604" t="s">
        <v>1162</v>
      </c>
      <c r="I604" t="s">
        <v>2683</v>
      </c>
      <c r="L604" t="s">
        <v>1168</v>
      </c>
      <c r="M604" t="s">
        <v>10</v>
      </c>
      <c r="N604" t="s">
        <v>16</v>
      </c>
      <c r="O604" t="s">
        <v>3203</v>
      </c>
      <c r="P604" t="s">
        <v>2629</v>
      </c>
      <c r="Q604" t="s">
        <v>3205</v>
      </c>
      <c r="R604" t="s">
        <v>1353</v>
      </c>
      <c r="S604">
        <v>13142904.909915701</v>
      </c>
      <c r="T604">
        <v>16</v>
      </c>
      <c r="W604" t="s">
        <v>1306</v>
      </c>
      <c r="X604" t="str">
        <f t="shared" si="9"/>
        <v>AM638571@TRAC Corp</v>
      </c>
      <c r="Y604">
        <f>_xlfn.IFNA(_xll.BDP(X604,"INTERVAL_SUM", "MARKET_DATA_OVERRIDE=px_volume", "CALC_INTERVAL=5D"), "")</f>
        <v>3830</v>
      </c>
      <c r="Z604" cm="1">
        <f t="array" ref="Z604">_xll.BDP(B604, "CF_ACT_CASH_PAID_FOR_INT_DEBT")</f>
        <v>833</v>
      </c>
      <c r="AA604" t="str" cm="1">
        <f t="array" ref="AA604">_xll.BDP(B604, "TYPE_OF_BOND")</f>
        <v>Hybrid</v>
      </c>
    </row>
    <row r="605" spans="1:27" x14ac:dyDescent="0.25">
      <c r="A605">
        <v>603</v>
      </c>
      <c r="B605" t="s">
        <v>1354</v>
      </c>
      <c r="C605" s="4" t="s">
        <v>1304</v>
      </c>
      <c r="D605" s="4">
        <v>2150000000</v>
      </c>
      <c r="E605" s="1" t="s">
        <v>17</v>
      </c>
      <c r="F605" s="1">
        <v>46776</v>
      </c>
      <c r="G605">
        <v>5.1189</v>
      </c>
      <c r="H605" t="s">
        <v>13</v>
      </c>
      <c r="I605" t="s">
        <v>2631</v>
      </c>
      <c r="J605">
        <v>137.5</v>
      </c>
      <c r="L605" t="s">
        <v>1168</v>
      </c>
      <c r="M605" t="s">
        <v>10</v>
      </c>
      <c r="N605" t="s">
        <v>16</v>
      </c>
      <c r="O605" t="s">
        <v>3203</v>
      </c>
      <c r="P605" t="s">
        <v>2629</v>
      </c>
      <c r="Q605" t="s">
        <v>3205</v>
      </c>
      <c r="R605" t="s">
        <v>1355</v>
      </c>
      <c r="V605" t="s">
        <v>226</v>
      </c>
      <c r="W605" t="s">
        <v>1306</v>
      </c>
      <c r="X605" t="str">
        <f t="shared" si="9"/>
        <v>BL710307@TRAC Corp</v>
      </c>
      <c r="Y605" t="str">
        <f>_xlfn.IFNA(_xll.BDP(X605,"INTERVAL_SUM", "MARKET_DATA_OVERRIDE=px_volume", "CALC_INTERVAL=5D"), "")</f>
        <v>#N/A N/A</v>
      </c>
      <c r="Z605" cm="1">
        <f t="array" ref="Z605">_xll.BDP(B605, "CF_ACT_CASH_PAID_FOR_INT_DEBT")</f>
        <v>833</v>
      </c>
      <c r="AA605" t="str" cm="1">
        <f t="array" ref="AA605">_xll.BDP(B605, "TYPE_OF_BOND")</f>
        <v>#N/A Field Not Applicable</v>
      </c>
    </row>
    <row r="606" spans="1:27" x14ac:dyDescent="0.25">
      <c r="A606">
        <v>604</v>
      </c>
      <c r="B606" t="s">
        <v>3439</v>
      </c>
      <c r="C606" s="4" t="s">
        <v>3440</v>
      </c>
      <c r="D606" s="4">
        <v>355000000</v>
      </c>
      <c r="E606" s="1" t="s">
        <v>33</v>
      </c>
      <c r="F606" s="1">
        <v>47689</v>
      </c>
      <c r="G606">
        <v>12.679500000000001</v>
      </c>
      <c r="H606" t="s">
        <v>13</v>
      </c>
      <c r="I606" t="s">
        <v>2631</v>
      </c>
      <c r="J606">
        <v>900</v>
      </c>
      <c r="L606" t="s">
        <v>1168</v>
      </c>
      <c r="M606" t="s">
        <v>10</v>
      </c>
      <c r="N606" t="s">
        <v>36</v>
      </c>
      <c r="O606" t="s">
        <v>3127</v>
      </c>
      <c r="P606" t="s">
        <v>2646</v>
      </c>
      <c r="Q606" t="s">
        <v>3128</v>
      </c>
      <c r="R606" t="s">
        <v>3441</v>
      </c>
      <c r="V606" t="s">
        <v>227</v>
      </c>
      <c r="W606" t="s">
        <v>1356</v>
      </c>
      <c r="X606" t="str">
        <f t="shared" si="9"/>
        <v>BL399866@TRAC Corp</v>
      </c>
      <c r="Y606" t="str">
        <f>_xlfn.IFNA(_xll.BDP(X606,"INTERVAL_SUM", "MARKET_DATA_OVERRIDE=px_volume", "CALC_INTERVAL=5D"), "")</f>
        <v>#N/A N/A</v>
      </c>
      <c r="Z606" t="str" cm="1">
        <f t="array" ref="Z606">_xll.BDP(B606, "CF_ACT_CASH_PAID_FOR_INT_DEBT")</f>
        <v>#N/A N/A</v>
      </c>
      <c r="AA606" t="str" cm="1">
        <f t="array" ref="AA606">_xll.BDP(B606, "TYPE_OF_BOND")</f>
        <v>#N/A Field Not Applicable</v>
      </c>
    </row>
    <row r="607" spans="1:27" x14ac:dyDescent="0.25">
      <c r="A607">
        <v>605</v>
      </c>
      <c r="B607" t="s">
        <v>3442</v>
      </c>
      <c r="C607" s="4" t="s">
        <v>3440</v>
      </c>
      <c r="D607" s="4">
        <v>31000000</v>
      </c>
      <c r="E607" s="1" t="s">
        <v>11</v>
      </c>
      <c r="F607" s="1">
        <v>47233</v>
      </c>
      <c r="G607">
        <v>8.9939</v>
      </c>
      <c r="H607" t="s">
        <v>13</v>
      </c>
      <c r="I607" t="s">
        <v>2631</v>
      </c>
      <c r="J607">
        <v>525</v>
      </c>
      <c r="L607" t="s">
        <v>1168</v>
      </c>
      <c r="M607" t="s">
        <v>10</v>
      </c>
      <c r="N607" t="s">
        <v>36</v>
      </c>
      <c r="O607" t="s">
        <v>3127</v>
      </c>
      <c r="P607" t="s">
        <v>2646</v>
      </c>
      <c r="Q607" t="s">
        <v>3128</v>
      </c>
      <c r="R607" t="s">
        <v>3443</v>
      </c>
      <c r="V607" t="s">
        <v>226</v>
      </c>
      <c r="W607" t="s">
        <v>1356</v>
      </c>
      <c r="X607" t="str">
        <f t="shared" si="9"/>
        <v>BL394352@TRAC Corp</v>
      </c>
      <c r="Y607" t="str">
        <f>_xlfn.IFNA(_xll.BDP(X607,"INTERVAL_SUM", "MARKET_DATA_OVERRIDE=px_volume", "CALC_INTERVAL=5D"), "")</f>
        <v>#N/A N/A</v>
      </c>
      <c r="Z607" t="str" cm="1">
        <f t="array" ref="Z607">_xll.BDP(B607, "CF_ACT_CASH_PAID_FOR_INT_DEBT")</f>
        <v>#N/A N/A</v>
      </c>
      <c r="AA607" t="str" cm="1">
        <f t="array" ref="AA607">_xll.BDP(B607, "TYPE_OF_BOND")</f>
        <v>#N/A Field Not Applicable</v>
      </c>
    </row>
    <row r="608" spans="1:27" x14ac:dyDescent="0.25">
      <c r="A608">
        <v>606</v>
      </c>
      <c r="B608" t="s">
        <v>3444</v>
      </c>
      <c r="C608" s="4" t="s">
        <v>3440</v>
      </c>
      <c r="D608" s="4">
        <v>1628737375.3499899</v>
      </c>
      <c r="E608" s="1" t="s">
        <v>11</v>
      </c>
      <c r="F608" s="1">
        <v>47324</v>
      </c>
      <c r="G608">
        <v>8.9861000000000004</v>
      </c>
      <c r="H608" t="s">
        <v>13</v>
      </c>
      <c r="I608" t="s">
        <v>2635</v>
      </c>
      <c r="J608">
        <v>525</v>
      </c>
      <c r="L608" t="s">
        <v>1168</v>
      </c>
      <c r="M608" t="s">
        <v>10</v>
      </c>
      <c r="N608" t="s">
        <v>36</v>
      </c>
      <c r="O608" t="s">
        <v>3127</v>
      </c>
      <c r="P608" t="s">
        <v>2646</v>
      </c>
      <c r="Q608" t="s">
        <v>3128</v>
      </c>
      <c r="R608" t="s">
        <v>3445</v>
      </c>
      <c r="S608">
        <v>3000000</v>
      </c>
      <c r="T608">
        <v>12</v>
      </c>
      <c r="V608" t="s">
        <v>227</v>
      </c>
      <c r="W608" t="s">
        <v>1356</v>
      </c>
      <c r="X608" t="str">
        <f t="shared" si="9"/>
        <v>BL393975@TRAC Corp</v>
      </c>
      <c r="Y608" t="str">
        <f>_xlfn.IFNA(_xll.BDP(X608,"INTERVAL_SUM", "MARKET_DATA_OVERRIDE=px_volume", "CALC_INTERVAL=5D"), "")</f>
        <v>#N/A N/A</v>
      </c>
      <c r="Z608" t="str" cm="1">
        <f t="array" ref="Z608">_xll.BDP(B608, "CF_ACT_CASH_PAID_FOR_INT_DEBT")</f>
        <v>#N/A N/A</v>
      </c>
      <c r="AA608" t="str" cm="1">
        <f t="array" ref="AA608">_xll.BDP(B608, "TYPE_OF_BOND")</f>
        <v>#N/A Field Not Applicable</v>
      </c>
    </row>
    <row r="609" spans="1:27" x14ac:dyDescent="0.25">
      <c r="A609">
        <v>607</v>
      </c>
      <c r="B609" t="s">
        <v>1357</v>
      </c>
      <c r="C609" s="4" t="s">
        <v>1358</v>
      </c>
      <c r="D609" s="4">
        <v>350000000</v>
      </c>
      <c r="E609" s="1" t="s">
        <v>11</v>
      </c>
      <c r="F609" s="1">
        <v>46843</v>
      </c>
      <c r="G609">
        <v>9.7795000000000005</v>
      </c>
      <c r="H609" t="s">
        <v>13</v>
      </c>
      <c r="I609" t="s">
        <v>2631</v>
      </c>
      <c r="J609">
        <v>600</v>
      </c>
      <c r="L609" t="s">
        <v>1168</v>
      </c>
      <c r="M609" t="s">
        <v>10</v>
      </c>
      <c r="N609" t="s">
        <v>333</v>
      </c>
      <c r="O609" t="s">
        <v>3181</v>
      </c>
      <c r="P609" t="s">
        <v>2678</v>
      </c>
      <c r="Q609" t="s">
        <v>3182</v>
      </c>
      <c r="R609" t="s">
        <v>1359</v>
      </c>
      <c r="S609">
        <v>3000000</v>
      </c>
      <c r="T609">
        <v>10</v>
      </c>
      <c r="V609" t="s">
        <v>1360</v>
      </c>
      <c r="W609" t="s">
        <v>1361</v>
      </c>
      <c r="X609" t="str">
        <f t="shared" si="9"/>
        <v>BL426645@TRAC Corp</v>
      </c>
      <c r="Y609" t="str">
        <f>_xlfn.IFNA(_xll.BDP(X609,"INTERVAL_SUM", "MARKET_DATA_OVERRIDE=px_volume", "CALC_INTERVAL=5D"), "")</f>
        <v>#N/A N/A</v>
      </c>
      <c r="Z609" t="str" cm="1">
        <f t="array" ref="Z609">_xll.BDP(B609, "CF_ACT_CASH_PAID_FOR_INT_DEBT")</f>
        <v>#N/A N/A</v>
      </c>
      <c r="AA609" t="str" cm="1">
        <f t="array" ref="AA609">_xll.BDP(B609, "TYPE_OF_BOND")</f>
        <v>#N/A Field Not Applicable</v>
      </c>
    </row>
    <row r="610" spans="1:27" x14ac:dyDescent="0.25">
      <c r="A610">
        <v>608</v>
      </c>
      <c r="B610" t="s">
        <v>1362</v>
      </c>
      <c r="C610" s="4" t="s">
        <v>1358</v>
      </c>
      <c r="D610" s="4">
        <v>1625000000</v>
      </c>
      <c r="E610" s="1" t="s">
        <v>11</v>
      </c>
      <c r="F610" s="1">
        <v>46843</v>
      </c>
      <c r="G610">
        <v>9.7439</v>
      </c>
      <c r="H610" t="s">
        <v>13</v>
      </c>
      <c r="I610" t="s">
        <v>2631</v>
      </c>
      <c r="J610">
        <v>600</v>
      </c>
      <c r="L610" t="s">
        <v>1168</v>
      </c>
      <c r="M610" t="s">
        <v>10</v>
      </c>
      <c r="N610" t="s">
        <v>333</v>
      </c>
      <c r="O610" t="s">
        <v>3181</v>
      </c>
      <c r="P610" t="s">
        <v>2678</v>
      </c>
      <c r="Q610" t="s">
        <v>3182</v>
      </c>
      <c r="R610" t="s">
        <v>1359</v>
      </c>
      <c r="S610">
        <v>4072786.6237114398</v>
      </c>
      <c r="T610">
        <v>7</v>
      </c>
      <c r="V610" t="s">
        <v>1360</v>
      </c>
      <c r="W610" t="s">
        <v>1361</v>
      </c>
      <c r="X610" t="str">
        <f t="shared" si="9"/>
        <v>BL387429@TRAC Corp</v>
      </c>
      <c r="Y610" t="str">
        <f>_xlfn.IFNA(_xll.BDP(X610,"INTERVAL_SUM", "MARKET_DATA_OVERRIDE=px_volume", "CALC_INTERVAL=5D"), "")</f>
        <v>#N/A N/A</v>
      </c>
      <c r="Z610" t="str" cm="1">
        <f t="array" ref="Z610">_xll.BDP(B610, "CF_ACT_CASH_PAID_FOR_INT_DEBT")</f>
        <v>#N/A N/A</v>
      </c>
      <c r="AA610" t="str" cm="1">
        <f t="array" ref="AA610">_xll.BDP(B610, "TYPE_OF_BOND")</f>
        <v>#N/A Field Not Applicable</v>
      </c>
    </row>
    <row r="611" spans="1:27" x14ac:dyDescent="0.25">
      <c r="A611">
        <v>609</v>
      </c>
      <c r="B611" t="s">
        <v>3446</v>
      </c>
      <c r="C611" s="4" t="s">
        <v>3447</v>
      </c>
      <c r="D611" s="4">
        <v>1616506000</v>
      </c>
      <c r="E611" s="1" t="s">
        <v>11</v>
      </c>
      <c r="F611" s="1">
        <v>46814</v>
      </c>
      <c r="G611">
        <v>7.165</v>
      </c>
      <c r="H611" t="s">
        <v>13</v>
      </c>
      <c r="I611" t="s">
        <v>2635</v>
      </c>
      <c r="J611">
        <v>350</v>
      </c>
      <c r="L611" t="s">
        <v>1168</v>
      </c>
      <c r="M611" t="s">
        <v>10</v>
      </c>
      <c r="N611" t="s">
        <v>15</v>
      </c>
      <c r="O611" t="s">
        <v>3110</v>
      </c>
      <c r="P611" t="s">
        <v>2637</v>
      </c>
      <c r="Q611" t="s">
        <v>3123</v>
      </c>
      <c r="R611" t="s">
        <v>3448</v>
      </c>
      <c r="S611">
        <v>2000000</v>
      </c>
      <c r="T611">
        <v>5</v>
      </c>
      <c r="V611" t="s">
        <v>227</v>
      </c>
      <c r="W611" t="s">
        <v>1363</v>
      </c>
      <c r="X611" t="str">
        <f t="shared" si="9"/>
        <v>BL467574@TRAC Corp</v>
      </c>
      <c r="Y611" t="str">
        <f>_xlfn.IFNA(_xll.BDP(X611,"INTERVAL_SUM", "MARKET_DATA_OVERRIDE=px_volume", "CALC_INTERVAL=5D"), "")</f>
        <v>#N/A N/A</v>
      </c>
      <c r="Z611" t="str" cm="1">
        <f t="array" ref="Z611">_xll.BDP(B611, "CF_ACT_CASH_PAID_FOR_INT_DEBT")</f>
        <v>#N/A N/A</v>
      </c>
      <c r="AA611" t="str" cm="1">
        <f t="array" ref="AA611">_xll.BDP(B611, "TYPE_OF_BOND")</f>
        <v>#N/A Field Not Applicable</v>
      </c>
    </row>
    <row r="612" spans="1:27" x14ac:dyDescent="0.25">
      <c r="A612">
        <v>610</v>
      </c>
      <c r="B612" t="s">
        <v>3449</v>
      </c>
      <c r="C612" s="4" t="s">
        <v>3447</v>
      </c>
      <c r="D612" s="4">
        <v>410000000</v>
      </c>
      <c r="E612" s="1" t="s">
        <v>33</v>
      </c>
      <c r="F612" s="1">
        <v>47179</v>
      </c>
      <c r="G612">
        <v>10.414</v>
      </c>
      <c r="H612" t="s">
        <v>13</v>
      </c>
      <c r="I612" t="s">
        <v>2635</v>
      </c>
      <c r="J612">
        <v>675</v>
      </c>
      <c r="L612" t="s">
        <v>1168</v>
      </c>
      <c r="M612" t="s">
        <v>10</v>
      </c>
      <c r="N612" t="s">
        <v>15</v>
      </c>
      <c r="O612" t="s">
        <v>3110</v>
      </c>
      <c r="P612" t="s">
        <v>2637</v>
      </c>
      <c r="Q612" t="s">
        <v>3123</v>
      </c>
      <c r="R612" t="s">
        <v>3450</v>
      </c>
      <c r="S612">
        <v>2000000</v>
      </c>
      <c r="T612">
        <v>7</v>
      </c>
      <c r="V612" t="s">
        <v>227</v>
      </c>
      <c r="W612" t="s">
        <v>1363</v>
      </c>
      <c r="X612" t="str">
        <f t="shared" si="9"/>
        <v>BL354687@TRAC Corp</v>
      </c>
      <c r="Y612" t="str">
        <f>_xlfn.IFNA(_xll.BDP(X612,"INTERVAL_SUM", "MARKET_DATA_OVERRIDE=px_volume", "CALC_INTERVAL=5D"), "")</f>
        <v>#N/A N/A</v>
      </c>
      <c r="Z612" t="str" cm="1">
        <f t="array" ref="Z612">_xll.BDP(B612, "CF_ACT_CASH_PAID_FOR_INT_DEBT")</f>
        <v>#N/A N/A</v>
      </c>
      <c r="AA612" t="str" cm="1">
        <f t="array" ref="AA612">_xll.BDP(B612, "TYPE_OF_BOND")</f>
        <v>#N/A Field Not Applicable</v>
      </c>
    </row>
    <row r="613" spans="1:27" x14ac:dyDescent="0.25">
      <c r="A613">
        <v>611</v>
      </c>
      <c r="B613" t="s">
        <v>1364</v>
      </c>
      <c r="C613" s="4" t="s">
        <v>1365</v>
      </c>
      <c r="D613" s="4">
        <v>250284515</v>
      </c>
      <c r="E613" s="1" t="s">
        <v>11</v>
      </c>
      <c r="F613" s="1">
        <v>46888</v>
      </c>
      <c r="G613">
        <v>3.5</v>
      </c>
      <c r="H613" t="s">
        <v>9</v>
      </c>
      <c r="L613" t="s">
        <v>1168</v>
      </c>
      <c r="M613" t="s">
        <v>10</v>
      </c>
      <c r="N613" t="s">
        <v>15</v>
      </c>
      <c r="O613" t="s">
        <v>3110</v>
      </c>
      <c r="P613" t="s">
        <v>2637</v>
      </c>
      <c r="Q613" t="s">
        <v>3112</v>
      </c>
      <c r="R613" t="s">
        <v>1366</v>
      </c>
      <c r="S613">
        <v>3851990.0930317198</v>
      </c>
      <c r="T613">
        <v>13</v>
      </c>
      <c r="U613" t="s">
        <v>1169</v>
      </c>
      <c r="W613" t="s">
        <v>1367</v>
      </c>
      <c r="X613" t="str">
        <f t="shared" si="9"/>
        <v>ZD745914@TRAC Corp</v>
      </c>
      <c r="Y613">
        <f>_xlfn.IFNA(_xll.BDP(X613,"INTERVAL_SUM", "MARKET_DATA_OVERRIDE=px_volume", "CALC_INTERVAL=5D"), "")</f>
        <v>2255</v>
      </c>
      <c r="Z613" cm="1">
        <f t="array" ref="Z613">_xll.BDP(B613, "CF_ACT_CASH_PAID_FOR_INT_DEBT")</f>
        <v>82.8</v>
      </c>
      <c r="AA613" t="str" cm="1">
        <f t="array" ref="AA613">_xll.BDP(B613, "TYPE_OF_BOND")</f>
        <v>#N/A Field Not Applicable</v>
      </c>
    </row>
    <row r="614" spans="1:27" x14ac:dyDescent="0.25">
      <c r="A614">
        <v>612</v>
      </c>
      <c r="B614" t="s">
        <v>1368</v>
      </c>
      <c r="C614" s="4" t="s">
        <v>1365</v>
      </c>
      <c r="D614" s="4">
        <v>43903000</v>
      </c>
      <c r="E614" s="1" t="s">
        <v>11</v>
      </c>
      <c r="F614" s="1">
        <v>46798</v>
      </c>
      <c r="G614">
        <v>3.5</v>
      </c>
      <c r="H614" t="s">
        <v>9</v>
      </c>
      <c r="L614" t="s">
        <v>1168</v>
      </c>
      <c r="M614" t="s">
        <v>10</v>
      </c>
      <c r="N614" t="s">
        <v>15</v>
      </c>
      <c r="O614" t="s">
        <v>3110</v>
      </c>
      <c r="P614" t="s">
        <v>2637</v>
      </c>
      <c r="Q614" t="s">
        <v>3112</v>
      </c>
      <c r="R614" t="s">
        <v>1369</v>
      </c>
      <c r="S614">
        <v>4869581.4647315796</v>
      </c>
      <c r="T614">
        <v>7</v>
      </c>
      <c r="U614" t="s">
        <v>1169</v>
      </c>
      <c r="W614" t="s">
        <v>1367</v>
      </c>
      <c r="X614" t="str">
        <f t="shared" si="9"/>
        <v>BN870946@TRAC Corp</v>
      </c>
      <c r="Y614" t="str">
        <f>_xlfn.IFNA(_xll.BDP(X614,"INTERVAL_SUM", "MARKET_DATA_OVERRIDE=px_volume", "CALC_INTERVAL=5D"), "")</f>
        <v>#N/A N/A</v>
      </c>
      <c r="Z614" cm="1">
        <f t="array" ref="Z614">_xll.BDP(B614, "CF_ACT_CASH_PAID_FOR_INT_DEBT")</f>
        <v>82.8</v>
      </c>
      <c r="AA614" t="str" cm="1">
        <f t="array" ref="AA614">_xll.BDP(B614, "TYPE_OF_BOND")</f>
        <v>#N/A Field Not Applicable</v>
      </c>
    </row>
    <row r="615" spans="1:27" x14ac:dyDescent="0.25">
      <c r="A615">
        <v>613</v>
      </c>
      <c r="B615" t="s">
        <v>1370</v>
      </c>
      <c r="C615" s="4" t="s">
        <v>1365</v>
      </c>
      <c r="D615" s="4">
        <v>125408000</v>
      </c>
      <c r="E615" s="1" t="s">
        <v>17</v>
      </c>
      <c r="F615" s="1">
        <v>47088</v>
      </c>
      <c r="G615">
        <v>5.375</v>
      </c>
      <c r="H615" t="s">
        <v>9</v>
      </c>
      <c r="L615" t="s">
        <v>1168</v>
      </c>
      <c r="M615" t="s">
        <v>10</v>
      </c>
      <c r="N615" t="s">
        <v>15</v>
      </c>
      <c r="O615" t="s">
        <v>3110</v>
      </c>
      <c r="P615" t="s">
        <v>2637</v>
      </c>
      <c r="Q615" t="s">
        <v>3112</v>
      </c>
      <c r="R615" t="s">
        <v>1371</v>
      </c>
      <c r="S615">
        <v>2299584.4175605299</v>
      </c>
      <c r="T615">
        <v>9</v>
      </c>
      <c r="U615" t="s">
        <v>1169</v>
      </c>
      <c r="W615" t="s">
        <v>1367</v>
      </c>
      <c r="X615" t="str">
        <f t="shared" si="9"/>
        <v>BM585206@TRAC Corp</v>
      </c>
      <c r="Y615">
        <f>_xlfn.IFNA(_xll.BDP(X615,"INTERVAL_SUM", "MARKET_DATA_OVERRIDE=px_volume", "CALC_INTERVAL=5D"), "")</f>
        <v>500</v>
      </c>
      <c r="Z615" cm="1">
        <f t="array" ref="Z615">_xll.BDP(B615, "CF_ACT_CASH_PAID_FOR_INT_DEBT")</f>
        <v>82.8</v>
      </c>
      <c r="AA615" t="str" cm="1">
        <f t="array" ref="AA615">_xll.BDP(B615, "TYPE_OF_BOND")</f>
        <v>#N/A Field Not Applicable</v>
      </c>
    </row>
    <row r="616" spans="1:27" x14ac:dyDescent="0.25">
      <c r="A616">
        <v>614</v>
      </c>
      <c r="B616" t="s">
        <v>1372</v>
      </c>
      <c r="C616" s="4" t="s">
        <v>1365</v>
      </c>
      <c r="D616" s="4">
        <v>43600000</v>
      </c>
      <c r="E616" s="1" t="s">
        <v>17</v>
      </c>
      <c r="F616" s="1">
        <v>47295</v>
      </c>
      <c r="H616" t="s">
        <v>13</v>
      </c>
      <c r="L616" t="s">
        <v>1168</v>
      </c>
      <c r="M616" t="s">
        <v>10</v>
      </c>
      <c r="N616" t="s">
        <v>15</v>
      </c>
      <c r="O616" t="s">
        <v>3110</v>
      </c>
      <c r="P616" t="s">
        <v>2634</v>
      </c>
      <c r="Q616" t="s">
        <v>3115</v>
      </c>
      <c r="R616" t="s">
        <v>1373</v>
      </c>
      <c r="V616" t="s">
        <v>227</v>
      </c>
      <c r="W616" t="s">
        <v>1367</v>
      </c>
      <c r="X616" t="str">
        <f t="shared" si="9"/>
        <v>BL472166@TRAC Corp</v>
      </c>
      <c r="Y616" t="str">
        <f>_xlfn.IFNA(_xll.BDP(X616,"INTERVAL_SUM", "MARKET_DATA_OVERRIDE=px_volume", "CALC_INTERVAL=5D"), "")</f>
        <v>#N/A N/A</v>
      </c>
      <c r="Z616" cm="1">
        <f t="array" ref="Z616">_xll.BDP(B616, "CF_ACT_CASH_PAID_FOR_INT_DEBT")</f>
        <v>82.8</v>
      </c>
      <c r="AA616" t="str" cm="1">
        <f t="array" ref="AA616">_xll.BDP(B616, "TYPE_OF_BOND")</f>
        <v>#N/A Field Not Applicable</v>
      </c>
    </row>
    <row r="617" spans="1:27" x14ac:dyDescent="0.25">
      <c r="A617">
        <v>615</v>
      </c>
      <c r="B617" t="s">
        <v>1374</v>
      </c>
      <c r="C617" s="4" t="s">
        <v>1365</v>
      </c>
      <c r="D617" s="4">
        <v>268787500</v>
      </c>
      <c r="E617" s="1" t="s">
        <v>11</v>
      </c>
      <c r="F617" s="1">
        <v>46888</v>
      </c>
      <c r="G617">
        <v>10.0398</v>
      </c>
      <c r="H617" t="s">
        <v>13</v>
      </c>
      <c r="I617" t="s">
        <v>2631</v>
      </c>
      <c r="J617">
        <v>625</v>
      </c>
      <c r="L617" t="s">
        <v>1168</v>
      </c>
      <c r="M617" t="s">
        <v>10</v>
      </c>
      <c r="N617" t="s">
        <v>15</v>
      </c>
      <c r="O617" t="s">
        <v>3110</v>
      </c>
      <c r="P617" t="s">
        <v>2637</v>
      </c>
      <c r="Q617" t="s">
        <v>3112</v>
      </c>
      <c r="R617" t="s">
        <v>1375</v>
      </c>
      <c r="S617">
        <v>2000000</v>
      </c>
      <c r="T617">
        <v>24</v>
      </c>
      <c r="V617" t="s">
        <v>227</v>
      </c>
      <c r="W617" t="s">
        <v>1367</v>
      </c>
      <c r="X617" t="str">
        <f t="shared" si="9"/>
        <v>BL460868@TRAC Corp</v>
      </c>
      <c r="Y617" t="str">
        <f>_xlfn.IFNA(_xll.BDP(X617,"INTERVAL_SUM", "MARKET_DATA_OVERRIDE=px_volume", "CALC_INTERVAL=5D"), "")</f>
        <v>#N/A N/A</v>
      </c>
      <c r="Z617" cm="1">
        <f t="array" ref="Z617">_xll.BDP(B617, "CF_ACT_CASH_PAID_FOR_INT_DEBT")</f>
        <v>82.8</v>
      </c>
      <c r="AA617" t="str" cm="1">
        <f t="array" ref="AA617">_xll.BDP(B617, "TYPE_OF_BOND")</f>
        <v>#N/A Field Not Applicable</v>
      </c>
    </row>
    <row r="618" spans="1:27" x14ac:dyDescent="0.25">
      <c r="A618">
        <v>616</v>
      </c>
      <c r="B618" t="s">
        <v>1376</v>
      </c>
      <c r="C618" s="4" t="s">
        <v>1365</v>
      </c>
      <c r="D618" s="4">
        <v>150000000</v>
      </c>
      <c r="E618" s="1" t="s">
        <v>11</v>
      </c>
      <c r="F618" s="1">
        <v>46888</v>
      </c>
      <c r="G618">
        <v>6.7897999999999996</v>
      </c>
      <c r="H618" t="s">
        <v>13</v>
      </c>
      <c r="I618" t="s">
        <v>2631</v>
      </c>
      <c r="J618">
        <v>300</v>
      </c>
      <c r="L618" t="s">
        <v>1168</v>
      </c>
      <c r="M618" t="s">
        <v>10</v>
      </c>
      <c r="N618" t="s">
        <v>15</v>
      </c>
      <c r="O618" t="s">
        <v>3110</v>
      </c>
      <c r="P618" t="s">
        <v>2637</v>
      </c>
      <c r="Q618" t="s">
        <v>3112</v>
      </c>
      <c r="R618" t="s">
        <v>1377</v>
      </c>
      <c r="V618" t="s">
        <v>226</v>
      </c>
      <c r="W618" t="s">
        <v>1367</v>
      </c>
      <c r="X618" t="str">
        <f t="shared" si="9"/>
        <v>BL460848@TRAC Corp</v>
      </c>
      <c r="Y618" t="str">
        <f>_xlfn.IFNA(_xll.BDP(X618,"INTERVAL_SUM", "MARKET_DATA_OVERRIDE=px_volume", "CALC_INTERVAL=5D"), "")</f>
        <v>#N/A N/A</v>
      </c>
      <c r="Z618" cm="1">
        <f t="array" ref="Z618">_xll.BDP(B618, "CF_ACT_CASH_PAID_FOR_INT_DEBT")</f>
        <v>82.8</v>
      </c>
      <c r="AA618" t="str" cm="1">
        <f t="array" ref="AA618">_xll.BDP(B618, "TYPE_OF_BOND")</f>
        <v>#N/A Field Not Applicable</v>
      </c>
    </row>
    <row r="619" spans="1:27" x14ac:dyDescent="0.25">
      <c r="A619">
        <v>617</v>
      </c>
      <c r="B619" t="s">
        <v>1378</v>
      </c>
      <c r="C619" s="4" t="s">
        <v>1365</v>
      </c>
      <c r="D619" s="4">
        <v>1601499218.33325</v>
      </c>
      <c r="E619" s="1" t="s">
        <v>11</v>
      </c>
      <c r="F619" s="1">
        <v>46888</v>
      </c>
      <c r="G619">
        <v>6.5397999999999996</v>
      </c>
      <c r="H619" t="s">
        <v>13</v>
      </c>
      <c r="I619" t="s">
        <v>2631</v>
      </c>
      <c r="J619">
        <v>275</v>
      </c>
      <c r="L619" t="s">
        <v>1168</v>
      </c>
      <c r="M619" t="s">
        <v>10</v>
      </c>
      <c r="N619" t="s">
        <v>15</v>
      </c>
      <c r="O619" t="s">
        <v>3110</v>
      </c>
      <c r="P619" t="s">
        <v>2637</v>
      </c>
      <c r="Q619" t="s">
        <v>3112</v>
      </c>
      <c r="R619" t="s">
        <v>1375</v>
      </c>
      <c r="S619">
        <v>10000000</v>
      </c>
      <c r="T619">
        <v>15</v>
      </c>
      <c r="V619" t="s">
        <v>227</v>
      </c>
      <c r="W619" t="s">
        <v>1367</v>
      </c>
      <c r="X619" t="str">
        <f t="shared" si="9"/>
        <v>BL460623@TRAC Corp</v>
      </c>
      <c r="Y619" t="str">
        <f>_xlfn.IFNA(_xll.BDP(X619,"INTERVAL_SUM", "MARKET_DATA_OVERRIDE=px_volume", "CALC_INTERVAL=5D"), "")</f>
        <v>#N/A N/A</v>
      </c>
      <c r="Z619" cm="1">
        <f t="array" ref="Z619">_xll.BDP(B619, "CF_ACT_CASH_PAID_FOR_INT_DEBT")</f>
        <v>82.8</v>
      </c>
      <c r="AA619" t="str" cm="1">
        <f t="array" ref="AA619">_xll.BDP(B619, "TYPE_OF_BOND")</f>
        <v>#N/A Field Not Applicable</v>
      </c>
    </row>
    <row r="620" spans="1:27" x14ac:dyDescent="0.25">
      <c r="A620">
        <v>618</v>
      </c>
      <c r="B620" t="s">
        <v>1379</v>
      </c>
      <c r="C620" s="4" t="s">
        <v>1365</v>
      </c>
      <c r="D620" s="4">
        <v>55150000</v>
      </c>
      <c r="E620" s="1" t="s">
        <v>11</v>
      </c>
      <c r="F620" s="1">
        <v>46798</v>
      </c>
      <c r="G620">
        <v>6.5331999999999999</v>
      </c>
      <c r="H620" t="s">
        <v>13</v>
      </c>
      <c r="I620" t="s">
        <v>2631</v>
      </c>
      <c r="J620">
        <v>275</v>
      </c>
      <c r="L620" t="s">
        <v>1168</v>
      </c>
      <c r="M620" t="s">
        <v>10</v>
      </c>
      <c r="N620" t="s">
        <v>15</v>
      </c>
      <c r="O620" t="s">
        <v>3110</v>
      </c>
      <c r="P620" t="s">
        <v>2637</v>
      </c>
      <c r="Q620" t="s">
        <v>3112</v>
      </c>
      <c r="R620" t="s">
        <v>1375</v>
      </c>
      <c r="S620">
        <v>3852827.40688525</v>
      </c>
      <c r="T620">
        <v>2</v>
      </c>
      <c r="V620" t="s">
        <v>227</v>
      </c>
      <c r="W620" t="s">
        <v>1367</v>
      </c>
      <c r="X620" t="str">
        <f t="shared" si="9"/>
        <v>BL354898@TRAC Corp</v>
      </c>
      <c r="Y620" t="str">
        <f>_xlfn.IFNA(_xll.BDP(X620,"INTERVAL_SUM", "MARKET_DATA_OVERRIDE=px_volume", "CALC_INTERVAL=5D"), "")</f>
        <v>#N/A N/A</v>
      </c>
      <c r="Z620" cm="1">
        <f t="array" ref="Z620">_xll.BDP(B620, "CF_ACT_CASH_PAID_FOR_INT_DEBT")</f>
        <v>82.8</v>
      </c>
      <c r="AA620" t="str" cm="1">
        <f t="array" ref="AA620">_xll.BDP(B620, "TYPE_OF_BOND")</f>
        <v>#N/A Field Not Applicable</v>
      </c>
    </row>
    <row r="621" spans="1:27" x14ac:dyDescent="0.25">
      <c r="A621">
        <v>619</v>
      </c>
      <c r="B621" t="s">
        <v>1380</v>
      </c>
      <c r="C621" s="4" t="s">
        <v>1381</v>
      </c>
      <c r="D621" s="4">
        <v>1200000000</v>
      </c>
      <c r="E621" s="1" t="s">
        <v>12</v>
      </c>
      <c r="F621" s="1">
        <v>46767</v>
      </c>
      <c r="G621">
        <v>5</v>
      </c>
      <c r="H621" t="s">
        <v>9</v>
      </c>
      <c r="L621" t="s">
        <v>1168</v>
      </c>
      <c r="M621" t="s">
        <v>35</v>
      </c>
      <c r="N621" t="s">
        <v>16</v>
      </c>
      <c r="O621" t="s">
        <v>3108</v>
      </c>
      <c r="P621" t="s">
        <v>2644</v>
      </c>
      <c r="Q621" t="s">
        <v>3183</v>
      </c>
      <c r="R621" t="s">
        <v>1382</v>
      </c>
      <c r="S621">
        <v>19362710.182203799</v>
      </c>
      <c r="T621">
        <v>23</v>
      </c>
      <c r="U621" t="s">
        <v>1169</v>
      </c>
      <c r="W621" t="s">
        <v>1383</v>
      </c>
      <c r="X621" t="str">
        <f t="shared" si="9"/>
        <v>ZP376904@TRAC Corp</v>
      </c>
      <c r="Y621">
        <f>_xlfn.IFNA(_xll.BDP(X621,"INTERVAL_SUM", "MARKET_DATA_OVERRIDE=px_volume", "CALC_INTERVAL=5D"), "")</f>
        <v>3239</v>
      </c>
      <c r="Z621" cm="1">
        <f t="array" ref="Z621">_xll.BDP(B621, "CF_ACT_CASH_PAID_FOR_INT_DEBT")</f>
        <v>612</v>
      </c>
      <c r="AA621" t="str" cm="1">
        <f t="array" ref="AA621">_xll.BDP(B621, "TYPE_OF_BOND")</f>
        <v>#N/A Field Not Applicable</v>
      </c>
    </row>
    <row r="622" spans="1:27" x14ac:dyDescent="0.25">
      <c r="A622">
        <v>620</v>
      </c>
      <c r="B622" t="s">
        <v>1384</v>
      </c>
      <c r="C622" s="4" t="s">
        <v>1381</v>
      </c>
      <c r="D622" s="4">
        <v>1100000000</v>
      </c>
      <c r="E622" s="1" t="s">
        <v>12</v>
      </c>
      <c r="F622" s="1">
        <v>46767</v>
      </c>
      <c r="G622">
        <v>3</v>
      </c>
      <c r="H622" t="s">
        <v>9</v>
      </c>
      <c r="L622" t="s">
        <v>1171</v>
      </c>
      <c r="M622" t="s">
        <v>35</v>
      </c>
      <c r="N622" t="s">
        <v>16</v>
      </c>
      <c r="O622" t="s">
        <v>3108</v>
      </c>
      <c r="P622" t="s">
        <v>2644</v>
      </c>
      <c r="Q622" t="s">
        <v>3183</v>
      </c>
      <c r="R622" t="s">
        <v>1385</v>
      </c>
      <c r="S622">
        <v>18811212.394770101</v>
      </c>
      <c r="T622">
        <v>41</v>
      </c>
      <c r="U622" t="s">
        <v>1172</v>
      </c>
      <c r="W622" t="s">
        <v>1383</v>
      </c>
      <c r="X622" t="str">
        <f t="shared" si="9"/>
        <v>ZP354480@TRAC Corp</v>
      </c>
      <c r="Y622" t="str">
        <f>_xlfn.IFNA(_xll.BDP(X622,"INTERVAL_SUM", "MARKET_DATA_OVERRIDE=px_volume", "CALC_INTERVAL=5D"), "")</f>
        <v>#N/A N/A</v>
      </c>
      <c r="Z622" cm="1">
        <f t="array" ref="Z622">_xll.BDP(B622, "CF_ACT_CASH_PAID_FOR_INT_DEBT")</f>
        <v>612</v>
      </c>
      <c r="AA622" t="str" cm="1">
        <f t="array" ref="AA622">_xll.BDP(B622, "TYPE_OF_BOND")</f>
        <v>#N/A Field Not Applicable</v>
      </c>
    </row>
    <row r="623" spans="1:27" x14ac:dyDescent="0.25">
      <c r="A623">
        <v>621</v>
      </c>
      <c r="B623" t="s">
        <v>1386</v>
      </c>
      <c r="C623" s="4" t="s">
        <v>1381</v>
      </c>
      <c r="D623" s="4">
        <v>375000000</v>
      </c>
      <c r="E623" s="1" t="s">
        <v>12</v>
      </c>
      <c r="F623" s="1">
        <v>46583</v>
      </c>
      <c r="G623">
        <v>9.625</v>
      </c>
      <c r="H623" t="s">
        <v>9</v>
      </c>
      <c r="L623" t="s">
        <v>1168</v>
      </c>
      <c r="M623" t="s">
        <v>35</v>
      </c>
      <c r="N623" t="s">
        <v>16</v>
      </c>
      <c r="O623" t="s">
        <v>3108</v>
      </c>
      <c r="P623" t="s">
        <v>2644</v>
      </c>
      <c r="Q623" t="s">
        <v>3183</v>
      </c>
      <c r="R623" t="s">
        <v>1387</v>
      </c>
      <c r="S623">
        <v>7696265.2846528096</v>
      </c>
      <c r="T623">
        <v>11</v>
      </c>
      <c r="U623" t="s">
        <v>1169</v>
      </c>
      <c r="W623" t="s">
        <v>1383</v>
      </c>
      <c r="X623" t="str">
        <f t="shared" si="9"/>
        <v>ZD337585@TRAC Corp</v>
      </c>
      <c r="Y623">
        <f>_xlfn.IFNA(_xll.BDP(X623,"INTERVAL_SUM", "MARKET_DATA_OVERRIDE=px_volume", "CALC_INTERVAL=5D"), "")</f>
        <v>2300</v>
      </c>
      <c r="Z623" cm="1">
        <f t="array" ref="Z623">_xll.BDP(B623, "CF_ACT_CASH_PAID_FOR_INT_DEBT")</f>
        <v>612</v>
      </c>
      <c r="AA623" t="str" cm="1">
        <f t="array" ref="AA623">_xll.BDP(B623, "TYPE_OF_BOND")</f>
        <v>#N/A Field Not Applicable</v>
      </c>
    </row>
    <row r="624" spans="1:27" x14ac:dyDescent="0.25">
      <c r="A624">
        <v>622</v>
      </c>
      <c r="B624" t="s">
        <v>1388</v>
      </c>
      <c r="C624" s="4" t="s">
        <v>1381</v>
      </c>
      <c r="D624" s="4">
        <v>948000000</v>
      </c>
      <c r="E624" s="1" t="s">
        <v>17</v>
      </c>
      <c r="F624" s="1">
        <v>48594</v>
      </c>
      <c r="G624">
        <v>10</v>
      </c>
      <c r="H624" t="s">
        <v>9</v>
      </c>
      <c r="L624" t="s">
        <v>1168</v>
      </c>
      <c r="M624" t="s">
        <v>35</v>
      </c>
      <c r="N624" t="s">
        <v>16</v>
      </c>
      <c r="O624" t="s">
        <v>3157</v>
      </c>
      <c r="P624" t="s">
        <v>2644</v>
      </c>
      <c r="Q624" t="s">
        <v>3158</v>
      </c>
      <c r="R624" t="s">
        <v>1389</v>
      </c>
      <c r="S624">
        <v>13690180.259266701</v>
      </c>
      <c r="T624">
        <v>44</v>
      </c>
      <c r="U624" t="s">
        <v>1169</v>
      </c>
      <c r="W624" t="s">
        <v>1383</v>
      </c>
      <c r="X624" t="str">
        <f t="shared" si="9"/>
        <v>YK413590@TRAC Corp</v>
      </c>
      <c r="Y624">
        <f>_xlfn.IFNA(_xll.BDP(X624,"INTERVAL_SUM", "MARKET_DATA_OVERRIDE=px_volume", "CALC_INTERVAL=5D"), "")</f>
        <v>8606</v>
      </c>
      <c r="Z624" cm="1">
        <f t="array" ref="Z624">_xll.BDP(B624, "CF_ACT_CASH_PAID_FOR_INT_DEBT")</f>
        <v>1450.7</v>
      </c>
      <c r="AA624" t="str" cm="1">
        <f t="array" ref="AA624">_xll.BDP(B624, "TYPE_OF_BOND")</f>
        <v>#N/A Field Not Applicable</v>
      </c>
    </row>
    <row r="625" spans="1:27" x14ac:dyDescent="0.25">
      <c r="A625">
        <v>623</v>
      </c>
      <c r="B625" t="s">
        <v>1390</v>
      </c>
      <c r="C625" s="4" t="s">
        <v>1381</v>
      </c>
      <c r="D625" s="4">
        <v>762195789</v>
      </c>
      <c r="E625" s="1" t="s">
        <v>12</v>
      </c>
      <c r="F625" s="1">
        <v>47771</v>
      </c>
      <c r="G625">
        <v>4.75</v>
      </c>
      <c r="H625" t="s">
        <v>9</v>
      </c>
      <c r="L625" t="s">
        <v>1171</v>
      </c>
      <c r="M625" t="s">
        <v>1391</v>
      </c>
      <c r="N625" t="s">
        <v>16</v>
      </c>
      <c r="O625" t="s">
        <v>3157</v>
      </c>
      <c r="P625" t="s">
        <v>2644</v>
      </c>
      <c r="Q625" t="s">
        <v>3158</v>
      </c>
      <c r="R625" t="s">
        <v>1392</v>
      </c>
      <c r="S625">
        <v>20654015.236635201</v>
      </c>
      <c r="T625">
        <v>75</v>
      </c>
      <c r="U625" t="s">
        <v>1172</v>
      </c>
      <c r="W625" t="s">
        <v>1383</v>
      </c>
      <c r="X625" t="str">
        <f t="shared" si="9"/>
        <v>YK271695@TRAC Corp</v>
      </c>
      <c r="Y625" t="str">
        <f>_xlfn.IFNA(_xll.BDP(X625,"INTERVAL_SUM", "MARKET_DATA_OVERRIDE=px_volume", "CALC_INTERVAL=5D"), "")</f>
        <v>#N/A N/A</v>
      </c>
      <c r="Z625" cm="1">
        <f t="array" ref="Z625">_xll.BDP(B625, "CF_ACT_CASH_PAID_FOR_INT_DEBT")</f>
        <v>1218.9000000000001</v>
      </c>
      <c r="AA625" t="str" cm="1">
        <f t="array" ref="AA625">_xll.BDP(B625, "TYPE_OF_BOND")</f>
        <v>#N/A Field Not Applicable</v>
      </c>
    </row>
    <row r="626" spans="1:27" x14ac:dyDescent="0.25">
      <c r="A626">
        <v>624</v>
      </c>
      <c r="B626" t="s">
        <v>1393</v>
      </c>
      <c r="C626" s="4" t="s">
        <v>1381</v>
      </c>
      <c r="D626" s="4">
        <v>609756631</v>
      </c>
      <c r="E626" s="1" t="s">
        <v>12</v>
      </c>
      <c r="F626" s="1">
        <v>48410</v>
      </c>
      <c r="G626">
        <v>5.625</v>
      </c>
      <c r="H626" t="s">
        <v>9</v>
      </c>
      <c r="L626" t="s">
        <v>1171</v>
      </c>
      <c r="M626" t="s">
        <v>1391</v>
      </c>
      <c r="N626" t="s">
        <v>16</v>
      </c>
      <c r="O626" t="s">
        <v>3157</v>
      </c>
      <c r="P626" t="s">
        <v>2644</v>
      </c>
      <c r="Q626" t="s">
        <v>3158</v>
      </c>
      <c r="R626" t="s">
        <v>1394</v>
      </c>
      <c r="S626">
        <v>54483812.410608098</v>
      </c>
      <c r="T626">
        <v>84</v>
      </c>
      <c r="U626" t="s">
        <v>1172</v>
      </c>
      <c r="W626" t="s">
        <v>1383</v>
      </c>
      <c r="X626" t="str">
        <f t="shared" si="9"/>
        <v>YK269943@TRAC Corp</v>
      </c>
      <c r="Y626" t="str">
        <f>_xlfn.IFNA(_xll.BDP(X626,"INTERVAL_SUM", "MARKET_DATA_OVERRIDE=px_volume", "CALC_INTERVAL=5D"), "")</f>
        <v>#N/A N/A</v>
      </c>
      <c r="Z626" cm="1">
        <f t="array" ref="Z626">_xll.BDP(B626, "CF_ACT_CASH_PAID_FOR_INT_DEBT")</f>
        <v>1218.9000000000001</v>
      </c>
      <c r="AA626" t="str" cm="1">
        <f t="array" ref="AA626">_xll.BDP(B626, "TYPE_OF_BOND")</f>
        <v>#N/A Field Not Applicable</v>
      </c>
    </row>
    <row r="627" spans="1:27" x14ac:dyDescent="0.25">
      <c r="A627">
        <v>625</v>
      </c>
      <c r="B627" t="s">
        <v>1395</v>
      </c>
      <c r="C627" s="4" t="s">
        <v>1381</v>
      </c>
      <c r="D627" s="4">
        <v>304878315</v>
      </c>
      <c r="E627" s="1" t="s">
        <v>12</v>
      </c>
      <c r="F627" s="1">
        <v>48319</v>
      </c>
      <c r="G627">
        <v>5.375</v>
      </c>
      <c r="H627" t="s">
        <v>9</v>
      </c>
      <c r="L627" t="s">
        <v>1171</v>
      </c>
      <c r="M627" t="s">
        <v>1391</v>
      </c>
      <c r="N627" t="s">
        <v>16</v>
      </c>
      <c r="O627" t="s">
        <v>3157</v>
      </c>
      <c r="P627" t="s">
        <v>2644</v>
      </c>
      <c r="Q627" t="s">
        <v>3158</v>
      </c>
      <c r="R627" t="s">
        <v>1396</v>
      </c>
      <c r="S627">
        <v>22460436.5908872</v>
      </c>
      <c r="T627">
        <v>71</v>
      </c>
      <c r="U627" t="s">
        <v>1192</v>
      </c>
      <c r="W627" t="s">
        <v>1383</v>
      </c>
      <c r="X627" t="str">
        <f t="shared" si="9"/>
        <v>YK269455@TRAC Corp</v>
      </c>
      <c r="Y627" t="str">
        <f>_xlfn.IFNA(_xll.BDP(X627,"INTERVAL_SUM", "MARKET_DATA_OVERRIDE=px_volume", "CALC_INTERVAL=5D"), "")</f>
        <v>#N/A N/A</v>
      </c>
      <c r="Z627" cm="1">
        <f t="array" ref="Z627">_xll.BDP(B627, "CF_ACT_CASH_PAID_FOR_INT_DEBT")</f>
        <v>1218.9000000000001</v>
      </c>
      <c r="AA627" t="str" cm="1">
        <f t="array" ref="AA627">_xll.BDP(B627, "TYPE_OF_BOND")</f>
        <v>#N/A Field Not Applicable</v>
      </c>
    </row>
    <row r="628" spans="1:27" x14ac:dyDescent="0.25">
      <c r="A628">
        <v>626</v>
      </c>
      <c r="B628" t="s">
        <v>1397</v>
      </c>
      <c r="C628" s="4" t="s">
        <v>1381</v>
      </c>
      <c r="D628" s="4">
        <v>1905489473</v>
      </c>
      <c r="E628" s="1" t="s">
        <v>12</v>
      </c>
      <c r="F628" s="1">
        <v>48319</v>
      </c>
      <c r="G628">
        <v>6.5</v>
      </c>
      <c r="H628" t="s">
        <v>9</v>
      </c>
      <c r="L628" t="s">
        <v>1168</v>
      </c>
      <c r="M628" t="s">
        <v>1391</v>
      </c>
      <c r="N628" t="s">
        <v>16</v>
      </c>
      <c r="O628" t="s">
        <v>3157</v>
      </c>
      <c r="P628" t="s">
        <v>2644</v>
      </c>
      <c r="Q628" t="s">
        <v>3158</v>
      </c>
      <c r="R628" t="s">
        <v>1398</v>
      </c>
      <c r="S628">
        <v>5660663.6182930497</v>
      </c>
      <c r="T628">
        <v>57</v>
      </c>
      <c r="U628" t="s">
        <v>1169</v>
      </c>
      <c r="W628" t="s">
        <v>1383</v>
      </c>
      <c r="X628" t="str">
        <f t="shared" si="9"/>
        <v>YK268510@TRAC Corp</v>
      </c>
      <c r="Y628">
        <f>_xlfn.IFNA(_xll.BDP(X628,"INTERVAL_SUM", "MARKET_DATA_OVERRIDE=px_volume", "CALC_INTERVAL=5D"), "")</f>
        <v>13672</v>
      </c>
      <c r="Z628" cm="1">
        <f t="array" ref="Z628">_xll.BDP(B628, "CF_ACT_CASH_PAID_FOR_INT_DEBT")</f>
        <v>1218.9000000000001</v>
      </c>
      <c r="AA628" t="str" cm="1">
        <f t="array" ref="AA628">_xll.BDP(B628, "TYPE_OF_BOND")</f>
        <v>#N/A Field Not Applicable</v>
      </c>
    </row>
    <row r="629" spans="1:27" x14ac:dyDescent="0.25">
      <c r="A629">
        <v>627</v>
      </c>
      <c r="B629" t="s">
        <v>1399</v>
      </c>
      <c r="C629" s="4" t="s">
        <v>1381</v>
      </c>
      <c r="D629" s="4">
        <v>1524191579</v>
      </c>
      <c r="E629" s="1" t="s">
        <v>12</v>
      </c>
      <c r="F629" s="1">
        <v>48410</v>
      </c>
      <c r="G629">
        <v>6.875</v>
      </c>
      <c r="H629" t="s">
        <v>9</v>
      </c>
      <c r="L629" t="s">
        <v>1168</v>
      </c>
      <c r="M629" t="s">
        <v>1391</v>
      </c>
      <c r="N629" t="s">
        <v>16</v>
      </c>
      <c r="O629" t="s">
        <v>3157</v>
      </c>
      <c r="P629" t="s">
        <v>2644</v>
      </c>
      <c r="Q629" t="s">
        <v>3158</v>
      </c>
      <c r="R629" t="s">
        <v>1400</v>
      </c>
      <c r="S629">
        <v>17275926.165534701</v>
      </c>
      <c r="T629">
        <v>47</v>
      </c>
      <c r="U629" t="s">
        <v>1169</v>
      </c>
      <c r="W629" t="s">
        <v>1383</v>
      </c>
      <c r="X629" t="str">
        <f t="shared" si="9"/>
        <v>YK268447@TRAC Corp</v>
      </c>
      <c r="Y629">
        <f>_xlfn.IFNA(_xll.BDP(X629,"INTERVAL_SUM", "MARKET_DATA_OVERRIDE=px_volume", "CALC_INTERVAL=5D"), "")</f>
        <v>13504</v>
      </c>
      <c r="Z629" cm="1">
        <f t="array" ref="Z629">_xll.BDP(B629, "CF_ACT_CASH_PAID_FOR_INT_DEBT")</f>
        <v>1218.9000000000001</v>
      </c>
      <c r="AA629" t="str" cm="1">
        <f t="array" ref="AA629">_xll.BDP(B629, "TYPE_OF_BOND")</f>
        <v>#N/A Field Not Applicable</v>
      </c>
    </row>
    <row r="630" spans="1:27" x14ac:dyDescent="0.25">
      <c r="A630">
        <v>628</v>
      </c>
      <c r="B630" t="s">
        <v>1401</v>
      </c>
      <c r="C630" s="4" t="s">
        <v>1381</v>
      </c>
      <c r="D630" s="4">
        <v>362245500</v>
      </c>
      <c r="E630" s="1" t="s">
        <v>12</v>
      </c>
      <c r="F630" s="1">
        <v>48136</v>
      </c>
      <c r="G630">
        <v>6.5</v>
      </c>
      <c r="H630" t="s">
        <v>9</v>
      </c>
      <c r="L630" t="s">
        <v>1168</v>
      </c>
      <c r="M630" t="s">
        <v>1391</v>
      </c>
      <c r="N630" t="s">
        <v>16</v>
      </c>
      <c r="O630" t="s">
        <v>3157</v>
      </c>
      <c r="P630" t="s">
        <v>2644</v>
      </c>
      <c r="Q630" t="s">
        <v>3158</v>
      </c>
      <c r="R630" t="s">
        <v>1402</v>
      </c>
      <c r="S630">
        <v>18181992.427505601</v>
      </c>
      <c r="T630">
        <v>36</v>
      </c>
      <c r="U630" t="s">
        <v>1169</v>
      </c>
      <c r="W630" t="s">
        <v>1383</v>
      </c>
      <c r="X630" t="str">
        <f t="shared" si="9"/>
        <v>YK267789@TRAC Corp</v>
      </c>
      <c r="Y630">
        <f>_xlfn.IFNA(_xll.BDP(X630,"INTERVAL_SUM", "MARKET_DATA_OVERRIDE=px_volume", "CALC_INTERVAL=5D"), "")</f>
        <v>2286</v>
      </c>
      <c r="Z630" cm="1">
        <f t="array" ref="Z630">_xll.BDP(B630, "CF_ACT_CASH_PAID_FOR_INT_DEBT")</f>
        <v>1218.9000000000001</v>
      </c>
      <c r="AA630" t="str" cm="1">
        <f t="array" ref="AA630">_xll.BDP(B630, "TYPE_OF_BOND")</f>
        <v>#N/A Field Not Applicable</v>
      </c>
    </row>
    <row r="631" spans="1:27" x14ac:dyDescent="0.25">
      <c r="A631">
        <v>629</v>
      </c>
      <c r="B631" t="s">
        <v>1403</v>
      </c>
      <c r="C631" s="4" t="s">
        <v>1381</v>
      </c>
      <c r="D631" s="4">
        <v>838415368</v>
      </c>
      <c r="E631" s="1" t="s">
        <v>12</v>
      </c>
      <c r="F631" s="1">
        <v>47771</v>
      </c>
      <c r="G631">
        <v>6.875</v>
      </c>
      <c r="H631" t="s">
        <v>9</v>
      </c>
      <c r="L631" t="s">
        <v>1168</v>
      </c>
      <c r="M631" t="s">
        <v>1391</v>
      </c>
      <c r="N631" t="s">
        <v>16</v>
      </c>
      <c r="O631" t="s">
        <v>3157</v>
      </c>
      <c r="P631" t="s">
        <v>2644</v>
      </c>
      <c r="Q631" t="s">
        <v>3158</v>
      </c>
      <c r="R631" t="s">
        <v>1404</v>
      </c>
      <c r="S631">
        <v>11943124.690897999</v>
      </c>
      <c r="T631">
        <v>38</v>
      </c>
      <c r="U631" t="s">
        <v>1169</v>
      </c>
      <c r="W631" t="s">
        <v>1383</v>
      </c>
      <c r="X631" t="str">
        <f t="shared" si="9"/>
        <v>YK267725@TRAC Corp</v>
      </c>
      <c r="Y631">
        <f>_xlfn.IFNA(_xll.BDP(X631,"INTERVAL_SUM", "MARKET_DATA_OVERRIDE=px_volume", "CALC_INTERVAL=5D"), "")</f>
        <v>7008</v>
      </c>
      <c r="Z631" cm="1">
        <f t="array" ref="Z631">_xll.BDP(B631, "CF_ACT_CASH_PAID_FOR_INT_DEBT")</f>
        <v>1218.9000000000001</v>
      </c>
      <c r="AA631" t="str" cm="1">
        <f t="array" ref="AA631">_xll.BDP(B631, "TYPE_OF_BOND")</f>
        <v>#N/A Field Not Applicable</v>
      </c>
    </row>
    <row r="632" spans="1:27" x14ac:dyDescent="0.25">
      <c r="A632">
        <v>630</v>
      </c>
      <c r="B632" t="s">
        <v>1405</v>
      </c>
      <c r="C632" s="4" t="s">
        <v>1381</v>
      </c>
      <c r="D632" s="4">
        <v>127268526</v>
      </c>
      <c r="E632" s="1" t="s">
        <v>12</v>
      </c>
      <c r="F632" s="1">
        <v>47423</v>
      </c>
      <c r="G632">
        <v>12.875</v>
      </c>
      <c r="H632" t="s">
        <v>9</v>
      </c>
      <c r="L632" t="s">
        <v>1171</v>
      </c>
      <c r="M632" t="s">
        <v>1391</v>
      </c>
      <c r="N632" t="s">
        <v>16</v>
      </c>
      <c r="O632" t="s">
        <v>3157</v>
      </c>
      <c r="P632" t="s">
        <v>2644</v>
      </c>
      <c r="Q632" t="s">
        <v>3158</v>
      </c>
      <c r="R632" t="s">
        <v>1406</v>
      </c>
      <c r="S632">
        <v>20781003.941931002</v>
      </c>
      <c r="T632">
        <v>63</v>
      </c>
      <c r="U632" t="s">
        <v>1192</v>
      </c>
      <c r="W632" t="s">
        <v>1383</v>
      </c>
      <c r="X632" t="str">
        <f t="shared" si="9"/>
        <v>YK267610@TRAC Corp</v>
      </c>
      <c r="Y632" t="str">
        <f>_xlfn.IFNA(_xll.BDP(X632,"INTERVAL_SUM", "MARKET_DATA_OVERRIDE=px_volume", "CALC_INTERVAL=5D"), "")</f>
        <v>#N/A N/A</v>
      </c>
      <c r="Z632" cm="1">
        <f t="array" ref="Z632">_xll.BDP(B632, "CF_ACT_CASH_PAID_FOR_INT_DEBT")</f>
        <v>1218.9000000000001</v>
      </c>
      <c r="AA632" t="str" cm="1">
        <f t="array" ref="AA632">_xll.BDP(B632, "TYPE_OF_BOND")</f>
        <v>#N/A Field Not Applicable</v>
      </c>
    </row>
    <row r="633" spans="1:27" x14ac:dyDescent="0.25">
      <c r="A633">
        <v>631</v>
      </c>
      <c r="B633" t="s">
        <v>1407</v>
      </c>
      <c r="C633" s="4" t="s">
        <v>1381</v>
      </c>
      <c r="D633" s="4">
        <v>1333842631</v>
      </c>
      <c r="E633" s="1" t="s">
        <v>12</v>
      </c>
      <c r="F633" s="1">
        <v>47423</v>
      </c>
      <c r="G633">
        <v>9.5</v>
      </c>
      <c r="H633" t="s">
        <v>9</v>
      </c>
      <c r="L633" t="s">
        <v>1168</v>
      </c>
      <c r="M633" t="s">
        <v>1391</v>
      </c>
      <c r="N633" t="s">
        <v>16</v>
      </c>
      <c r="O633" t="s">
        <v>3157</v>
      </c>
      <c r="P633" t="s">
        <v>2644</v>
      </c>
      <c r="Q633" t="s">
        <v>3158</v>
      </c>
      <c r="R633" t="s">
        <v>1408</v>
      </c>
      <c r="S633">
        <v>11059880.884190099</v>
      </c>
      <c r="T633">
        <v>48</v>
      </c>
      <c r="U633" t="s">
        <v>1169</v>
      </c>
      <c r="W633" t="s">
        <v>1383</v>
      </c>
      <c r="X633" t="str">
        <f t="shared" si="9"/>
        <v>YK267096@TRAC Corp</v>
      </c>
      <c r="Y633">
        <f>_xlfn.IFNA(_xll.BDP(X633,"INTERVAL_SUM", "MARKET_DATA_OVERRIDE=px_volume", "CALC_INTERVAL=5D"), "")</f>
        <v>3960</v>
      </c>
      <c r="Z633" cm="1">
        <f t="array" ref="Z633">_xll.BDP(B633, "CF_ACT_CASH_PAID_FOR_INT_DEBT")</f>
        <v>1218.9000000000001</v>
      </c>
      <c r="AA633" t="str" cm="1">
        <f t="array" ref="AA633">_xll.BDP(B633, "TYPE_OF_BOND")</f>
        <v>#N/A Field Not Applicable</v>
      </c>
    </row>
    <row r="634" spans="1:27" x14ac:dyDescent="0.25">
      <c r="A634">
        <v>632</v>
      </c>
      <c r="B634" t="s">
        <v>1409</v>
      </c>
      <c r="C634" s="4" t="s">
        <v>1381</v>
      </c>
      <c r="D634" s="4">
        <v>381097894</v>
      </c>
      <c r="E634" s="1" t="s">
        <v>12</v>
      </c>
      <c r="F634" s="1">
        <v>48136</v>
      </c>
      <c r="G634">
        <v>5.5</v>
      </c>
      <c r="H634" t="s">
        <v>9</v>
      </c>
      <c r="L634" t="s">
        <v>1171</v>
      </c>
      <c r="M634" t="s">
        <v>1391</v>
      </c>
      <c r="N634" t="s">
        <v>16</v>
      </c>
      <c r="O634" t="s">
        <v>3157</v>
      </c>
      <c r="P634" t="s">
        <v>2644</v>
      </c>
      <c r="Q634" t="s">
        <v>3158</v>
      </c>
      <c r="R634" t="s">
        <v>1410</v>
      </c>
      <c r="S634">
        <v>32258263.164971799</v>
      </c>
      <c r="T634">
        <v>72</v>
      </c>
      <c r="U634" t="s">
        <v>1172</v>
      </c>
      <c r="W634" t="s">
        <v>1383</v>
      </c>
      <c r="X634" t="str">
        <f t="shared" si="9"/>
        <v>YK266685@TRAC Corp</v>
      </c>
      <c r="Y634" t="str">
        <f>_xlfn.IFNA(_xll.BDP(X634,"INTERVAL_SUM", "MARKET_DATA_OVERRIDE=px_volume", "CALC_INTERVAL=5D"), "")</f>
        <v>#N/A N/A</v>
      </c>
      <c r="Z634" cm="1">
        <f t="array" ref="Z634">_xll.BDP(B634, "CF_ACT_CASH_PAID_FOR_INT_DEBT")</f>
        <v>1218.9000000000001</v>
      </c>
      <c r="AA634" t="str" cm="1">
        <f t="array" ref="AA634">_xll.BDP(B634, "TYPE_OF_BOND")</f>
        <v>#N/A Field Not Applicable</v>
      </c>
    </row>
    <row r="635" spans="1:27" x14ac:dyDescent="0.25">
      <c r="A635">
        <v>633</v>
      </c>
      <c r="B635" t="s">
        <v>1411</v>
      </c>
      <c r="C635" s="4" t="s">
        <v>1381</v>
      </c>
      <c r="D635" s="4">
        <v>762195789</v>
      </c>
      <c r="E635" s="1" t="s">
        <v>12</v>
      </c>
      <c r="F635" s="1">
        <v>47423</v>
      </c>
      <c r="G635">
        <v>7.25</v>
      </c>
      <c r="H635" t="s">
        <v>9</v>
      </c>
      <c r="L635" t="s">
        <v>1171</v>
      </c>
      <c r="M635" t="s">
        <v>1391</v>
      </c>
      <c r="N635" t="s">
        <v>16</v>
      </c>
      <c r="O635" t="s">
        <v>3157</v>
      </c>
      <c r="P635" t="s">
        <v>2644</v>
      </c>
      <c r="Q635" t="s">
        <v>3158</v>
      </c>
      <c r="R635" t="s">
        <v>1412</v>
      </c>
      <c r="S635">
        <v>39777455.078955702</v>
      </c>
      <c r="T635">
        <v>87</v>
      </c>
      <c r="U635" t="s">
        <v>1172</v>
      </c>
      <c r="W635" t="s">
        <v>1383</v>
      </c>
      <c r="X635" t="str">
        <f t="shared" si="9"/>
        <v>YK266451@TRAC Corp</v>
      </c>
      <c r="Y635" t="str">
        <f>_xlfn.IFNA(_xll.BDP(X635,"INTERVAL_SUM", "MARKET_DATA_OVERRIDE=px_volume", "CALC_INTERVAL=5D"), "")</f>
        <v>#N/A N/A</v>
      </c>
      <c r="Z635" cm="1">
        <f t="array" ref="Z635">_xll.BDP(B635, "CF_ACT_CASH_PAID_FOR_INT_DEBT")</f>
        <v>1218.9000000000001</v>
      </c>
      <c r="AA635" t="str" cm="1">
        <f t="array" ref="AA635">_xll.BDP(B635, "TYPE_OF_BOND")</f>
        <v>#N/A Field Not Applicable</v>
      </c>
    </row>
    <row r="636" spans="1:27" x14ac:dyDescent="0.25">
      <c r="A636">
        <v>634</v>
      </c>
      <c r="B636" t="s">
        <v>1413</v>
      </c>
      <c r="C636" s="4" t="s">
        <v>1381</v>
      </c>
      <c r="D636" s="4">
        <v>2050000000</v>
      </c>
      <c r="E636" s="1" t="s">
        <v>12</v>
      </c>
      <c r="F636" s="1">
        <v>47345</v>
      </c>
      <c r="G636">
        <v>5.75</v>
      </c>
      <c r="H636" t="s">
        <v>9</v>
      </c>
      <c r="L636" t="s">
        <v>1168</v>
      </c>
      <c r="M636" t="s">
        <v>35</v>
      </c>
      <c r="N636" t="s">
        <v>16</v>
      </c>
      <c r="O636" t="s">
        <v>3108</v>
      </c>
      <c r="P636" t="s">
        <v>2644</v>
      </c>
      <c r="Q636" t="s">
        <v>3183</v>
      </c>
      <c r="R636" t="s">
        <v>1414</v>
      </c>
      <c r="S636">
        <v>12349568.727015899</v>
      </c>
      <c r="T636">
        <v>26</v>
      </c>
      <c r="U636" t="s">
        <v>1170</v>
      </c>
      <c r="W636" t="s">
        <v>1383</v>
      </c>
      <c r="X636" t="str">
        <f t="shared" si="9"/>
        <v>BQ837990@TRAC Corp</v>
      </c>
      <c r="Y636">
        <f>_xlfn.IFNA(_xll.BDP(X636,"INTERVAL_SUM", "MARKET_DATA_OVERRIDE=px_volume", "CALC_INTERVAL=5D"), "")</f>
        <v>12283</v>
      </c>
      <c r="Z636" cm="1">
        <f t="array" ref="Z636">_xll.BDP(B636, "CF_ACT_CASH_PAID_FOR_INT_DEBT")</f>
        <v>612</v>
      </c>
      <c r="AA636" t="str" cm="1">
        <f t="array" ref="AA636">_xll.BDP(B636, "TYPE_OF_BOND")</f>
        <v>#N/A Field Not Applicable</v>
      </c>
    </row>
    <row r="637" spans="1:27" x14ac:dyDescent="0.25">
      <c r="A637">
        <v>635</v>
      </c>
      <c r="B637" t="s">
        <v>1415</v>
      </c>
      <c r="C637" s="4" t="s">
        <v>1381</v>
      </c>
      <c r="D637" s="4">
        <v>805000000</v>
      </c>
      <c r="E637" s="1" t="s">
        <v>11</v>
      </c>
      <c r="F637" s="1">
        <v>47345</v>
      </c>
      <c r="G637">
        <v>4.25</v>
      </c>
      <c r="H637" t="s">
        <v>9</v>
      </c>
      <c r="L637" t="s">
        <v>1171</v>
      </c>
      <c r="M637" t="s">
        <v>35</v>
      </c>
      <c r="N637" t="s">
        <v>16</v>
      </c>
      <c r="O637" t="s">
        <v>3108</v>
      </c>
      <c r="P637" t="s">
        <v>2644</v>
      </c>
      <c r="Q637" t="s">
        <v>3183</v>
      </c>
      <c r="R637" t="s">
        <v>1416</v>
      </c>
      <c r="S637">
        <v>23093700.933896799</v>
      </c>
      <c r="T637">
        <v>37</v>
      </c>
      <c r="U637" t="s">
        <v>1172</v>
      </c>
      <c r="W637" t="s">
        <v>1383</v>
      </c>
      <c r="X637" t="str">
        <f t="shared" si="9"/>
        <v>BQ837728@TRAC Corp</v>
      </c>
      <c r="Y637" t="str">
        <f>_xlfn.IFNA(_xll.BDP(X637,"INTERVAL_SUM", "MARKET_DATA_OVERRIDE=px_volume", "CALC_INTERVAL=5D"), "")</f>
        <v>#N/A N/A</v>
      </c>
      <c r="Z637" cm="1">
        <f t="array" ref="Z637">_xll.BDP(B637, "CF_ACT_CASH_PAID_FOR_INT_DEBT")</f>
        <v>612</v>
      </c>
      <c r="AA637" t="str" cm="1">
        <f t="array" ref="AA637">_xll.BDP(B637, "TYPE_OF_BOND")</f>
        <v>#N/A Field Not Applicable</v>
      </c>
    </row>
    <row r="638" spans="1:27" x14ac:dyDescent="0.25">
      <c r="A638">
        <v>636</v>
      </c>
      <c r="B638" t="s">
        <v>1417</v>
      </c>
      <c r="C638" s="4" t="s">
        <v>1381</v>
      </c>
      <c r="D638" s="4">
        <v>5884000</v>
      </c>
      <c r="E638" s="1" t="s">
        <v>11</v>
      </c>
      <c r="F638" s="1">
        <v>46798</v>
      </c>
      <c r="G638">
        <v>4</v>
      </c>
      <c r="H638" t="s">
        <v>34</v>
      </c>
      <c r="L638" t="s">
        <v>1171</v>
      </c>
      <c r="M638" t="s">
        <v>35</v>
      </c>
      <c r="N638" t="s">
        <v>16</v>
      </c>
      <c r="O638" t="s">
        <v>3157</v>
      </c>
      <c r="P638" t="s">
        <v>2644</v>
      </c>
      <c r="Q638" t="s">
        <v>3158</v>
      </c>
      <c r="R638" t="s">
        <v>1418</v>
      </c>
      <c r="S638">
        <v>5256896.7934005298</v>
      </c>
      <c r="T638">
        <v>7</v>
      </c>
      <c r="U638" t="s">
        <v>1192</v>
      </c>
      <c r="W638" t="s">
        <v>1383</v>
      </c>
      <c r="X638" t="str">
        <f t="shared" si="9"/>
        <v>BH473587@TRAC Corp</v>
      </c>
      <c r="Y638" t="str">
        <f>_xlfn.IFNA(_xll.BDP(X638,"INTERVAL_SUM", "MARKET_DATA_OVERRIDE=px_volume", "CALC_INTERVAL=5D"), "")</f>
        <v>#N/A N/A</v>
      </c>
      <c r="Z638" cm="1">
        <f t="array" ref="Z638">_xll.BDP(B638, "CF_ACT_CASH_PAID_FOR_INT_DEBT")</f>
        <v>1450.7</v>
      </c>
      <c r="AA638" t="str" cm="1">
        <f t="array" ref="AA638">_xll.BDP(B638, "TYPE_OF_BOND")</f>
        <v>#N/A Field Not Applicable</v>
      </c>
    </row>
    <row r="639" spans="1:27" x14ac:dyDescent="0.25">
      <c r="A639">
        <v>637</v>
      </c>
      <c r="B639" t="s">
        <v>1419</v>
      </c>
      <c r="C639" s="4" t="s">
        <v>1381</v>
      </c>
      <c r="D639" s="4">
        <v>5244000</v>
      </c>
      <c r="E639" s="1" t="s">
        <v>11</v>
      </c>
      <c r="F639" s="1">
        <v>46522</v>
      </c>
      <c r="G639">
        <v>8</v>
      </c>
      <c r="H639" t="s">
        <v>34</v>
      </c>
      <c r="L639" t="s">
        <v>1171</v>
      </c>
      <c r="M639" t="s">
        <v>35</v>
      </c>
      <c r="N639" t="s">
        <v>16</v>
      </c>
      <c r="O639" t="s">
        <v>3157</v>
      </c>
      <c r="P639" t="s">
        <v>2644</v>
      </c>
      <c r="Q639" t="s">
        <v>3158</v>
      </c>
      <c r="R639" t="s">
        <v>1420</v>
      </c>
      <c r="S639">
        <v>2626795.7010694798</v>
      </c>
      <c r="T639">
        <v>5</v>
      </c>
      <c r="U639" t="s">
        <v>1192</v>
      </c>
      <c r="W639" t="s">
        <v>1383</v>
      </c>
      <c r="X639" t="str">
        <f t="shared" si="9"/>
        <v>BH472852@TRAC Corp</v>
      </c>
      <c r="Y639" t="str">
        <f>_xlfn.IFNA(_xll.BDP(X639,"INTERVAL_SUM", "MARKET_DATA_OVERRIDE=px_volume", "CALC_INTERVAL=5D"), "")</f>
        <v>#N/A N/A</v>
      </c>
      <c r="Z639" cm="1">
        <f t="array" ref="Z639">_xll.BDP(B639, "CF_ACT_CASH_PAID_FOR_INT_DEBT")</f>
        <v>1450.7</v>
      </c>
      <c r="AA639" t="str" cm="1">
        <f t="array" ref="AA639">_xll.BDP(B639, "TYPE_OF_BOND")</f>
        <v>#N/A Field Not Applicable</v>
      </c>
    </row>
    <row r="640" spans="1:27" x14ac:dyDescent="0.25">
      <c r="A640">
        <v>638</v>
      </c>
      <c r="B640" t="s">
        <v>1421</v>
      </c>
      <c r="D640" s="4">
        <v>57687000</v>
      </c>
      <c r="E640" s="1" t="s">
        <v>17</v>
      </c>
      <c r="F640" s="1">
        <v>46006</v>
      </c>
      <c r="G640">
        <v>4.875</v>
      </c>
      <c r="H640" t="s">
        <v>9</v>
      </c>
      <c r="L640" t="s">
        <v>1168</v>
      </c>
      <c r="M640" t="s">
        <v>10</v>
      </c>
      <c r="N640" t="s">
        <v>36</v>
      </c>
      <c r="O640" t="s">
        <v>3113</v>
      </c>
      <c r="P640" t="s">
        <v>2639</v>
      </c>
      <c r="Q640" t="s">
        <v>3184</v>
      </c>
      <c r="R640" t="s">
        <v>1422</v>
      </c>
      <c r="S640">
        <v>-9997</v>
      </c>
      <c r="U640" t="s">
        <v>1169</v>
      </c>
      <c r="X640" t="str">
        <f t="shared" si="9"/>
        <v>AQ343949@TRAC Corp</v>
      </c>
      <c r="Y640" t="str">
        <f>_xlfn.IFNA(_xll.BDP(X640,"INTERVAL_SUM", "MARKET_DATA_OVERRIDE=px_volume", "CALC_INTERVAL=5D"), "")</f>
        <v>#N/A N/A</v>
      </c>
      <c r="Z640" t="str" cm="1">
        <f t="array" ref="Z640">_xll.BDP(B640, "CF_ACT_CASH_PAID_FOR_INT_DEBT")</f>
        <v>#N/A N/A</v>
      </c>
      <c r="AA640" t="str" cm="1">
        <f t="array" ref="AA640">_xll.BDP(B640, "TYPE_OF_BOND")</f>
        <v>#N/A Field Not Applicable</v>
      </c>
    </row>
    <row r="641" spans="1:27" x14ac:dyDescent="0.25">
      <c r="A641">
        <v>639</v>
      </c>
      <c r="B641" t="s">
        <v>1423</v>
      </c>
      <c r="C641" s="4" t="s">
        <v>1381</v>
      </c>
      <c r="D641" s="4">
        <v>675000000</v>
      </c>
      <c r="E641" s="1" t="s">
        <v>33</v>
      </c>
      <c r="F641" s="1">
        <v>46767</v>
      </c>
      <c r="G641">
        <v>4.75</v>
      </c>
      <c r="H641" t="s">
        <v>9</v>
      </c>
      <c r="L641" t="s">
        <v>1171</v>
      </c>
      <c r="M641" t="s">
        <v>35</v>
      </c>
      <c r="N641" t="s">
        <v>16</v>
      </c>
      <c r="O641" t="s">
        <v>3108</v>
      </c>
      <c r="P641" t="s">
        <v>2644</v>
      </c>
      <c r="Q641" t="s">
        <v>3183</v>
      </c>
      <c r="R641" t="s">
        <v>1424</v>
      </c>
      <c r="S641">
        <v>18619727.3837738</v>
      </c>
      <c r="T641">
        <v>16</v>
      </c>
      <c r="U641" t="s">
        <v>1172</v>
      </c>
      <c r="W641" t="s">
        <v>1383</v>
      </c>
      <c r="X641" t="str">
        <f t="shared" si="9"/>
        <v>AP443144@TRAC Corp</v>
      </c>
      <c r="Y641" t="str">
        <f>_xlfn.IFNA(_xll.BDP(X641,"INTERVAL_SUM", "MARKET_DATA_OVERRIDE=px_volume", "CALC_INTERVAL=5D"), "")</f>
        <v>#N/A N/A</v>
      </c>
      <c r="Z641" cm="1">
        <f t="array" ref="Z641">_xll.BDP(B641, "CF_ACT_CASH_PAID_FOR_INT_DEBT")</f>
        <v>612</v>
      </c>
      <c r="AA641" t="str" cm="1">
        <f t="array" ref="AA641">_xll.BDP(B641, "TYPE_OF_BOND")</f>
        <v>#N/A Field Not Applicable</v>
      </c>
    </row>
    <row r="642" spans="1:27" x14ac:dyDescent="0.25">
      <c r="A642">
        <v>640</v>
      </c>
      <c r="B642" t="s">
        <v>1425</v>
      </c>
      <c r="C642" s="4" t="s">
        <v>1381</v>
      </c>
      <c r="D642" s="4">
        <v>1200930000</v>
      </c>
      <c r="E642" s="1" t="s">
        <v>11</v>
      </c>
      <c r="F642" s="1">
        <v>47757</v>
      </c>
      <c r="H642" t="s">
        <v>13</v>
      </c>
      <c r="L642" t="s">
        <v>1171</v>
      </c>
      <c r="M642" t="s">
        <v>1391</v>
      </c>
      <c r="N642" t="s">
        <v>16</v>
      </c>
      <c r="O642" t="s">
        <v>3157</v>
      </c>
      <c r="P642" t="s">
        <v>2644</v>
      </c>
      <c r="Q642" t="s">
        <v>3158</v>
      </c>
      <c r="R642" t="s">
        <v>1426</v>
      </c>
      <c r="V642" t="s">
        <v>226</v>
      </c>
      <c r="W642" t="s">
        <v>1383</v>
      </c>
      <c r="X642" t="str">
        <f t="shared" si="9"/>
        <v>BL526267@TRAC Corp</v>
      </c>
      <c r="Y642" t="str">
        <f>_xlfn.IFNA(_xll.BDP(X642,"INTERVAL_SUM", "MARKET_DATA_OVERRIDE=px_volume", "CALC_INTERVAL=5D"), "")</f>
        <v>#N/A N/A</v>
      </c>
      <c r="Z642" cm="1">
        <f t="array" ref="Z642">_xll.BDP(B642, "CF_ACT_CASH_PAID_FOR_INT_DEBT")</f>
        <v>1218.9000000000001</v>
      </c>
      <c r="AA642" t="str" cm="1">
        <f t="array" ref="AA642">_xll.BDP(B642, "TYPE_OF_BOND")</f>
        <v>#N/A Field Not Applicable</v>
      </c>
    </row>
    <row r="643" spans="1:27" x14ac:dyDescent="0.25">
      <c r="A643">
        <v>641</v>
      </c>
      <c r="B643" t="s">
        <v>1427</v>
      </c>
      <c r="C643" s="4" t="s">
        <v>1381</v>
      </c>
      <c r="D643" s="4">
        <v>155822500</v>
      </c>
      <c r="E643" s="1" t="s">
        <v>11</v>
      </c>
      <c r="F643" s="1">
        <v>46871</v>
      </c>
      <c r="G643">
        <v>6.6870000000000003</v>
      </c>
      <c r="H643" t="s">
        <v>13</v>
      </c>
      <c r="I643" t="s">
        <v>2636</v>
      </c>
      <c r="J643">
        <v>437.5</v>
      </c>
      <c r="L643" t="s">
        <v>1171</v>
      </c>
      <c r="M643" t="s">
        <v>1391</v>
      </c>
      <c r="N643" t="s">
        <v>16</v>
      </c>
      <c r="O643" t="s">
        <v>3157</v>
      </c>
      <c r="P643" t="s">
        <v>2644</v>
      </c>
      <c r="Q643" t="s">
        <v>3158</v>
      </c>
      <c r="R643" t="s">
        <v>1428</v>
      </c>
      <c r="S643">
        <v>2000000</v>
      </c>
      <c r="T643">
        <v>32</v>
      </c>
      <c r="V643" t="s">
        <v>227</v>
      </c>
      <c r="W643" t="s">
        <v>1383</v>
      </c>
      <c r="X643" t="str">
        <f t="shared" ref="X643:X706" si="10">SUBSTITUTE(B643," Corp","@TRAC Corp")</f>
        <v>BL525902@TRAC Corp</v>
      </c>
      <c r="Y643" t="str">
        <f>_xlfn.IFNA(_xll.BDP(X643,"INTERVAL_SUM", "MARKET_DATA_OVERRIDE=px_volume", "CALC_INTERVAL=5D"), "")</f>
        <v>#N/A N/A</v>
      </c>
      <c r="Z643" cm="1">
        <f t="array" ref="Z643">_xll.BDP(B643, "CF_ACT_CASH_PAID_FOR_INT_DEBT")</f>
        <v>1218.9000000000001</v>
      </c>
      <c r="AA643" t="str" cm="1">
        <f t="array" ref="AA643">_xll.BDP(B643, "TYPE_OF_BOND")</f>
        <v>#N/A Field Not Applicable</v>
      </c>
    </row>
    <row r="644" spans="1:27" x14ac:dyDescent="0.25">
      <c r="A644">
        <v>642</v>
      </c>
      <c r="B644" t="s">
        <v>1429</v>
      </c>
      <c r="C644" s="4" t="s">
        <v>1381</v>
      </c>
      <c r="D644" s="4">
        <v>185597500</v>
      </c>
      <c r="E644" s="1" t="s">
        <v>11</v>
      </c>
      <c r="F644" s="1">
        <v>47057</v>
      </c>
      <c r="G644">
        <v>6.6870000000000003</v>
      </c>
      <c r="H644" t="s">
        <v>13</v>
      </c>
      <c r="I644" t="s">
        <v>2636</v>
      </c>
      <c r="J644">
        <v>437.5</v>
      </c>
      <c r="L644" t="s">
        <v>1171</v>
      </c>
      <c r="M644" t="s">
        <v>1391</v>
      </c>
      <c r="N644" t="s">
        <v>16</v>
      </c>
      <c r="O644" t="s">
        <v>3157</v>
      </c>
      <c r="P644" t="s">
        <v>2644</v>
      </c>
      <c r="Q644" t="s">
        <v>3158</v>
      </c>
      <c r="R644" t="s">
        <v>1430</v>
      </c>
      <c r="S644">
        <v>3000000</v>
      </c>
      <c r="T644">
        <v>16</v>
      </c>
      <c r="V644" t="s">
        <v>227</v>
      </c>
      <c r="W644" t="s">
        <v>1383</v>
      </c>
      <c r="X644" t="str">
        <f t="shared" si="10"/>
        <v>BL525900@TRAC Corp</v>
      </c>
      <c r="Y644" t="str">
        <f>_xlfn.IFNA(_xll.BDP(X644,"INTERVAL_SUM", "MARKET_DATA_OVERRIDE=px_volume", "CALC_INTERVAL=5D"), "")</f>
        <v>#N/A N/A</v>
      </c>
      <c r="Z644" cm="1">
        <f t="array" ref="Z644">_xll.BDP(B644, "CF_ACT_CASH_PAID_FOR_INT_DEBT")</f>
        <v>1218.9000000000001</v>
      </c>
      <c r="AA644" t="str" cm="1">
        <f t="array" ref="AA644">_xll.BDP(B644, "TYPE_OF_BOND")</f>
        <v>#N/A Field Not Applicable</v>
      </c>
    </row>
    <row r="645" spans="1:27" x14ac:dyDescent="0.25">
      <c r="A645">
        <v>643</v>
      </c>
      <c r="B645" t="s">
        <v>1431</v>
      </c>
      <c r="C645" s="4" t="s">
        <v>1381</v>
      </c>
      <c r="D645" s="4">
        <v>1295212500</v>
      </c>
      <c r="E645" s="1" t="s">
        <v>11</v>
      </c>
      <c r="F645" s="1">
        <v>47983</v>
      </c>
      <c r="G645">
        <v>9.1869999999999994</v>
      </c>
      <c r="H645" t="s">
        <v>13</v>
      </c>
      <c r="I645" t="s">
        <v>2636</v>
      </c>
      <c r="J645">
        <v>687.5</v>
      </c>
      <c r="L645" t="s">
        <v>1171</v>
      </c>
      <c r="M645" t="s">
        <v>1391</v>
      </c>
      <c r="N645" t="s">
        <v>16</v>
      </c>
      <c r="O645" t="s">
        <v>3157</v>
      </c>
      <c r="P645" t="s">
        <v>2644</v>
      </c>
      <c r="Q645" t="s">
        <v>3158</v>
      </c>
      <c r="R645" t="s">
        <v>1432</v>
      </c>
      <c r="S645">
        <v>3000000</v>
      </c>
      <c r="T645">
        <v>27</v>
      </c>
      <c r="V645" t="s">
        <v>227</v>
      </c>
      <c r="W645" t="s">
        <v>1383</v>
      </c>
      <c r="X645" t="str">
        <f t="shared" si="10"/>
        <v>BL525899@TRAC Corp</v>
      </c>
      <c r="Y645" t="str">
        <f>_xlfn.IFNA(_xll.BDP(X645,"INTERVAL_SUM", "MARKET_DATA_OVERRIDE=px_volume", "CALC_INTERVAL=5D"), "")</f>
        <v>#N/A N/A</v>
      </c>
      <c r="Z645" cm="1">
        <f t="array" ref="Z645">_xll.BDP(B645, "CF_ACT_CASH_PAID_FOR_INT_DEBT")</f>
        <v>1218.9000000000001</v>
      </c>
      <c r="AA645" t="str" cm="1">
        <f t="array" ref="AA645">_xll.BDP(B645, "TYPE_OF_BOND")</f>
        <v>#N/A Field Not Applicable</v>
      </c>
    </row>
    <row r="646" spans="1:27" x14ac:dyDescent="0.25">
      <c r="A646">
        <v>644</v>
      </c>
      <c r="B646" t="s">
        <v>1433</v>
      </c>
      <c r="C646" s="4" t="s">
        <v>1381</v>
      </c>
      <c r="D646" s="4">
        <v>266982500</v>
      </c>
      <c r="E646" s="1" t="s">
        <v>11</v>
      </c>
      <c r="F646" s="1">
        <v>46871</v>
      </c>
      <c r="G646">
        <v>7.7717000000000001</v>
      </c>
      <c r="H646" t="s">
        <v>13</v>
      </c>
      <c r="I646" t="s">
        <v>2631</v>
      </c>
      <c r="J646">
        <v>412.5</v>
      </c>
      <c r="L646" t="s">
        <v>1168</v>
      </c>
      <c r="M646" t="s">
        <v>1391</v>
      </c>
      <c r="N646" t="s">
        <v>16</v>
      </c>
      <c r="O646" t="s">
        <v>3157</v>
      </c>
      <c r="P646" t="s">
        <v>2644</v>
      </c>
      <c r="Q646" t="s">
        <v>3158</v>
      </c>
      <c r="R646" t="s">
        <v>1434</v>
      </c>
      <c r="S646">
        <v>3000000</v>
      </c>
      <c r="T646">
        <v>19</v>
      </c>
      <c r="V646" t="s">
        <v>227</v>
      </c>
      <c r="W646" t="s">
        <v>1383</v>
      </c>
      <c r="X646" t="str">
        <f t="shared" si="10"/>
        <v>BL525898@TRAC Corp</v>
      </c>
      <c r="Y646" t="str">
        <f>_xlfn.IFNA(_xll.BDP(X646,"INTERVAL_SUM", "MARKET_DATA_OVERRIDE=px_volume", "CALC_INTERVAL=5D"), "")</f>
        <v>#N/A N/A</v>
      </c>
      <c r="Z646" cm="1">
        <f t="array" ref="Z646">_xll.BDP(B646, "CF_ACT_CASH_PAID_FOR_INT_DEBT")</f>
        <v>1218.9000000000001</v>
      </c>
      <c r="AA646" t="str" cm="1">
        <f t="array" ref="AA646">_xll.BDP(B646, "TYPE_OF_BOND")</f>
        <v>#N/A Field Not Applicable</v>
      </c>
    </row>
    <row r="647" spans="1:27" x14ac:dyDescent="0.25">
      <c r="A647">
        <v>645</v>
      </c>
      <c r="B647" t="s">
        <v>1435</v>
      </c>
      <c r="C647" s="4" t="s">
        <v>1381</v>
      </c>
      <c r="D647" s="4">
        <v>413872500</v>
      </c>
      <c r="E647" s="1" t="s">
        <v>11</v>
      </c>
      <c r="F647" s="1">
        <v>47057</v>
      </c>
      <c r="G647">
        <v>8.7091999999999992</v>
      </c>
      <c r="H647" t="s">
        <v>13</v>
      </c>
      <c r="I647" t="s">
        <v>2631</v>
      </c>
      <c r="J647">
        <v>506.25</v>
      </c>
      <c r="L647" t="s">
        <v>1168</v>
      </c>
      <c r="M647" t="s">
        <v>10</v>
      </c>
      <c r="N647" t="s">
        <v>16</v>
      </c>
      <c r="O647" t="s">
        <v>3106</v>
      </c>
      <c r="P647" t="s">
        <v>2629</v>
      </c>
      <c r="Q647" t="s">
        <v>3107</v>
      </c>
      <c r="R647" t="s">
        <v>1436</v>
      </c>
      <c r="S647">
        <v>4000000</v>
      </c>
      <c r="T647">
        <v>40</v>
      </c>
      <c r="V647" t="s">
        <v>227</v>
      </c>
      <c r="W647" t="s">
        <v>1383</v>
      </c>
      <c r="X647" t="str">
        <f t="shared" si="10"/>
        <v>BL525896@TRAC Corp</v>
      </c>
      <c r="Y647" t="str">
        <f>_xlfn.IFNA(_xll.BDP(X647,"INTERVAL_SUM", "MARKET_DATA_OVERRIDE=px_volume", "CALC_INTERVAL=5D"), "")</f>
        <v>#N/A N/A</v>
      </c>
      <c r="Z647" cm="1">
        <f t="array" ref="Z647">_xll.BDP(B647, "CF_ACT_CASH_PAID_FOR_INT_DEBT")</f>
        <v>1218.9000000000001</v>
      </c>
      <c r="AA647" t="str" cm="1">
        <f t="array" ref="AA647">_xll.BDP(B647, "TYPE_OF_BOND")</f>
        <v>#N/A Field Not Applicable</v>
      </c>
    </row>
    <row r="648" spans="1:27" x14ac:dyDescent="0.25">
      <c r="A648">
        <v>646</v>
      </c>
      <c r="B648" t="s">
        <v>1437</v>
      </c>
      <c r="C648" s="4" t="s">
        <v>1381</v>
      </c>
      <c r="D648" s="4">
        <v>438685000</v>
      </c>
      <c r="E648" s="1" t="s">
        <v>11</v>
      </c>
      <c r="F648" s="1">
        <v>47252</v>
      </c>
      <c r="G648">
        <v>9.0216999999999992</v>
      </c>
      <c r="H648" t="s">
        <v>13</v>
      </c>
      <c r="I648" t="s">
        <v>2631</v>
      </c>
      <c r="J648">
        <v>537.5</v>
      </c>
      <c r="L648" t="s">
        <v>1168</v>
      </c>
      <c r="M648" t="s">
        <v>10</v>
      </c>
      <c r="N648" t="s">
        <v>16</v>
      </c>
      <c r="O648" t="s">
        <v>3106</v>
      </c>
      <c r="P648" t="s">
        <v>2629</v>
      </c>
      <c r="Q648" t="s">
        <v>3107</v>
      </c>
      <c r="R648" t="s">
        <v>1438</v>
      </c>
      <c r="S648">
        <v>3000000</v>
      </c>
      <c r="T648">
        <v>23</v>
      </c>
      <c r="V648" t="s">
        <v>227</v>
      </c>
      <c r="W648" t="s">
        <v>1383</v>
      </c>
      <c r="X648" t="str">
        <f t="shared" si="10"/>
        <v>BL525895@TRAC Corp</v>
      </c>
      <c r="Y648" t="str">
        <f>_xlfn.IFNA(_xll.BDP(X648,"INTERVAL_SUM", "MARKET_DATA_OVERRIDE=px_volume", "CALC_INTERVAL=5D"), "")</f>
        <v>#N/A N/A</v>
      </c>
      <c r="Z648" cm="1">
        <f t="array" ref="Z648">_xll.BDP(B648, "CF_ACT_CASH_PAID_FOR_INT_DEBT")</f>
        <v>1218.9000000000001</v>
      </c>
      <c r="AA648" t="str" cm="1">
        <f t="array" ref="AA648">_xll.BDP(B648, "TYPE_OF_BOND")</f>
        <v>#N/A Field Not Applicable</v>
      </c>
    </row>
    <row r="649" spans="1:27" x14ac:dyDescent="0.25">
      <c r="A649">
        <v>647</v>
      </c>
      <c r="B649" t="s">
        <v>1439</v>
      </c>
      <c r="C649" s="4" t="s">
        <v>1381</v>
      </c>
      <c r="D649" s="4">
        <v>3221655000</v>
      </c>
      <c r="E649" s="1" t="s">
        <v>11</v>
      </c>
      <c r="F649" s="1">
        <v>47983</v>
      </c>
      <c r="G649">
        <v>10.521699999999999</v>
      </c>
      <c r="H649" t="s">
        <v>13</v>
      </c>
      <c r="I649" t="s">
        <v>2631</v>
      </c>
      <c r="J649">
        <v>687.5</v>
      </c>
      <c r="L649" t="s">
        <v>1168</v>
      </c>
      <c r="M649" t="s">
        <v>10</v>
      </c>
      <c r="N649" t="s">
        <v>16</v>
      </c>
      <c r="O649" t="s">
        <v>3106</v>
      </c>
      <c r="P649" t="s">
        <v>2629</v>
      </c>
      <c r="Q649" t="s">
        <v>3107</v>
      </c>
      <c r="R649" t="s">
        <v>1440</v>
      </c>
      <c r="S649">
        <v>5000000</v>
      </c>
      <c r="T649">
        <v>38</v>
      </c>
      <c r="V649" t="s">
        <v>227</v>
      </c>
      <c r="W649" t="s">
        <v>1383</v>
      </c>
      <c r="X649" t="str">
        <f t="shared" si="10"/>
        <v>BL525894@TRAC Corp</v>
      </c>
      <c r="Y649" t="str">
        <f>_xlfn.IFNA(_xll.BDP(X649,"INTERVAL_SUM", "MARKET_DATA_OVERRIDE=px_volume", "CALC_INTERVAL=5D"), "")</f>
        <v>#N/A N/A</v>
      </c>
      <c r="Z649" cm="1">
        <f t="array" ref="Z649">_xll.BDP(B649, "CF_ACT_CASH_PAID_FOR_INT_DEBT")</f>
        <v>1218.9000000000001</v>
      </c>
      <c r="AA649" t="str" cm="1">
        <f t="array" ref="AA649">_xll.BDP(B649, "TYPE_OF_BOND")</f>
        <v>#N/A Field Not Applicable</v>
      </c>
    </row>
    <row r="650" spans="1:27" x14ac:dyDescent="0.25">
      <c r="A650">
        <v>648</v>
      </c>
      <c r="B650" t="s">
        <v>1441</v>
      </c>
      <c r="C650" s="4" t="s">
        <v>1381</v>
      </c>
      <c r="D650" s="4">
        <v>875000000</v>
      </c>
      <c r="E650" s="1" t="s">
        <v>11</v>
      </c>
      <c r="F650" s="1">
        <v>47982</v>
      </c>
      <c r="H650" t="s">
        <v>13</v>
      </c>
      <c r="L650" t="s">
        <v>1171</v>
      </c>
      <c r="M650" t="s">
        <v>1391</v>
      </c>
      <c r="N650" t="s">
        <v>16</v>
      </c>
      <c r="O650" t="s">
        <v>3108</v>
      </c>
      <c r="P650" t="s">
        <v>2644</v>
      </c>
      <c r="Q650" t="s">
        <v>3183</v>
      </c>
      <c r="R650" t="s">
        <v>1442</v>
      </c>
      <c r="V650" t="s">
        <v>227</v>
      </c>
      <c r="W650" t="s">
        <v>1383</v>
      </c>
      <c r="X650" t="str">
        <f t="shared" si="10"/>
        <v>BL473286@TRAC Corp</v>
      </c>
      <c r="Y650" t="str">
        <f>_xlfn.IFNA(_xll.BDP(X650,"INTERVAL_SUM", "MARKET_DATA_OVERRIDE=px_volume", "CALC_INTERVAL=5D"), "")</f>
        <v>#N/A N/A</v>
      </c>
      <c r="Z650" cm="1">
        <f t="array" ref="Z650">_xll.BDP(B650, "CF_ACT_CASH_PAID_FOR_INT_DEBT")</f>
        <v>1218.9000000000001</v>
      </c>
      <c r="AA650" t="str" cm="1">
        <f t="array" ref="AA650">_xll.BDP(B650, "TYPE_OF_BOND")</f>
        <v>#N/A Field Not Applicable</v>
      </c>
    </row>
    <row r="651" spans="1:27" x14ac:dyDescent="0.25">
      <c r="A651">
        <v>649</v>
      </c>
      <c r="B651" t="s">
        <v>1443</v>
      </c>
      <c r="C651" s="4" t="s">
        <v>1381</v>
      </c>
      <c r="D651" s="4">
        <v>2020401213</v>
      </c>
      <c r="E651" s="1" t="s">
        <v>11</v>
      </c>
      <c r="F651" s="1">
        <v>47982</v>
      </c>
      <c r="H651" t="s">
        <v>13</v>
      </c>
      <c r="L651" t="s">
        <v>1171</v>
      </c>
      <c r="M651" t="s">
        <v>1391</v>
      </c>
      <c r="N651" t="s">
        <v>16</v>
      </c>
      <c r="O651" t="s">
        <v>3108</v>
      </c>
      <c r="P651" t="s">
        <v>2644</v>
      </c>
      <c r="Q651" t="s">
        <v>3183</v>
      </c>
      <c r="R651" t="s">
        <v>1444</v>
      </c>
      <c r="V651" t="s">
        <v>227</v>
      </c>
      <c r="W651" t="s">
        <v>1383</v>
      </c>
      <c r="X651" t="str">
        <f t="shared" si="10"/>
        <v>BL473284@TRAC Corp</v>
      </c>
      <c r="Y651" t="str">
        <f>_xlfn.IFNA(_xll.BDP(X651,"INTERVAL_SUM", "MARKET_DATA_OVERRIDE=px_volume", "CALC_INTERVAL=5D"), "")</f>
        <v>#N/A N/A</v>
      </c>
      <c r="Z651" cm="1">
        <f t="array" ref="Z651">_xll.BDP(B651, "CF_ACT_CASH_PAID_FOR_INT_DEBT")</f>
        <v>1218.9000000000001</v>
      </c>
      <c r="AA651" t="str" cm="1">
        <f t="array" ref="AA651">_xll.BDP(B651, "TYPE_OF_BOND")</f>
        <v>#N/A Field Not Applicable</v>
      </c>
    </row>
    <row r="652" spans="1:27" x14ac:dyDescent="0.25">
      <c r="A652">
        <v>650</v>
      </c>
      <c r="B652" t="s">
        <v>1445</v>
      </c>
      <c r="C652" s="4" t="s">
        <v>1381</v>
      </c>
      <c r="D652" s="4">
        <v>800000000</v>
      </c>
      <c r="E652" s="1" t="s">
        <v>11</v>
      </c>
      <c r="F652" s="1">
        <v>46689</v>
      </c>
      <c r="G652">
        <v>7.3209999999999997</v>
      </c>
      <c r="H652" t="s">
        <v>13</v>
      </c>
      <c r="I652" t="s">
        <v>2636</v>
      </c>
      <c r="J652">
        <v>500</v>
      </c>
      <c r="L652" t="s">
        <v>1171</v>
      </c>
      <c r="M652" t="s">
        <v>35</v>
      </c>
      <c r="N652" t="s">
        <v>16</v>
      </c>
      <c r="O652" t="s">
        <v>3108</v>
      </c>
      <c r="P652" t="s">
        <v>2644</v>
      </c>
      <c r="Q652" t="s">
        <v>3183</v>
      </c>
      <c r="R652" t="s">
        <v>1446</v>
      </c>
      <c r="S652">
        <v>27000000</v>
      </c>
      <c r="T652">
        <v>6</v>
      </c>
      <c r="V652" t="s">
        <v>227</v>
      </c>
      <c r="W652" t="s">
        <v>1383</v>
      </c>
      <c r="X652" t="str">
        <f t="shared" si="10"/>
        <v>BL443702@TRAC Corp</v>
      </c>
      <c r="Y652" t="str">
        <f>_xlfn.IFNA(_xll.BDP(X652,"INTERVAL_SUM", "MARKET_DATA_OVERRIDE=px_volume", "CALC_INTERVAL=5D"), "")</f>
        <v>#N/A N/A</v>
      </c>
      <c r="Z652" cm="1">
        <f t="array" ref="Z652">_xll.BDP(B652, "CF_ACT_CASH_PAID_FOR_INT_DEBT")</f>
        <v>612</v>
      </c>
      <c r="AA652" t="str" cm="1">
        <f t="array" ref="AA652">_xll.BDP(B652, "TYPE_OF_BOND")</f>
        <v>#N/A Field Not Applicable</v>
      </c>
    </row>
    <row r="653" spans="1:27" x14ac:dyDescent="0.25">
      <c r="A653">
        <v>651</v>
      </c>
      <c r="B653" t="s">
        <v>1447</v>
      </c>
      <c r="C653" s="4" t="s">
        <v>1381</v>
      </c>
      <c r="D653" s="4">
        <v>1600000000</v>
      </c>
      <c r="E653" s="1" t="s">
        <v>11</v>
      </c>
      <c r="F653" s="1">
        <v>46689</v>
      </c>
      <c r="G653">
        <v>8.6769999999999996</v>
      </c>
      <c r="H653" t="s">
        <v>13</v>
      </c>
      <c r="I653" t="s">
        <v>2635</v>
      </c>
      <c r="J653">
        <v>500</v>
      </c>
      <c r="L653" t="s">
        <v>1168</v>
      </c>
      <c r="M653" t="s">
        <v>35</v>
      </c>
      <c r="N653" t="s">
        <v>16</v>
      </c>
      <c r="O653" t="s">
        <v>3108</v>
      </c>
      <c r="P653" t="s">
        <v>2644</v>
      </c>
      <c r="Q653" t="s">
        <v>3183</v>
      </c>
      <c r="R653" t="s">
        <v>1448</v>
      </c>
      <c r="S653">
        <v>4096275.8712377702</v>
      </c>
      <c r="T653">
        <v>6</v>
      </c>
      <c r="V653" t="s">
        <v>227</v>
      </c>
      <c r="W653" t="s">
        <v>1383</v>
      </c>
      <c r="X653" t="str">
        <f t="shared" si="10"/>
        <v>BL406348@TRAC Corp</v>
      </c>
      <c r="Y653" t="str">
        <f>_xlfn.IFNA(_xll.BDP(X653,"INTERVAL_SUM", "MARKET_DATA_OVERRIDE=px_volume", "CALC_INTERVAL=5D"), "")</f>
        <v>#N/A N/A</v>
      </c>
      <c r="Z653" cm="1">
        <f t="array" ref="Z653">_xll.BDP(B653, "CF_ACT_CASH_PAID_FOR_INT_DEBT")</f>
        <v>612</v>
      </c>
      <c r="AA653" t="str" cm="1">
        <f t="array" ref="AA653">_xll.BDP(B653, "TYPE_OF_BOND")</f>
        <v>#N/A Field Not Applicable</v>
      </c>
    </row>
    <row r="654" spans="1:27" x14ac:dyDescent="0.25">
      <c r="A654">
        <v>652</v>
      </c>
      <c r="B654" t="s">
        <v>1449</v>
      </c>
      <c r="C654" s="4" t="s">
        <v>1381</v>
      </c>
      <c r="D654" s="4">
        <v>400000000</v>
      </c>
      <c r="E654" s="1" t="s">
        <v>11</v>
      </c>
      <c r="F654" s="1">
        <v>46689</v>
      </c>
      <c r="G654">
        <v>7.33</v>
      </c>
      <c r="H654" t="s">
        <v>13</v>
      </c>
      <c r="I654" t="s">
        <v>2636</v>
      </c>
      <c r="J654">
        <v>500</v>
      </c>
      <c r="L654" t="s">
        <v>1171</v>
      </c>
      <c r="M654" t="s">
        <v>35</v>
      </c>
      <c r="N654" t="s">
        <v>16</v>
      </c>
      <c r="O654" t="s">
        <v>3108</v>
      </c>
      <c r="P654" t="s">
        <v>2644</v>
      </c>
      <c r="Q654" t="s">
        <v>3183</v>
      </c>
      <c r="R654" t="s">
        <v>1450</v>
      </c>
      <c r="S654">
        <v>27000000</v>
      </c>
      <c r="T654">
        <v>8</v>
      </c>
      <c r="V654" t="s">
        <v>227</v>
      </c>
      <c r="W654" t="s">
        <v>1383</v>
      </c>
      <c r="X654" t="str">
        <f t="shared" si="10"/>
        <v>BL406346@TRAC Corp</v>
      </c>
      <c r="Y654" t="str">
        <f>_xlfn.IFNA(_xll.BDP(X654,"INTERVAL_SUM", "MARKET_DATA_OVERRIDE=px_volume", "CALC_INTERVAL=5D"), "")</f>
        <v>#N/A N/A</v>
      </c>
      <c r="Z654" cm="1">
        <f t="array" ref="Z654">_xll.BDP(B654, "CF_ACT_CASH_PAID_FOR_INT_DEBT")</f>
        <v>612</v>
      </c>
      <c r="AA654" t="str" cm="1">
        <f t="array" ref="AA654">_xll.BDP(B654, "TYPE_OF_BOND")</f>
        <v>#N/A Field Not Applicable</v>
      </c>
    </row>
    <row r="655" spans="1:27" x14ac:dyDescent="0.25">
      <c r="A655">
        <v>653</v>
      </c>
      <c r="B655" t="s">
        <v>1451</v>
      </c>
      <c r="C655" s="4" t="s">
        <v>1381</v>
      </c>
      <c r="D655" s="4">
        <v>93375000</v>
      </c>
      <c r="E655" s="1" t="s">
        <v>17</v>
      </c>
      <c r="F655" s="1"/>
      <c r="H655" t="s">
        <v>13</v>
      </c>
      <c r="L655" t="s">
        <v>1171</v>
      </c>
      <c r="M655" t="s">
        <v>35</v>
      </c>
      <c r="N655" t="s">
        <v>16</v>
      </c>
      <c r="O655" t="s">
        <v>3108</v>
      </c>
      <c r="P655" t="s">
        <v>2644</v>
      </c>
      <c r="Q655" t="s">
        <v>3183</v>
      </c>
      <c r="R655" t="s">
        <v>1452</v>
      </c>
      <c r="V655" t="s">
        <v>1453</v>
      </c>
      <c r="W655" t="s">
        <v>1383</v>
      </c>
      <c r="X655" t="str">
        <f t="shared" si="10"/>
        <v>BL297440@TRAC Corp</v>
      </c>
      <c r="Y655" t="str">
        <f>_xlfn.IFNA(_xll.BDP(X655,"INTERVAL_SUM", "MARKET_DATA_OVERRIDE=px_volume", "CALC_INTERVAL=5D"), "")</f>
        <v>#N/A N/A</v>
      </c>
      <c r="Z655" cm="1">
        <f t="array" ref="Z655">_xll.BDP(B655, "CF_ACT_CASH_PAID_FOR_INT_DEBT")</f>
        <v>612</v>
      </c>
      <c r="AA655" t="str" cm="1">
        <f t="array" ref="AA655">_xll.BDP(B655, "TYPE_OF_BOND")</f>
        <v>#N/A Field Not Applicable</v>
      </c>
    </row>
    <row r="656" spans="1:27" x14ac:dyDescent="0.25">
      <c r="A656">
        <v>654</v>
      </c>
      <c r="B656" t="s">
        <v>1454</v>
      </c>
      <c r="C656" s="4" t="s">
        <v>1381</v>
      </c>
      <c r="D656" s="4">
        <v>80000000</v>
      </c>
      <c r="E656" s="1" t="s">
        <v>17</v>
      </c>
      <c r="F656" s="1"/>
      <c r="H656" t="s">
        <v>13</v>
      </c>
      <c r="L656" t="s">
        <v>1171</v>
      </c>
      <c r="M656" t="s">
        <v>1455</v>
      </c>
      <c r="N656" t="s">
        <v>16</v>
      </c>
      <c r="O656" t="s">
        <v>3108</v>
      </c>
      <c r="P656" t="s">
        <v>2644</v>
      </c>
      <c r="Q656" t="s">
        <v>3185</v>
      </c>
      <c r="R656" t="s">
        <v>1456</v>
      </c>
      <c r="V656" t="s">
        <v>327</v>
      </c>
      <c r="W656" t="s">
        <v>1383</v>
      </c>
      <c r="X656" t="str">
        <f t="shared" si="10"/>
        <v>BL185174@TRAC Corp</v>
      </c>
      <c r="Y656" t="str">
        <f>_xlfn.IFNA(_xll.BDP(X656,"INTERVAL_SUM", "MARKET_DATA_OVERRIDE=px_volume", "CALC_INTERVAL=5D"), "")</f>
        <v>#N/A N/A</v>
      </c>
      <c r="Z656" cm="1">
        <f t="array" ref="Z656">_xll.BDP(B656, "CF_ACT_CASH_PAID_FOR_INT_DEBT")</f>
        <v>612</v>
      </c>
      <c r="AA656" t="str" cm="1">
        <f t="array" ref="AA656">_xll.BDP(B656, "TYPE_OF_BOND")</f>
        <v>#N/A Field Not Applicable</v>
      </c>
    </row>
    <row r="657" spans="1:27" x14ac:dyDescent="0.25">
      <c r="A657">
        <v>655</v>
      </c>
      <c r="B657" t="s">
        <v>1457</v>
      </c>
      <c r="C657" s="4" t="s">
        <v>1381</v>
      </c>
      <c r="D657" s="4">
        <v>43715490</v>
      </c>
      <c r="E657" s="1" t="s">
        <v>331</v>
      </c>
      <c r="F657" s="1"/>
      <c r="G657">
        <v>11</v>
      </c>
      <c r="H657" t="s">
        <v>1162</v>
      </c>
      <c r="L657" t="s">
        <v>1171</v>
      </c>
      <c r="M657" t="s">
        <v>1391</v>
      </c>
      <c r="N657" t="s">
        <v>537</v>
      </c>
      <c r="O657" t="s">
        <v>3129</v>
      </c>
      <c r="P657" t="s">
        <v>2677</v>
      </c>
      <c r="Q657" t="s">
        <v>3186</v>
      </c>
      <c r="R657" t="s">
        <v>1458</v>
      </c>
      <c r="S657">
        <v>72.339197843257693</v>
      </c>
      <c r="T657">
        <v>49</v>
      </c>
      <c r="U657" t="s">
        <v>1176</v>
      </c>
      <c r="W657" t="s">
        <v>1383</v>
      </c>
      <c r="X657" t="str">
        <f t="shared" si="10"/>
        <v>EP006283 Pfd</v>
      </c>
      <c r="Y657" t="str">
        <f>_xlfn.IFNA(_xll.BDP(X657,"INTERVAL_SUM", "MARKET_DATA_OVERRIDE=px_volume", "CALC_INTERVAL=5D"), "")</f>
        <v>#N/A N/A</v>
      </c>
      <c r="Z657" cm="1">
        <f t="array" ref="Z657">_xll.BDP(B657, "CF_ACT_CASH_PAID_FOR_INT_DEBT")</f>
        <v>1218.9000000000001</v>
      </c>
      <c r="AA657" t="str" cm="1">
        <f t="array" ref="AA657">_xll.BDP(B657, "TYPE_OF_BOND")</f>
        <v>#N/A Field Not Applicable</v>
      </c>
    </row>
    <row r="658" spans="1:27" x14ac:dyDescent="0.25">
      <c r="A658">
        <v>656</v>
      </c>
      <c r="B658" t="s">
        <v>1459</v>
      </c>
      <c r="C658" s="4" t="s">
        <v>1460</v>
      </c>
      <c r="D658" s="4">
        <v>559128783</v>
      </c>
      <c r="E658" s="1" t="s">
        <v>11</v>
      </c>
      <c r="F658" s="1">
        <v>47802</v>
      </c>
      <c r="G658">
        <v>9</v>
      </c>
      <c r="H658" t="s">
        <v>9</v>
      </c>
      <c r="L658" t="s">
        <v>1168</v>
      </c>
      <c r="M658" t="s">
        <v>10</v>
      </c>
      <c r="N658" t="s">
        <v>16</v>
      </c>
      <c r="O658" t="s">
        <v>3187</v>
      </c>
      <c r="P658" t="s">
        <v>2658</v>
      </c>
      <c r="Q658" t="s">
        <v>3188</v>
      </c>
      <c r="R658" t="s">
        <v>1461</v>
      </c>
      <c r="S658">
        <v>2664183.3262565499</v>
      </c>
      <c r="T658">
        <v>30</v>
      </c>
      <c r="U658" t="s">
        <v>1169</v>
      </c>
      <c r="W658" t="s">
        <v>1462</v>
      </c>
      <c r="X658" t="str">
        <f t="shared" si="10"/>
        <v>DG537796@TRAC Corp</v>
      </c>
      <c r="Y658">
        <f>_xlfn.IFNA(_xll.BDP(X658,"INTERVAL_SUM", "MARKET_DATA_OVERRIDE=px_volume", "CALC_INTERVAL=5D"), "")</f>
        <v>8975</v>
      </c>
      <c r="Z658" t="str" cm="1">
        <f t="array" ref="Z658">_xll.BDP(B658, "CF_ACT_CASH_PAID_FOR_INT_DEBT")</f>
        <v>#N/A N/A</v>
      </c>
      <c r="AA658" t="str" cm="1">
        <f t="array" ref="AA658">_xll.BDP(B658, "TYPE_OF_BOND")</f>
        <v>#N/A Field Not Applicable</v>
      </c>
    </row>
    <row r="659" spans="1:27" x14ac:dyDescent="0.25">
      <c r="A659">
        <v>657</v>
      </c>
      <c r="B659" t="s">
        <v>1463</v>
      </c>
      <c r="C659" s="4" t="s">
        <v>1460</v>
      </c>
      <c r="D659" s="4">
        <v>4507000</v>
      </c>
      <c r="E659" s="1" t="s">
        <v>11</v>
      </c>
      <c r="F659" s="1">
        <v>47072</v>
      </c>
      <c r="G659">
        <v>6.5</v>
      </c>
      <c r="H659" t="s">
        <v>9</v>
      </c>
      <c r="L659" t="s">
        <v>1168</v>
      </c>
      <c r="M659" t="s">
        <v>10</v>
      </c>
      <c r="N659" t="s">
        <v>16</v>
      </c>
      <c r="O659" t="s">
        <v>3187</v>
      </c>
      <c r="P659" t="s">
        <v>2658</v>
      </c>
      <c r="Q659" t="s">
        <v>3188</v>
      </c>
      <c r="R659" t="s">
        <v>1464</v>
      </c>
      <c r="S659">
        <v>-9997</v>
      </c>
      <c r="U659" t="s">
        <v>1169</v>
      </c>
      <c r="W659" t="s">
        <v>1462</v>
      </c>
      <c r="X659" t="str">
        <f t="shared" si="10"/>
        <v>BM020293@TRAC Corp</v>
      </c>
      <c r="Y659" t="str">
        <f>_xlfn.IFNA(_xll.BDP(X659,"INTERVAL_SUM", "MARKET_DATA_OVERRIDE=px_volume", "CALC_INTERVAL=5D"), "")</f>
        <v>#N/A N/A</v>
      </c>
      <c r="Z659" t="str" cm="1">
        <f t="array" ref="Z659">_xll.BDP(B659, "CF_ACT_CASH_PAID_FOR_INT_DEBT")</f>
        <v>#N/A N/A</v>
      </c>
      <c r="AA659" t="str" cm="1">
        <f t="array" ref="AA659">_xll.BDP(B659, "TYPE_OF_BOND")</f>
        <v>#N/A Field Not Applicable</v>
      </c>
    </row>
    <row r="660" spans="1:27" x14ac:dyDescent="0.25">
      <c r="A660">
        <v>658</v>
      </c>
      <c r="B660" t="s">
        <v>1465</v>
      </c>
      <c r="C660" s="4" t="s">
        <v>1460</v>
      </c>
      <c r="D660" s="4">
        <v>1021649370.88</v>
      </c>
      <c r="E660" s="1" t="s">
        <v>11</v>
      </c>
      <c r="F660" s="1">
        <v>47591</v>
      </c>
      <c r="G660">
        <v>9.7897999999999996</v>
      </c>
      <c r="H660" t="s">
        <v>13</v>
      </c>
      <c r="I660" t="s">
        <v>2631</v>
      </c>
      <c r="J660">
        <v>600</v>
      </c>
      <c r="L660" t="s">
        <v>1168</v>
      </c>
      <c r="M660" t="s">
        <v>10</v>
      </c>
      <c r="N660" t="s">
        <v>16</v>
      </c>
      <c r="O660" t="s">
        <v>3187</v>
      </c>
      <c r="P660" t="s">
        <v>2658</v>
      </c>
      <c r="Q660" t="s">
        <v>3188</v>
      </c>
      <c r="R660" t="s">
        <v>1466</v>
      </c>
      <c r="S660">
        <v>3000000</v>
      </c>
      <c r="T660">
        <v>24</v>
      </c>
      <c r="V660" t="s">
        <v>227</v>
      </c>
      <c r="W660" t="s">
        <v>1462</v>
      </c>
      <c r="X660" t="str">
        <f t="shared" si="10"/>
        <v>BL559864@TRAC Corp</v>
      </c>
      <c r="Y660" t="str">
        <f>_xlfn.IFNA(_xll.BDP(X660,"INTERVAL_SUM", "MARKET_DATA_OVERRIDE=px_volume", "CALC_INTERVAL=5D"), "")</f>
        <v>#N/A N/A</v>
      </c>
      <c r="Z660" t="str" cm="1">
        <f t="array" ref="Z660">_xll.BDP(B660, "CF_ACT_CASH_PAID_FOR_INT_DEBT")</f>
        <v>#N/A N/A</v>
      </c>
      <c r="AA660" t="str" cm="1">
        <f t="array" ref="AA660">_xll.BDP(B660, "TYPE_OF_BOND")</f>
        <v>#N/A Field Not Applicable</v>
      </c>
    </row>
    <row r="661" spans="1:27" x14ac:dyDescent="0.25">
      <c r="A661">
        <v>659</v>
      </c>
      <c r="B661" t="s">
        <v>1467</v>
      </c>
      <c r="C661" s="4" t="s">
        <v>1468</v>
      </c>
      <c r="D661" s="4">
        <v>251400000</v>
      </c>
      <c r="E661" s="1" t="s">
        <v>17</v>
      </c>
      <c r="F661" s="1">
        <v>46961</v>
      </c>
      <c r="G661">
        <v>4.0095200000000002</v>
      </c>
      <c r="H661" t="s">
        <v>13</v>
      </c>
      <c r="I661" t="s">
        <v>2635</v>
      </c>
      <c r="L661" t="s">
        <v>1168</v>
      </c>
      <c r="M661" t="s">
        <v>10</v>
      </c>
      <c r="N661" t="s">
        <v>15</v>
      </c>
      <c r="O661" t="s">
        <v>3110</v>
      </c>
      <c r="P661" t="s">
        <v>2634</v>
      </c>
      <c r="Q661" t="s">
        <v>3115</v>
      </c>
      <c r="R661" t="s">
        <v>1469</v>
      </c>
      <c r="S661">
        <v>-9997</v>
      </c>
      <c r="U661">
        <v>2025</v>
      </c>
      <c r="W661" t="s">
        <v>1470</v>
      </c>
      <c r="X661" t="str">
        <f t="shared" si="10"/>
        <v>DC229692@TRAC Corp</v>
      </c>
      <c r="Y661" t="str">
        <f>_xlfn.IFNA(_xll.BDP(X661,"INTERVAL_SUM", "MARKET_DATA_OVERRIDE=px_volume", "CALC_INTERVAL=5D"), "")</f>
        <v>#N/A N/A</v>
      </c>
      <c r="Z661" t="str" cm="1">
        <f t="array" ref="Z661">_xll.BDP(B661, "CF_ACT_CASH_PAID_FOR_INT_DEBT")</f>
        <v>#N/A N/A</v>
      </c>
      <c r="AA661" t="str" cm="1">
        <f t="array" ref="AA661">_xll.BDP(B661, "TYPE_OF_BOND")</f>
        <v>#N/A Field Not Applicable</v>
      </c>
    </row>
    <row r="662" spans="1:27" x14ac:dyDescent="0.25">
      <c r="A662">
        <v>660</v>
      </c>
      <c r="B662" t="s">
        <v>1471</v>
      </c>
      <c r="C662" s="4" t="s">
        <v>1468</v>
      </c>
      <c r="D662" s="4">
        <v>2276848</v>
      </c>
      <c r="E662" s="1" t="s">
        <v>11</v>
      </c>
      <c r="F662" s="1">
        <v>47178</v>
      </c>
      <c r="G662">
        <v>6.6439000000000004</v>
      </c>
      <c r="H662" t="s">
        <v>13</v>
      </c>
      <c r="I662" t="s">
        <v>2631</v>
      </c>
      <c r="J662">
        <v>300</v>
      </c>
      <c r="L662" t="s">
        <v>1168</v>
      </c>
      <c r="M662" t="s">
        <v>10</v>
      </c>
      <c r="N662" t="s">
        <v>15</v>
      </c>
      <c r="O662" t="s">
        <v>3110</v>
      </c>
      <c r="R662" t="s">
        <v>1472</v>
      </c>
      <c r="V662" t="s">
        <v>227</v>
      </c>
      <c r="W662" t="s">
        <v>1470</v>
      </c>
      <c r="X662" t="str">
        <f t="shared" si="10"/>
        <v>BL553016@TRAC Corp</v>
      </c>
      <c r="Y662" t="str">
        <f>_xlfn.IFNA(_xll.BDP(X662,"INTERVAL_SUM", "MARKET_DATA_OVERRIDE=px_volume", "CALC_INTERVAL=5D"), "")</f>
        <v>#N/A N/A</v>
      </c>
      <c r="Z662" t="str" cm="1">
        <f t="array" ref="Z662">_xll.BDP(B662, "CF_ACT_CASH_PAID_FOR_INT_DEBT")</f>
        <v>#N/A N/A</v>
      </c>
      <c r="AA662" t="str" cm="1">
        <f t="array" ref="AA662">_xll.BDP(B662, "TYPE_OF_BOND")</f>
        <v>#N/A Field Not Applicable</v>
      </c>
    </row>
    <row r="663" spans="1:27" x14ac:dyDescent="0.25">
      <c r="A663">
        <v>661</v>
      </c>
      <c r="B663" t="s">
        <v>1473</v>
      </c>
      <c r="C663" s="4" t="s">
        <v>1468</v>
      </c>
      <c r="D663" s="4">
        <v>2387851</v>
      </c>
      <c r="E663" s="1" t="s">
        <v>33</v>
      </c>
      <c r="F663" s="1">
        <v>46961</v>
      </c>
      <c r="G663">
        <v>10.9922</v>
      </c>
      <c r="H663" t="s">
        <v>13</v>
      </c>
      <c r="I663" t="s">
        <v>2635</v>
      </c>
      <c r="J663">
        <v>726</v>
      </c>
      <c r="L663" t="s">
        <v>1168</v>
      </c>
      <c r="N663" t="s">
        <v>15</v>
      </c>
      <c r="O663" t="s">
        <v>3110</v>
      </c>
      <c r="R663" t="s">
        <v>1474</v>
      </c>
      <c r="V663" t="s">
        <v>227</v>
      </c>
      <c r="W663" t="s">
        <v>1470</v>
      </c>
      <c r="X663" t="str">
        <f t="shared" si="10"/>
        <v>BL520139@TRAC Corp</v>
      </c>
      <c r="Y663" t="str">
        <f>_xlfn.IFNA(_xll.BDP(X663,"INTERVAL_SUM", "MARKET_DATA_OVERRIDE=px_volume", "CALC_INTERVAL=5D"), "")</f>
        <v>#N/A N/A</v>
      </c>
      <c r="Z663" t="str" cm="1">
        <f t="array" ref="Z663">_xll.BDP(B663, "CF_ACT_CASH_PAID_FOR_INT_DEBT")</f>
        <v>#N/A N/A</v>
      </c>
      <c r="AA663" t="str" cm="1">
        <f t="array" ref="AA663">_xll.BDP(B663, "TYPE_OF_BOND")</f>
        <v>#N/A Field Not Applicable</v>
      </c>
    </row>
    <row r="664" spans="1:27" x14ac:dyDescent="0.25">
      <c r="A664">
        <v>662</v>
      </c>
      <c r="B664" t="s">
        <v>1475</v>
      </c>
      <c r="C664" s="4" t="s">
        <v>1468</v>
      </c>
      <c r="D664" s="4">
        <v>94668</v>
      </c>
      <c r="E664" s="1" t="s">
        <v>11</v>
      </c>
      <c r="F664" s="1">
        <v>46961</v>
      </c>
      <c r="G664">
        <v>9.8939000000000004</v>
      </c>
      <c r="H664" t="s">
        <v>13</v>
      </c>
      <c r="I664" t="s">
        <v>2631</v>
      </c>
      <c r="J664">
        <v>625</v>
      </c>
      <c r="L664" t="s">
        <v>1168</v>
      </c>
      <c r="M664" t="s">
        <v>10</v>
      </c>
      <c r="N664" t="s">
        <v>15</v>
      </c>
      <c r="O664" t="s">
        <v>3110</v>
      </c>
      <c r="R664" t="s">
        <v>1472</v>
      </c>
      <c r="V664" t="s">
        <v>227</v>
      </c>
      <c r="W664" t="s">
        <v>1470</v>
      </c>
      <c r="X664" t="str">
        <f t="shared" si="10"/>
        <v>BL481652@TRAC Corp</v>
      </c>
      <c r="Y664" t="str">
        <f>_xlfn.IFNA(_xll.BDP(X664,"INTERVAL_SUM", "MARKET_DATA_OVERRIDE=px_volume", "CALC_INTERVAL=5D"), "")</f>
        <v>#N/A N/A</v>
      </c>
      <c r="Z664" t="str" cm="1">
        <f t="array" ref="Z664">_xll.BDP(B664, "CF_ACT_CASH_PAID_FOR_INT_DEBT")</f>
        <v>#N/A N/A</v>
      </c>
      <c r="AA664" t="str" cm="1">
        <f t="array" ref="AA664">_xll.BDP(B664, "TYPE_OF_BOND")</f>
        <v>#N/A Field Not Applicable</v>
      </c>
    </row>
    <row r="665" spans="1:27" x14ac:dyDescent="0.25">
      <c r="A665">
        <v>663</v>
      </c>
      <c r="B665" t="s">
        <v>1476</v>
      </c>
      <c r="C665" s="4" t="s">
        <v>1468</v>
      </c>
      <c r="D665" s="4">
        <v>317310.74</v>
      </c>
      <c r="E665" s="1" t="s">
        <v>33</v>
      </c>
      <c r="F665" s="1">
        <v>46961</v>
      </c>
      <c r="G665">
        <v>5.4922000000000004</v>
      </c>
      <c r="H665" t="s">
        <v>13</v>
      </c>
      <c r="I665" t="s">
        <v>2635</v>
      </c>
      <c r="J665">
        <v>176</v>
      </c>
      <c r="L665" t="s">
        <v>1168</v>
      </c>
      <c r="M665" t="s">
        <v>10</v>
      </c>
      <c r="N665" t="s">
        <v>15</v>
      </c>
      <c r="O665" t="s">
        <v>3110</v>
      </c>
      <c r="R665" t="s">
        <v>1477</v>
      </c>
      <c r="V665" t="s">
        <v>256</v>
      </c>
      <c r="W665" t="s">
        <v>1470</v>
      </c>
      <c r="X665" t="str">
        <f t="shared" si="10"/>
        <v>BL481651@TRAC Corp</v>
      </c>
      <c r="Y665" t="str">
        <f>_xlfn.IFNA(_xll.BDP(X665,"INTERVAL_SUM", "MARKET_DATA_OVERRIDE=px_volume", "CALC_INTERVAL=5D"), "")</f>
        <v>#N/A N/A</v>
      </c>
      <c r="Z665" t="str" cm="1">
        <f t="array" ref="Z665">_xll.BDP(B665, "CF_ACT_CASH_PAID_FOR_INT_DEBT")</f>
        <v>#N/A N/A</v>
      </c>
      <c r="AA665" t="str" cm="1">
        <f t="array" ref="AA665">_xll.BDP(B665, "TYPE_OF_BOND")</f>
        <v>#N/A Field Not Applicable</v>
      </c>
    </row>
    <row r="666" spans="1:27" x14ac:dyDescent="0.25">
      <c r="A666">
        <v>664</v>
      </c>
      <c r="B666" t="s">
        <v>1478</v>
      </c>
      <c r="C666" s="4" t="s">
        <v>1468</v>
      </c>
      <c r="D666" s="4">
        <v>1040000000</v>
      </c>
      <c r="E666" s="1" t="s">
        <v>11</v>
      </c>
      <c r="F666" s="1">
        <v>46961</v>
      </c>
      <c r="G666">
        <v>9.8963000000000001</v>
      </c>
      <c r="H666" t="s">
        <v>13</v>
      </c>
      <c r="I666" t="s">
        <v>2635</v>
      </c>
      <c r="J666">
        <v>625</v>
      </c>
      <c r="L666" t="s">
        <v>1168</v>
      </c>
      <c r="M666" t="s">
        <v>10</v>
      </c>
      <c r="N666" t="s">
        <v>15</v>
      </c>
      <c r="O666" t="s">
        <v>3110</v>
      </c>
      <c r="P666" t="s">
        <v>2634</v>
      </c>
      <c r="Q666" t="s">
        <v>3115</v>
      </c>
      <c r="R666" t="s">
        <v>1472</v>
      </c>
      <c r="S666">
        <v>1000000</v>
      </c>
      <c r="T666">
        <v>1</v>
      </c>
      <c r="V666" t="s">
        <v>227</v>
      </c>
      <c r="W666" t="s">
        <v>1470</v>
      </c>
      <c r="X666" t="str">
        <f t="shared" si="10"/>
        <v>BL474545@TRAC Corp</v>
      </c>
      <c r="Y666" t="str">
        <f>_xlfn.IFNA(_xll.BDP(X666,"INTERVAL_SUM", "MARKET_DATA_OVERRIDE=px_volume", "CALC_INTERVAL=5D"), "")</f>
        <v>#N/A N/A</v>
      </c>
      <c r="Z666" t="str" cm="1">
        <f t="array" ref="Z666">_xll.BDP(B666, "CF_ACT_CASH_PAID_FOR_INT_DEBT")</f>
        <v>#N/A N/A</v>
      </c>
      <c r="AA666" t="str" cm="1">
        <f t="array" ref="AA666">_xll.BDP(B666, "TYPE_OF_BOND")</f>
        <v>#N/A Field Not Applicable</v>
      </c>
    </row>
    <row r="667" spans="1:27" x14ac:dyDescent="0.25">
      <c r="A667">
        <v>665</v>
      </c>
      <c r="B667" t="s">
        <v>1479</v>
      </c>
      <c r="C667" s="4" t="s">
        <v>1468</v>
      </c>
      <c r="D667" s="4">
        <v>1065000000</v>
      </c>
      <c r="E667" s="1" t="s">
        <v>11</v>
      </c>
      <c r="F667" s="1">
        <v>46961</v>
      </c>
      <c r="G667">
        <v>10.6463</v>
      </c>
      <c r="H667" t="s">
        <v>13</v>
      </c>
      <c r="I667" t="s">
        <v>2635</v>
      </c>
      <c r="J667">
        <v>700</v>
      </c>
      <c r="L667" t="s">
        <v>1168</v>
      </c>
      <c r="M667" t="s">
        <v>10</v>
      </c>
      <c r="N667" t="s">
        <v>15</v>
      </c>
      <c r="O667" t="s">
        <v>3110</v>
      </c>
      <c r="P667" t="s">
        <v>2634</v>
      </c>
      <c r="Q667" t="s">
        <v>3115</v>
      </c>
      <c r="R667" t="s">
        <v>1472</v>
      </c>
      <c r="S667">
        <v>3000000</v>
      </c>
      <c r="T667">
        <v>2</v>
      </c>
      <c r="V667" t="s">
        <v>227</v>
      </c>
      <c r="W667" t="s">
        <v>1470</v>
      </c>
      <c r="X667" t="str">
        <f t="shared" si="10"/>
        <v>BL474544@TRAC Corp</v>
      </c>
      <c r="Y667" t="str">
        <f>_xlfn.IFNA(_xll.BDP(X667,"INTERVAL_SUM", "MARKET_DATA_OVERRIDE=px_volume", "CALC_INTERVAL=5D"), "")</f>
        <v>#N/A N/A</v>
      </c>
      <c r="Z667" t="str" cm="1">
        <f t="array" ref="Z667">_xll.BDP(B667, "CF_ACT_CASH_PAID_FOR_INT_DEBT")</f>
        <v>#N/A N/A</v>
      </c>
      <c r="AA667" t="str" cm="1">
        <f t="array" ref="AA667">_xll.BDP(B667, "TYPE_OF_BOND")</f>
        <v>#N/A Field Not Applicable</v>
      </c>
    </row>
    <row r="668" spans="1:27" x14ac:dyDescent="0.25">
      <c r="A668">
        <v>666</v>
      </c>
      <c r="B668" t="s">
        <v>1480</v>
      </c>
      <c r="C668" s="4" t="s">
        <v>1468</v>
      </c>
      <c r="D668" s="4">
        <v>1575000000</v>
      </c>
      <c r="E668" s="1" t="s">
        <v>11</v>
      </c>
      <c r="F668" s="1">
        <v>46961</v>
      </c>
      <c r="G668">
        <v>10.3963</v>
      </c>
      <c r="H668" t="s">
        <v>13</v>
      </c>
      <c r="I668" t="s">
        <v>2635</v>
      </c>
      <c r="J668">
        <v>675</v>
      </c>
      <c r="L668" t="s">
        <v>1168</v>
      </c>
      <c r="M668" t="s">
        <v>10</v>
      </c>
      <c r="N668" t="s">
        <v>15</v>
      </c>
      <c r="O668" t="s">
        <v>3110</v>
      </c>
      <c r="P668" t="s">
        <v>2634</v>
      </c>
      <c r="Q668" t="s">
        <v>3115</v>
      </c>
      <c r="R668" t="s">
        <v>1472</v>
      </c>
      <c r="S668">
        <v>36068000</v>
      </c>
      <c r="T668">
        <v>12</v>
      </c>
      <c r="V668" t="s">
        <v>227</v>
      </c>
      <c r="W668" t="s">
        <v>1470</v>
      </c>
      <c r="X668" t="str">
        <f t="shared" si="10"/>
        <v>BL474542@TRAC Corp</v>
      </c>
      <c r="Y668" t="str">
        <f>_xlfn.IFNA(_xll.BDP(X668,"INTERVAL_SUM", "MARKET_DATA_OVERRIDE=px_volume", "CALC_INTERVAL=5D"), "")</f>
        <v>#N/A N/A</v>
      </c>
      <c r="Z668" t="str" cm="1">
        <f t="array" ref="Z668">_xll.BDP(B668, "CF_ACT_CASH_PAID_FOR_INT_DEBT")</f>
        <v>#N/A N/A</v>
      </c>
      <c r="AA668" t="str" cm="1">
        <f t="array" ref="AA668">_xll.BDP(B668, "TYPE_OF_BOND")</f>
        <v>#N/A Field Not Applicable</v>
      </c>
    </row>
    <row r="669" spans="1:27" x14ac:dyDescent="0.25">
      <c r="A669">
        <v>667</v>
      </c>
      <c r="B669" t="s">
        <v>1481</v>
      </c>
      <c r="C669" s="4" t="s">
        <v>1468</v>
      </c>
      <c r="D669" s="4">
        <v>400000000</v>
      </c>
      <c r="E669" s="1" t="s">
        <v>11</v>
      </c>
      <c r="F669" s="1">
        <v>46961</v>
      </c>
      <c r="G669">
        <v>9.8963000000000001</v>
      </c>
      <c r="H669" t="s">
        <v>13</v>
      </c>
      <c r="I669" t="s">
        <v>2635</v>
      </c>
      <c r="J669">
        <v>625</v>
      </c>
      <c r="L669" t="s">
        <v>1168</v>
      </c>
      <c r="M669" t="s">
        <v>10</v>
      </c>
      <c r="N669" t="s">
        <v>15</v>
      </c>
      <c r="O669" t="s">
        <v>3110</v>
      </c>
      <c r="P669" t="s">
        <v>2634</v>
      </c>
      <c r="Q669" t="s">
        <v>3115</v>
      </c>
      <c r="R669" t="s">
        <v>1472</v>
      </c>
      <c r="S669">
        <v>2000000</v>
      </c>
      <c r="T669">
        <v>9</v>
      </c>
      <c r="V669" t="s">
        <v>227</v>
      </c>
      <c r="W669" t="s">
        <v>1470</v>
      </c>
      <c r="X669" t="str">
        <f t="shared" si="10"/>
        <v>BL474484@TRAC Corp</v>
      </c>
      <c r="Y669" t="str">
        <f>_xlfn.IFNA(_xll.BDP(X669,"INTERVAL_SUM", "MARKET_DATA_OVERRIDE=px_volume", "CALC_INTERVAL=5D"), "")</f>
        <v>#N/A N/A</v>
      </c>
      <c r="Z669" t="str" cm="1">
        <f t="array" ref="Z669">_xll.BDP(B669, "CF_ACT_CASH_PAID_FOR_INT_DEBT")</f>
        <v>#N/A N/A</v>
      </c>
      <c r="AA669" t="str" cm="1">
        <f t="array" ref="AA669">_xll.BDP(B669, "TYPE_OF_BOND")</f>
        <v>#N/A Field Not Applicable</v>
      </c>
    </row>
    <row r="670" spans="1:27" x14ac:dyDescent="0.25">
      <c r="A670">
        <v>668</v>
      </c>
      <c r="B670" t="s">
        <v>1482</v>
      </c>
      <c r="C670" s="4" t="s">
        <v>1468</v>
      </c>
      <c r="D670" s="4">
        <v>415000000</v>
      </c>
      <c r="E670" s="1" t="s">
        <v>11</v>
      </c>
      <c r="F670" s="1">
        <v>46961</v>
      </c>
      <c r="G670">
        <v>12</v>
      </c>
      <c r="H670" t="s">
        <v>9</v>
      </c>
      <c r="I670" t="s">
        <v>2630</v>
      </c>
      <c r="L670" t="s">
        <v>1168</v>
      </c>
      <c r="M670" t="s">
        <v>10</v>
      </c>
      <c r="N670" t="s">
        <v>15</v>
      </c>
      <c r="O670" t="s">
        <v>3110</v>
      </c>
      <c r="P670" t="s">
        <v>2634</v>
      </c>
      <c r="Q670" t="s">
        <v>3115</v>
      </c>
      <c r="R670" t="s">
        <v>1472</v>
      </c>
      <c r="V670" t="s">
        <v>227</v>
      </c>
      <c r="W670" t="s">
        <v>1470</v>
      </c>
      <c r="X670" t="str">
        <f t="shared" si="10"/>
        <v>BL408696@TRAC Corp</v>
      </c>
      <c r="Y670" t="str">
        <f>_xlfn.IFNA(_xll.BDP(X670,"INTERVAL_SUM", "MARKET_DATA_OVERRIDE=px_volume", "CALC_INTERVAL=5D"), "")</f>
        <v>#N/A N/A</v>
      </c>
      <c r="Z670" t="str" cm="1">
        <f t="array" ref="Z670">_xll.BDP(B670, "CF_ACT_CASH_PAID_FOR_INT_DEBT")</f>
        <v>#N/A N/A</v>
      </c>
      <c r="AA670" t="str" cm="1">
        <f t="array" ref="AA670">_xll.BDP(B670, "TYPE_OF_BOND")</f>
        <v>#N/A Field Not Applicable</v>
      </c>
    </row>
    <row r="671" spans="1:27" x14ac:dyDescent="0.25">
      <c r="A671">
        <v>669</v>
      </c>
      <c r="B671" t="s">
        <v>1483</v>
      </c>
      <c r="C671" s="4" t="s">
        <v>1468</v>
      </c>
      <c r="D671" s="4">
        <v>750000000</v>
      </c>
      <c r="E671" s="1" t="s">
        <v>33</v>
      </c>
      <c r="F671" s="1">
        <v>47326</v>
      </c>
      <c r="G671">
        <v>11.994300000000001</v>
      </c>
      <c r="H671" t="s">
        <v>13</v>
      </c>
      <c r="I671" t="s">
        <v>2635</v>
      </c>
      <c r="J671">
        <v>825</v>
      </c>
      <c r="L671" t="s">
        <v>1168</v>
      </c>
      <c r="M671" t="s">
        <v>10</v>
      </c>
      <c r="N671" t="s">
        <v>15</v>
      </c>
      <c r="O671" t="s">
        <v>3110</v>
      </c>
      <c r="P671" t="s">
        <v>2634</v>
      </c>
      <c r="Q671" t="s">
        <v>3115</v>
      </c>
      <c r="R671" t="s">
        <v>1474</v>
      </c>
      <c r="V671" t="s">
        <v>227</v>
      </c>
      <c r="W671" t="s">
        <v>1470</v>
      </c>
      <c r="X671" t="str">
        <f t="shared" si="10"/>
        <v>BL360641@TRAC Corp</v>
      </c>
      <c r="Y671" t="str">
        <f>_xlfn.IFNA(_xll.BDP(X671,"INTERVAL_SUM", "MARKET_DATA_OVERRIDE=px_volume", "CALC_INTERVAL=5D"), "")</f>
        <v>#N/A N/A</v>
      </c>
      <c r="Z671" t="str" cm="1">
        <f t="array" ref="Z671">_xll.BDP(B671, "CF_ACT_CASH_PAID_FOR_INT_DEBT")</f>
        <v>#N/A N/A</v>
      </c>
      <c r="AA671" t="str" cm="1">
        <f t="array" ref="AA671">_xll.BDP(B671, "TYPE_OF_BOND")</f>
        <v>#N/A Field Not Applicable</v>
      </c>
    </row>
    <row r="672" spans="1:27" x14ac:dyDescent="0.25">
      <c r="A672">
        <v>670</v>
      </c>
      <c r="B672" t="s">
        <v>1484</v>
      </c>
      <c r="C672" s="4" t="s">
        <v>1468</v>
      </c>
      <c r="D672" s="4">
        <v>3175000000</v>
      </c>
      <c r="E672" s="1" t="s">
        <v>11</v>
      </c>
      <c r="F672" s="1">
        <v>46961</v>
      </c>
      <c r="G672">
        <v>9.0111000000000008</v>
      </c>
      <c r="H672" t="s">
        <v>13</v>
      </c>
      <c r="I672" t="s">
        <v>2635</v>
      </c>
      <c r="J672">
        <v>500</v>
      </c>
      <c r="L672" t="s">
        <v>1168</v>
      </c>
      <c r="M672" t="s">
        <v>10</v>
      </c>
      <c r="N672" t="s">
        <v>15</v>
      </c>
      <c r="O672" t="s">
        <v>3110</v>
      </c>
      <c r="P672" t="s">
        <v>2634</v>
      </c>
      <c r="Q672" t="s">
        <v>3115</v>
      </c>
      <c r="R672" t="s">
        <v>1472</v>
      </c>
      <c r="V672" t="s">
        <v>227</v>
      </c>
      <c r="W672" t="s">
        <v>1470</v>
      </c>
      <c r="X672" t="str">
        <f t="shared" si="10"/>
        <v>BL360638@TRAC Corp</v>
      </c>
      <c r="Y672" t="str">
        <f>_xlfn.IFNA(_xll.BDP(X672,"INTERVAL_SUM", "MARKET_DATA_OVERRIDE=px_volume", "CALC_INTERVAL=5D"), "")</f>
        <v>#N/A N/A</v>
      </c>
      <c r="Z672" t="str" cm="1">
        <f t="array" ref="Z672">_xll.BDP(B672, "CF_ACT_CASH_PAID_FOR_INT_DEBT")</f>
        <v>#N/A N/A</v>
      </c>
      <c r="AA672" t="str" cm="1">
        <f t="array" ref="AA672">_xll.BDP(B672, "TYPE_OF_BOND")</f>
        <v>#N/A Field Not Applicable</v>
      </c>
    </row>
    <row r="673" spans="1:27" x14ac:dyDescent="0.25">
      <c r="A673">
        <v>671</v>
      </c>
      <c r="B673" t="s">
        <v>2679</v>
      </c>
      <c r="C673" s="4" t="s">
        <v>1468</v>
      </c>
      <c r="D673" s="4">
        <v>6355448</v>
      </c>
      <c r="E673" s="1" t="s">
        <v>11</v>
      </c>
      <c r="F673" s="1">
        <v>46961</v>
      </c>
      <c r="G673">
        <v>5.1439000000000004</v>
      </c>
      <c r="H673" t="s">
        <v>13</v>
      </c>
      <c r="I673" t="s">
        <v>2631</v>
      </c>
      <c r="J673">
        <v>150</v>
      </c>
      <c r="L673" t="s">
        <v>1168</v>
      </c>
      <c r="M673" t="s">
        <v>10</v>
      </c>
      <c r="N673" t="s">
        <v>15</v>
      </c>
      <c r="O673" t="s">
        <v>3110</v>
      </c>
      <c r="R673" t="s">
        <v>2680</v>
      </c>
      <c r="V673" t="s">
        <v>256</v>
      </c>
      <c r="W673" t="s">
        <v>1470</v>
      </c>
      <c r="X673" t="str">
        <f t="shared" si="10"/>
        <v>BL1001V6@TRAC Corp</v>
      </c>
      <c r="Y673" t="str">
        <f>_xlfn.IFNA(_xll.BDP(X673,"INTERVAL_SUM", "MARKET_DATA_OVERRIDE=px_volume", "CALC_INTERVAL=5D"), "")</f>
        <v>#N/A N/A</v>
      </c>
      <c r="Z673" t="str" cm="1">
        <f t="array" ref="Z673">_xll.BDP(B673, "CF_ACT_CASH_PAID_FOR_INT_DEBT")</f>
        <v>#N/A N/A</v>
      </c>
      <c r="AA673" t="str" cm="1">
        <f t="array" ref="AA673">_xll.BDP(B673, "TYPE_OF_BOND")</f>
        <v>#N/A Field Not Applicable</v>
      </c>
    </row>
    <row r="674" spans="1:27" x14ac:dyDescent="0.25">
      <c r="A674">
        <v>672</v>
      </c>
      <c r="B674" t="s">
        <v>3189</v>
      </c>
      <c r="C674" s="4" t="s">
        <v>3190</v>
      </c>
      <c r="D674" s="4">
        <v>1050000000</v>
      </c>
      <c r="E674" s="1" t="s">
        <v>12</v>
      </c>
      <c r="F674" s="1">
        <v>47817</v>
      </c>
      <c r="G674">
        <v>10.5</v>
      </c>
      <c r="H674" t="s">
        <v>9</v>
      </c>
      <c r="L674" t="s">
        <v>1168</v>
      </c>
      <c r="M674" t="s">
        <v>10</v>
      </c>
      <c r="N674" t="s">
        <v>36</v>
      </c>
      <c r="O674" t="s">
        <v>3191</v>
      </c>
      <c r="P674" t="s">
        <v>2687</v>
      </c>
      <c r="Q674" t="s">
        <v>2687</v>
      </c>
      <c r="R674" t="s">
        <v>3192</v>
      </c>
      <c r="S674">
        <v>5463766.6384534398</v>
      </c>
      <c r="T674">
        <v>34</v>
      </c>
      <c r="U674" t="s">
        <v>1169</v>
      </c>
      <c r="W674" t="s">
        <v>3193</v>
      </c>
      <c r="X674" t="str">
        <f t="shared" si="10"/>
        <v>ZG119116@TRAC Corp</v>
      </c>
      <c r="Y674">
        <f>_xlfn.IFNA(_xll.BDP(X674,"INTERVAL_SUM", "MARKET_DATA_OVERRIDE=px_volume", "CALC_INTERVAL=5D"), "")</f>
        <v>6807</v>
      </c>
      <c r="Z674" t="str" cm="1">
        <f t="array" ref="Z674">_xll.BDP(B674, "CF_ACT_CASH_PAID_FOR_INT_DEBT")</f>
        <v>#N/A N/A</v>
      </c>
      <c r="AA674" t="str" cm="1">
        <f t="array" ref="AA674">_xll.BDP(B674, "TYPE_OF_BOND")</f>
        <v>#N/A Field Not Applicable</v>
      </c>
    </row>
    <row r="675" spans="1:27" x14ac:dyDescent="0.25">
      <c r="A675">
        <v>673</v>
      </c>
      <c r="B675" t="s">
        <v>3194</v>
      </c>
      <c r="C675" s="4" t="s">
        <v>3190</v>
      </c>
      <c r="D675" s="4">
        <v>1569994986.99</v>
      </c>
      <c r="E675" s="1" t="s">
        <v>11</v>
      </c>
      <c r="F675" s="1">
        <v>47816</v>
      </c>
      <c r="G675">
        <v>7.6639999999999997</v>
      </c>
      <c r="H675" t="s">
        <v>13</v>
      </c>
      <c r="I675" t="s">
        <v>2635</v>
      </c>
      <c r="J675">
        <v>400</v>
      </c>
      <c r="L675" t="s">
        <v>1168</v>
      </c>
      <c r="M675" t="s">
        <v>10</v>
      </c>
      <c r="N675" t="s">
        <v>36</v>
      </c>
      <c r="O675" t="s">
        <v>3191</v>
      </c>
      <c r="P675" t="s">
        <v>2687</v>
      </c>
      <c r="Q675" t="s">
        <v>2687</v>
      </c>
      <c r="R675" t="s">
        <v>3195</v>
      </c>
      <c r="S675">
        <v>2000000</v>
      </c>
      <c r="T675">
        <v>20</v>
      </c>
      <c r="V675" t="s">
        <v>227</v>
      </c>
      <c r="W675" t="s">
        <v>3193</v>
      </c>
      <c r="X675" t="str">
        <f t="shared" si="10"/>
        <v>BL499043@TRAC Corp</v>
      </c>
      <c r="Y675" t="str">
        <f>_xlfn.IFNA(_xll.BDP(X675,"INTERVAL_SUM", "MARKET_DATA_OVERRIDE=px_volume", "CALC_INTERVAL=5D"), "")</f>
        <v>#N/A N/A</v>
      </c>
      <c r="Z675" t="str" cm="1">
        <f t="array" ref="Z675">_xll.BDP(B675, "CF_ACT_CASH_PAID_FOR_INT_DEBT")</f>
        <v>#N/A N/A</v>
      </c>
      <c r="AA675" t="str" cm="1">
        <f t="array" ref="AA675">_xll.BDP(B675, "TYPE_OF_BOND")</f>
        <v>#N/A Field Not Applicable</v>
      </c>
    </row>
    <row r="676" spans="1:27" x14ac:dyDescent="0.25">
      <c r="A676">
        <v>674</v>
      </c>
      <c r="B676" t="s">
        <v>1499</v>
      </c>
      <c r="C676" s="4" t="s">
        <v>1500</v>
      </c>
      <c r="D676" s="4">
        <v>368130000</v>
      </c>
      <c r="E676" s="1" t="s">
        <v>11</v>
      </c>
      <c r="F676" s="1">
        <v>46403</v>
      </c>
      <c r="G676">
        <v>2.25</v>
      </c>
      <c r="H676" t="s">
        <v>9</v>
      </c>
      <c r="L676" t="s">
        <v>1171</v>
      </c>
      <c r="M676" t="s">
        <v>1501</v>
      </c>
      <c r="N676" t="s">
        <v>460</v>
      </c>
      <c r="O676" t="s">
        <v>2655</v>
      </c>
      <c r="P676" t="s">
        <v>2655</v>
      </c>
      <c r="Q676" t="s">
        <v>3156</v>
      </c>
      <c r="R676" t="s">
        <v>1502</v>
      </c>
      <c r="S676">
        <v>25291148.803370301</v>
      </c>
      <c r="T676">
        <v>61</v>
      </c>
      <c r="U676" t="s">
        <v>1172</v>
      </c>
      <c r="W676" t="s">
        <v>1503</v>
      </c>
      <c r="X676" t="str">
        <f t="shared" si="10"/>
        <v>ZP541399@TRAC Corp</v>
      </c>
      <c r="Y676" t="str">
        <f>_xlfn.IFNA(_xll.BDP(X676,"INTERVAL_SUM", "MARKET_DATA_OVERRIDE=px_volume", "CALC_INTERVAL=5D"), "")</f>
        <v>#N/A N/A</v>
      </c>
      <c r="Z676" t="str" cm="1">
        <f t="array" ref="Z676">_xll.BDP(B676, "CF_ACT_CASH_PAID_FOR_INT_DEBT")</f>
        <v>#N/A N/A</v>
      </c>
      <c r="AA676" t="str" cm="1">
        <f t="array" ref="AA676">_xll.BDP(B676, "TYPE_OF_BOND")</f>
        <v>#N/A Field Not Applicable</v>
      </c>
    </row>
    <row r="677" spans="1:27" x14ac:dyDescent="0.25">
      <c r="A677">
        <v>675</v>
      </c>
      <c r="B677" t="s">
        <v>1504</v>
      </c>
      <c r="C677" s="4" t="s">
        <v>1500</v>
      </c>
      <c r="D677" s="4">
        <v>425000000</v>
      </c>
      <c r="E677" s="1" t="s">
        <v>12</v>
      </c>
      <c r="F677" s="1">
        <v>46888</v>
      </c>
      <c r="G677">
        <v>6.75</v>
      </c>
      <c r="H677" t="s">
        <v>9</v>
      </c>
      <c r="L677" t="s">
        <v>1168</v>
      </c>
      <c r="M677" t="s">
        <v>905</v>
      </c>
      <c r="N677" t="s">
        <v>460</v>
      </c>
      <c r="O677" t="s">
        <v>2655</v>
      </c>
      <c r="P677" t="s">
        <v>2655</v>
      </c>
      <c r="Q677" t="s">
        <v>3156</v>
      </c>
      <c r="R677" t="s">
        <v>1505</v>
      </c>
      <c r="S677">
        <v>5623213.4718238097</v>
      </c>
      <c r="T677">
        <v>41</v>
      </c>
      <c r="U677" t="s">
        <v>1169</v>
      </c>
      <c r="W677" t="s">
        <v>1503</v>
      </c>
      <c r="X677" t="str">
        <f t="shared" si="10"/>
        <v>ZM963852@TRAC Corp</v>
      </c>
      <c r="Y677">
        <f>_xlfn.IFNA(_xll.BDP(X677,"INTERVAL_SUM", "MARKET_DATA_OVERRIDE=px_volume", "CALC_INTERVAL=5D"), "")</f>
        <v>6122</v>
      </c>
      <c r="Z677" cm="1">
        <f t="array" ref="Z677">_xll.BDP(B677, "CF_ACT_CASH_PAID_FOR_INT_DEBT")</f>
        <v>888.7</v>
      </c>
      <c r="AA677" t="str" cm="1">
        <f t="array" ref="AA677">_xll.BDP(B677, "TYPE_OF_BOND")</f>
        <v>#N/A Field Not Applicable</v>
      </c>
    </row>
    <row r="678" spans="1:27" x14ac:dyDescent="0.25">
      <c r="A678">
        <v>676</v>
      </c>
      <c r="B678" t="s">
        <v>1506</v>
      </c>
      <c r="C678" s="4" t="s">
        <v>1500</v>
      </c>
      <c r="D678" s="4">
        <v>400000000</v>
      </c>
      <c r="E678" s="1" t="s">
        <v>12</v>
      </c>
      <c r="F678" s="1">
        <v>46888</v>
      </c>
      <c r="G678">
        <v>6.625</v>
      </c>
      <c r="H678" t="s">
        <v>9</v>
      </c>
      <c r="L678" t="s">
        <v>1171</v>
      </c>
      <c r="M678" t="s">
        <v>905</v>
      </c>
      <c r="N678" t="s">
        <v>460</v>
      </c>
      <c r="O678" t="s">
        <v>2655</v>
      </c>
      <c r="P678" t="s">
        <v>2655</v>
      </c>
      <c r="Q678" t="s">
        <v>3156</v>
      </c>
      <c r="R678" t="s">
        <v>1507</v>
      </c>
      <c r="S678">
        <v>11762857.4126745</v>
      </c>
      <c r="T678">
        <v>56</v>
      </c>
      <c r="U678" t="s">
        <v>1172</v>
      </c>
      <c r="W678" t="s">
        <v>1503</v>
      </c>
      <c r="X678" t="str">
        <f t="shared" si="10"/>
        <v>ZM927763@TRAC Corp</v>
      </c>
      <c r="Y678" t="str">
        <f>_xlfn.IFNA(_xll.BDP(X678,"INTERVAL_SUM", "MARKET_DATA_OVERRIDE=px_volume", "CALC_INTERVAL=5D"), "")</f>
        <v>#N/A N/A</v>
      </c>
      <c r="Z678" cm="1">
        <f t="array" ref="Z678">_xll.BDP(B678, "CF_ACT_CASH_PAID_FOR_INT_DEBT")</f>
        <v>888.7</v>
      </c>
      <c r="AA678" t="str" cm="1">
        <f t="array" ref="AA678">_xll.BDP(B678, "TYPE_OF_BOND")</f>
        <v>#N/A Field Not Applicable</v>
      </c>
    </row>
    <row r="679" spans="1:27" x14ac:dyDescent="0.25">
      <c r="A679">
        <v>677</v>
      </c>
      <c r="B679" t="s">
        <v>1508</v>
      </c>
      <c r="C679" s="4" t="s">
        <v>1500</v>
      </c>
      <c r="D679" s="4">
        <v>775000000</v>
      </c>
      <c r="E679" s="1" t="s">
        <v>12</v>
      </c>
      <c r="F679" s="1">
        <v>47192</v>
      </c>
      <c r="G679">
        <v>8.5</v>
      </c>
      <c r="H679" t="s">
        <v>9</v>
      </c>
      <c r="L679" t="s">
        <v>1171</v>
      </c>
      <c r="M679" t="s">
        <v>905</v>
      </c>
      <c r="N679" t="s">
        <v>460</v>
      </c>
      <c r="O679" t="s">
        <v>2655</v>
      </c>
      <c r="P679" t="s">
        <v>2655</v>
      </c>
      <c r="Q679" t="s">
        <v>3156</v>
      </c>
      <c r="R679" t="s">
        <v>1509</v>
      </c>
      <c r="S679">
        <v>2998881.9191105501</v>
      </c>
      <c r="T679">
        <v>20</v>
      </c>
      <c r="U679" t="s">
        <v>1172</v>
      </c>
      <c r="W679" t="s">
        <v>1503</v>
      </c>
      <c r="X679" t="str">
        <f t="shared" si="10"/>
        <v>ZH973904@TRAC Corp</v>
      </c>
      <c r="Y679" t="str">
        <f>_xlfn.IFNA(_xll.BDP(X679,"INTERVAL_SUM", "MARKET_DATA_OVERRIDE=px_volume", "CALC_INTERVAL=5D"), "")</f>
        <v>#N/A N/A</v>
      </c>
      <c r="Z679" cm="1">
        <f t="array" ref="Z679">_xll.BDP(B679, "CF_ACT_CASH_PAID_FOR_INT_DEBT")</f>
        <v>557.6</v>
      </c>
      <c r="AA679" t="str" cm="1">
        <f t="array" ref="AA679">_xll.BDP(B679, "TYPE_OF_BOND")</f>
        <v>#N/A Field Not Applicable</v>
      </c>
    </row>
    <row r="680" spans="1:27" x14ac:dyDescent="0.25">
      <c r="A680">
        <v>678</v>
      </c>
      <c r="B680" t="s">
        <v>1510</v>
      </c>
      <c r="C680" s="4" t="s">
        <v>1500</v>
      </c>
      <c r="D680" s="4">
        <v>400000000</v>
      </c>
      <c r="E680" s="1" t="s">
        <v>11</v>
      </c>
      <c r="F680" s="1">
        <v>47192</v>
      </c>
      <c r="G680">
        <v>9.625</v>
      </c>
      <c r="H680" t="s">
        <v>9</v>
      </c>
      <c r="L680" t="s">
        <v>1168</v>
      </c>
      <c r="M680" t="s">
        <v>905</v>
      </c>
      <c r="N680" t="s">
        <v>460</v>
      </c>
      <c r="O680" t="s">
        <v>2655</v>
      </c>
      <c r="P680" t="s">
        <v>2655</v>
      </c>
      <c r="Q680" t="s">
        <v>3156</v>
      </c>
      <c r="R680" t="s">
        <v>1511</v>
      </c>
      <c r="S680">
        <v>11894581.314346399</v>
      </c>
      <c r="T680">
        <v>19</v>
      </c>
      <c r="U680" t="s">
        <v>1169</v>
      </c>
      <c r="W680" t="s">
        <v>1503</v>
      </c>
      <c r="X680" t="str">
        <f t="shared" si="10"/>
        <v>ZH973903@TRAC Corp</v>
      </c>
      <c r="Y680">
        <f>_xlfn.IFNA(_xll.BDP(X680,"INTERVAL_SUM", "MARKET_DATA_OVERRIDE=px_volume", "CALC_INTERVAL=5D"), "")</f>
        <v>4881</v>
      </c>
      <c r="Z680" cm="1">
        <f t="array" ref="Z680">_xll.BDP(B680, "CF_ACT_CASH_PAID_FOR_INT_DEBT")</f>
        <v>557.6</v>
      </c>
      <c r="AA680" t="str" cm="1">
        <f t="array" ref="AA680">_xll.BDP(B680, "TYPE_OF_BOND")</f>
        <v>#N/A Field Not Applicable</v>
      </c>
    </row>
    <row r="681" spans="1:27" x14ac:dyDescent="0.25">
      <c r="A681">
        <v>679</v>
      </c>
      <c r="B681" t="s">
        <v>1512</v>
      </c>
      <c r="C681" s="4" t="s">
        <v>1500</v>
      </c>
      <c r="D681" s="4">
        <v>850000000</v>
      </c>
      <c r="E681" s="1" t="s">
        <v>12</v>
      </c>
      <c r="F681" s="1">
        <v>47223</v>
      </c>
      <c r="G681">
        <v>6.375</v>
      </c>
      <c r="H681" t="s">
        <v>9</v>
      </c>
      <c r="L681" t="s">
        <v>1171</v>
      </c>
      <c r="M681" t="s">
        <v>905</v>
      </c>
      <c r="N681" t="s">
        <v>460</v>
      </c>
      <c r="O681" t="s">
        <v>2655</v>
      </c>
      <c r="P681" t="s">
        <v>2655</v>
      </c>
      <c r="Q681" t="s">
        <v>3156</v>
      </c>
      <c r="R681" t="s">
        <v>1513</v>
      </c>
      <c r="S681">
        <v>6378397.2130506895</v>
      </c>
      <c r="T681">
        <v>37</v>
      </c>
      <c r="U681" t="s">
        <v>1172</v>
      </c>
      <c r="W681" t="s">
        <v>1503</v>
      </c>
      <c r="X681" t="str">
        <f t="shared" si="10"/>
        <v>ZF657353@TRAC Corp</v>
      </c>
      <c r="Y681" t="str">
        <f>_xlfn.IFNA(_xll.BDP(X681,"INTERVAL_SUM", "MARKET_DATA_OVERRIDE=px_volume", "CALC_INTERVAL=5D"), "")</f>
        <v>#N/A N/A</v>
      </c>
      <c r="Z681" cm="1">
        <f t="array" ref="Z681">_xll.BDP(B681, "CF_ACT_CASH_PAID_FOR_INT_DEBT")</f>
        <v>888.7</v>
      </c>
      <c r="AA681" t="str" cm="1">
        <f t="array" ref="AA681">_xll.BDP(B681, "TYPE_OF_BOND")</f>
        <v>#N/A Field Not Applicable</v>
      </c>
    </row>
    <row r="682" spans="1:27" x14ac:dyDescent="0.25">
      <c r="A682">
        <v>680</v>
      </c>
      <c r="B682" t="s">
        <v>1514</v>
      </c>
      <c r="C682" s="4" t="s">
        <v>1500</v>
      </c>
      <c r="D682" s="4">
        <v>725000000</v>
      </c>
      <c r="E682" s="1" t="s">
        <v>12</v>
      </c>
      <c r="F682" s="1">
        <v>47223</v>
      </c>
      <c r="G682">
        <v>7.5</v>
      </c>
      <c r="H682" t="s">
        <v>9</v>
      </c>
      <c r="L682" t="s">
        <v>1168</v>
      </c>
      <c r="M682" t="s">
        <v>905</v>
      </c>
      <c r="N682" t="s">
        <v>460</v>
      </c>
      <c r="O682" t="s">
        <v>2655</v>
      </c>
      <c r="P682" t="s">
        <v>2655</v>
      </c>
      <c r="Q682" t="s">
        <v>3156</v>
      </c>
      <c r="R682" t="s">
        <v>1515</v>
      </c>
      <c r="S682">
        <v>8142632.2137956005</v>
      </c>
      <c r="T682">
        <v>34</v>
      </c>
      <c r="U682" t="s">
        <v>1170</v>
      </c>
      <c r="W682" t="s">
        <v>1503</v>
      </c>
      <c r="X682" t="str">
        <f t="shared" si="10"/>
        <v>ZF656109@TRAC Corp</v>
      </c>
      <c r="Y682">
        <f>_xlfn.IFNA(_xll.BDP(X682,"INTERVAL_SUM", "MARKET_DATA_OVERRIDE=px_volume", "CALC_INTERVAL=5D"), "")</f>
        <v>13975</v>
      </c>
      <c r="Z682" cm="1">
        <f t="array" ref="Z682">_xll.BDP(B682, "CF_ACT_CASH_PAID_FOR_INT_DEBT")</f>
        <v>888.7</v>
      </c>
      <c r="AA682" t="str" cm="1">
        <f t="array" ref="AA682">_xll.BDP(B682, "TYPE_OF_BOND")</f>
        <v>#N/A Field Not Applicable</v>
      </c>
    </row>
    <row r="683" spans="1:27" x14ac:dyDescent="0.25">
      <c r="A683">
        <v>681</v>
      </c>
      <c r="B683" t="s">
        <v>1516</v>
      </c>
      <c r="C683" s="4" t="s">
        <v>1500</v>
      </c>
      <c r="D683" s="4">
        <v>675000000</v>
      </c>
      <c r="E683" s="1" t="s">
        <v>11</v>
      </c>
      <c r="F683" s="1">
        <v>47588</v>
      </c>
      <c r="G683">
        <v>6.75</v>
      </c>
      <c r="H683" t="s">
        <v>9</v>
      </c>
      <c r="L683" t="s">
        <v>1171</v>
      </c>
      <c r="M683" t="s">
        <v>905</v>
      </c>
      <c r="N683" t="s">
        <v>460</v>
      </c>
      <c r="O683" t="s">
        <v>2655</v>
      </c>
      <c r="P683" t="s">
        <v>2655</v>
      </c>
      <c r="Q683" t="s">
        <v>3156</v>
      </c>
      <c r="R683" t="s">
        <v>1517</v>
      </c>
      <c r="S683">
        <v>4978379.0304771597</v>
      </c>
      <c r="T683">
        <v>20</v>
      </c>
      <c r="U683" t="s">
        <v>1172</v>
      </c>
      <c r="W683" t="s">
        <v>1503</v>
      </c>
      <c r="X683" t="str">
        <f t="shared" si="10"/>
        <v>YU176657@TRAC Corp</v>
      </c>
      <c r="Y683" t="str">
        <f>_xlfn.IFNA(_xll.BDP(X683,"INTERVAL_SUM", "MARKET_DATA_OVERRIDE=px_volume", "CALC_INTERVAL=5D"), "")</f>
        <v>#N/A N/A</v>
      </c>
      <c r="Z683" cm="1">
        <f t="array" ref="Z683">_xll.BDP(B683, "CF_ACT_CASH_PAID_FOR_INT_DEBT")</f>
        <v>557.6</v>
      </c>
      <c r="AA683" t="str" cm="1">
        <f t="array" ref="AA683">_xll.BDP(B683, "TYPE_OF_BOND")</f>
        <v>#N/A Field Not Applicable</v>
      </c>
    </row>
    <row r="684" spans="1:27" x14ac:dyDescent="0.25">
      <c r="A684">
        <v>682</v>
      </c>
      <c r="B684" t="s">
        <v>1518</v>
      </c>
      <c r="C684" s="4" t="s">
        <v>1500</v>
      </c>
      <c r="D684" s="4">
        <v>400000000</v>
      </c>
      <c r="E684" s="1" t="s">
        <v>12</v>
      </c>
      <c r="F684" s="1">
        <v>47710</v>
      </c>
      <c r="G684">
        <v>5.625</v>
      </c>
      <c r="H684" t="s">
        <v>9</v>
      </c>
      <c r="L684" t="s">
        <v>1171</v>
      </c>
      <c r="M684" t="s">
        <v>905</v>
      </c>
      <c r="N684" t="s">
        <v>460</v>
      </c>
      <c r="O684" t="s">
        <v>2655</v>
      </c>
      <c r="P684" t="s">
        <v>2655</v>
      </c>
      <c r="Q684" t="s">
        <v>3156</v>
      </c>
      <c r="R684" t="s">
        <v>1519</v>
      </c>
      <c r="S684">
        <v>4022967.2121422901</v>
      </c>
      <c r="T684">
        <v>24</v>
      </c>
      <c r="U684" t="s">
        <v>1172</v>
      </c>
      <c r="W684" t="s">
        <v>1503</v>
      </c>
      <c r="X684" t="str">
        <f t="shared" si="10"/>
        <v>YS998446@TRAC Corp</v>
      </c>
      <c r="Y684" t="str">
        <f>_xlfn.IFNA(_xll.BDP(X684,"INTERVAL_SUM", "MARKET_DATA_OVERRIDE=px_volume", "CALC_INTERVAL=5D"), "")</f>
        <v>#N/A N/A</v>
      </c>
      <c r="Z684" cm="1">
        <f t="array" ref="Z684">_xll.BDP(B684, "CF_ACT_CASH_PAID_FOR_INT_DEBT")</f>
        <v>888.7</v>
      </c>
      <c r="AA684" t="str" cm="1">
        <f t="array" ref="AA684">_xll.BDP(B684, "TYPE_OF_BOND")</f>
        <v>#N/A Field Not Applicable</v>
      </c>
    </row>
    <row r="685" spans="1:27" x14ac:dyDescent="0.25">
      <c r="A685">
        <v>683</v>
      </c>
      <c r="B685" t="s">
        <v>1520</v>
      </c>
      <c r="C685" s="4" t="s">
        <v>1500</v>
      </c>
      <c r="D685" s="4">
        <v>800000000</v>
      </c>
      <c r="E685" s="1" t="s">
        <v>12</v>
      </c>
      <c r="F685" s="1">
        <v>47938</v>
      </c>
      <c r="G685">
        <v>7.25</v>
      </c>
      <c r="H685" t="s">
        <v>9</v>
      </c>
      <c r="L685" t="s">
        <v>1171</v>
      </c>
      <c r="M685" t="s">
        <v>905</v>
      </c>
      <c r="N685" t="s">
        <v>460</v>
      </c>
      <c r="O685" t="s">
        <v>2655</v>
      </c>
      <c r="P685" t="s">
        <v>2655</v>
      </c>
      <c r="Q685" t="s">
        <v>3156</v>
      </c>
      <c r="R685" t="s">
        <v>1521</v>
      </c>
      <c r="S685">
        <v>3581874.1292630201</v>
      </c>
      <c r="T685">
        <v>29</v>
      </c>
      <c r="U685" t="s">
        <v>1192</v>
      </c>
      <c r="W685" t="s">
        <v>1503</v>
      </c>
      <c r="X685" t="str">
        <f t="shared" si="10"/>
        <v>YK327787@TRAC Corp</v>
      </c>
      <c r="Y685" t="str">
        <f>_xlfn.IFNA(_xll.BDP(X685,"INTERVAL_SUM", "MARKET_DATA_OVERRIDE=px_volume", "CALC_INTERVAL=5D"), "")</f>
        <v>#N/A N/A</v>
      </c>
      <c r="Z685" cm="1">
        <f t="array" ref="Z685">_xll.BDP(B685, "CF_ACT_CASH_PAID_FOR_INT_DEBT")</f>
        <v>888.7</v>
      </c>
      <c r="AA685" t="str" cm="1">
        <f t="array" ref="AA685">_xll.BDP(B685, "TYPE_OF_BOND")</f>
        <v>#N/A Field Not Applicable</v>
      </c>
    </row>
    <row r="686" spans="1:27" x14ac:dyDescent="0.25">
      <c r="A686">
        <v>684</v>
      </c>
      <c r="B686" t="s">
        <v>1522</v>
      </c>
      <c r="C686" s="4" t="s">
        <v>1500</v>
      </c>
      <c r="D686" s="4">
        <v>700000000</v>
      </c>
      <c r="E686" s="1" t="s">
        <v>12</v>
      </c>
      <c r="F686" s="1">
        <v>48167</v>
      </c>
      <c r="G686">
        <v>7.875</v>
      </c>
      <c r="H686" t="s">
        <v>9</v>
      </c>
      <c r="L686" t="s">
        <v>1171</v>
      </c>
      <c r="M686" t="s">
        <v>905</v>
      </c>
      <c r="N686" t="s">
        <v>460</v>
      </c>
      <c r="O686" t="s">
        <v>2655</v>
      </c>
      <c r="P686" t="s">
        <v>2655</v>
      </c>
      <c r="Q686" t="s">
        <v>3156</v>
      </c>
      <c r="R686" t="s">
        <v>1523</v>
      </c>
      <c r="S686">
        <v>5532999.3459627796</v>
      </c>
      <c r="T686">
        <v>35</v>
      </c>
      <c r="U686" t="s">
        <v>1172</v>
      </c>
      <c r="W686" t="s">
        <v>1503</v>
      </c>
      <c r="X686" t="str">
        <f t="shared" si="10"/>
        <v>DK239124@TRAC Corp</v>
      </c>
      <c r="Y686" t="str">
        <f>_xlfn.IFNA(_xll.BDP(X686,"INTERVAL_SUM", "MARKET_DATA_OVERRIDE=px_volume", "CALC_INTERVAL=5D"), "")</f>
        <v>#N/A N/A</v>
      </c>
      <c r="Z686" cm="1">
        <f t="array" ref="Z686">_xll.BDP(B686, "CF_ACT_CASH_PAID_FOR_INT_DEBT")</f>
        <v>888.7</v>
      </c>
      <c r="AA686" t="str" cm="1">
        <f t="array" ref="AA686">_xll.BDP(B686, "TYPE_OF_BOND")</f>
        <v>#N/A Field Not Applicable</v>
      </c>
    </row>
    <row r="687" spans="1:27" x14ac:dyDescent="0.25">
      <c r="A687">
        <v>685</v>
      </c>
      <c r="B687" t="s">
        <v>1524</v>
      </c>
      <c r="C687" s="4" t="s">
        <v>1500</v>
      </c>
      <c r="D687" s="4">
        <v>156000000</v>
      </c>
      <c r="E687" s="1" t="s">
        <v>17</v>
      </c>
      <c r="F687" s="1">
        <v>47780</v>
      </c>
      <c r="H687" t="s">
        <v>13</v>
      </c>
      <c r="L687" t="s">
        <v>1171</v>
      </c>
      <c r="M687" t="s">
        <v>905</v>
      </c>
      <c r="N687" t="s">
        <v>460</v>
      </c>
      <c r="O687" t="s">
        <v>2655</v>
      </c>
      <c r="P687" t="s">
        <v>2655</v>
      </c>
      <c r="Q687" t="s">
        <v>3156</v>
      </c>
      <c r="R687" t="s">
        <v>1525</v>
      </c>
      <c r="V687" t="s">
        <v>227</v>
      </c>
      <c r="W687" t="s">
        <v>1503</v>
      </c>
      <c r="X687" t="str">
        <f t="shared" si="10"/>
        <v>BL535362@TRAC Corp</v>
      </c>
      <c r="Y687" t="str">
        <f>_xlfn.IFNA(_xll.BDP(X687,"INTERVAL_SUM", "MARKET_DATA_OVERRIDE=px_volume", "CALC_INTERVAL=5D"), "")</f>
        <v>#N/A N/A</v>
      </c>
      <c r="Z687" cm="1">
        <f t="array" ref="Z687">_xll.BDP(B687, "CF_ACT_CASH_PAID_FOR_INT_DEBT")</f>
        <v>888.7</v>
      </c>
      <c r="AA687" t="str" cm="1">
        <f t="array" ref="AA687">_xll.BDP(B687, "TYPE_OF_BOND")</f>
        <v>#N/A Field Not Applicable</v>
      </c>
    </row>
    <row r="688" spans="1:27" x14ac:dyDescent="0.25">
      <c r="A688">
        <v>686</v>
      </c>
      <c r="B688" t="s">
        <v>1526</v>
      </c>
      <c r="C688" s="4" t="s">
        <v>1500</v>
      </c>
      <c r="D688" s="4">
        <v>70260000</v>
      </c>
      <c r="E688" s="1" t="s">
        <v>11</v>
      </c>
      <c r="F688" s="1">
        <v>46944</v>
      </c>
      <c r="G688">
        <v>6.9203999999999999</v>
      </c>
      <c r="H688" t="s">
        <v>13</v>
      </c>
      <c r="I688" t="s">
        <v>2631</v>
      </c>
      <c r="J688">
        <v>325</v>
      </c>
      <c r="L688" t="s">
        <v>1168</v>
      </c>
      <c r="M688" t="s">
        <v>905</v>
      </c>
      <c r="N688" t="s">
        <v>460</v>
      </c>
      <c r="O688" t="s">
        <v>2655</v>
      </c>
      <c r="P688" t="s">
        <v>2655</v>
      </c>
      <c r="Q688" t="s">
        <v>3156</v>
      </c>
      <c r="R688" t="s">
        <v>1527</v>
      </c>
      <c r="V688" t="s">
        <v>227</v>
      </c>
      <c r="W688" t="s">
        <v>1503</v>
      </c>
      <c r="X688" t="str">
        <f t="shared" si="10"/>
        <v>BL517310@TRAC Corp</v>
      </c>
      <c r="Y688" t="str">
        <f>_xlfn.IFNA(_xll.BDP(X688,"INTERVAL_SUM", "MARKET_DATA_OVERRIDE=px_volume", "CALC_INTERVAL=5D"), "")</f>
        <v>#N/A N/A</v>
      </c>
      <c r="Z688" t="str" cm="1">
        <f t="array" ref="Z688">_xll.BDP(B688, "CF_ACT_CASH_PAID_FOR_INT_DEBT")</f>
        <v>#N/A N/A</v>
      </c>
      <c r="AA688" t="str" cm="1">
        <f t="array" ref="AA688">_xll.BDP(B688, "TYPE_OF_BOND")</f>
        <v>#N/A Field Not Applicable</v>
      </c>
    </row>
    <row r="689" spans="1:27" x14ac:dyDescent="0.25">
      <c r="A689">
        <v>687</v>
      </c>
      <c r="B689" t="s">
        <v>1528</v>
      </c>
      <c r="C689" s="4" t="s">
        <v>1500</v>
      </c>
      <c r="D689" s="4">
        <v>140000000</v>
      </c>
      <c r="E689" s="1" t="s">
        <v>11</v>
      </c>
      <c r="F689" s="1">
        <v>46944</v>
      </c>
      <c r="G689">
        <v>5.6619999999999999</v>
      </c>
      <c r="H689" t="s">
        <v>13</v>
      </c>
      <c r="I689" t="s">
        <v>2636</v>
      </c>
      <c r="J689">
        <v>325</v>
      </c>
      <c r="L689" t="s">
        <v>1171</v>
      </c>
      <c r="M689" t="s">
        <v>905</v>
      </c>
      <c r="N689" t="s">
        <v>460</v>
      </c>
      <c r="O689" t="s">
        <v>2655</v>
      </c>
      <c r="P689" t="s">
        <v>2655</v>
      </c>
      <c r="Q689" t="s">
        <v>3156</v>
      </c>
      <c r="R689" t="s">
        <v>1529</v>
      </c>
      <c r="V689" t="s">
        <v>227</v>
      </c>
      <c r="W689" t="s">
        <v>1503</v>
      </c>
      <c r="X689" t="str">
        <f t="shared" si="10"/>
        <v>BL517309@TRAC Corp</v>
      </c>
      <c r="Y689" t="str">
        <f>_xlfn.IFNA(_xll.BDP(X689,"INTERVAL_SUM", "MARKET_DATA_OVERRIDE=px_volume", "CALC_INTERVAL=5D"), "")</f>
        <v>#N/A N/A</v>
      </c>
      <c r="Z689" t="str" cm="1">
        <f t="array" ref="Z689">_xll.BDP(B689, "CF_ACT_CASH_PAID_FOR_INT_DEBT")</f>
        <v>#N/A N/A</v>
      </c>
      <c r="AA689" t="str" cm="1">
        <f t="array" ref="AA689">_xll.BDP(B689, "TYPE_OF_BOND")</f>
        <v>#N/A Field Not Applicable</v>
      </c>
    </row>
    <row r="690" spans="1:27" x14ac:dyDescent="0.25">
      <c r="A690">
        <v>688</v>
      </c>
      <c r="B690" t="s">
        <v>1530</v>
      </c>
      <c r="C690" s="4" t="s">
        <v>1500</v>
      </c>
      <c r="D690" s="4">
        <v>925000000</v>
      </c>
      <c r="E690" s="1" t="s">
        <v>11</v>
      </c>
      <c r="F690" s="1">
        <v>47886</v>
      </c>
      <c r="G690">
        <v>5.58</v>
      </c>
      <c r="H690" t="s">
        <v>13</v>
      </c>
      <c r="I690" t="s">
        <v>2636</v>
      </c>
      <c r="J690">
        <v>325</v>
      </c>
      <c r="L690" t="s">
        <v>1171</v>
      </c>
      <c r="M690" t="s">
        <v>905</v>
      </c>
      <c r="N690" t="s">
        <v>460</v>
      </c>
      <c r="O690" t="s">
        <v>2655</v>
      </c>
      <c r="P690" t="s">
        <v>2655</v>
      </c>
      <c r="Q690" t="s">
        <v>3156</v>
      </c>
      <c r="R690" t="s">
        <v>1531</v>
      </c>
      <c r="S690">
        <v>3000000</v>
      </c>
      <c r="T690">
        <v>11</v>
      </c>
      <c r="V690" t="s">
        <v>227</v>
      </c>
      <c r="W690" t="s">
        <v>1503</v>
      </c>
      <c r="X690" t="str">
        <f t="shared" si="10"/>
        <v>BL484878@TRAC Corp</v>
      </c>
      <c r="Y690" t="str">
        <f>_xlfn.IFNA(_xll.BDP(X690,"INTERVAL_SUM", "MARKET_DATA_OVERRIDE=px_volume", "CALC_INTERVAL=5D"), "")</f>
        <v>#N/A N/A</v>
      </c>
      <c r="Z690" cm="1">
        <f t="array" ref="Z690">_xll.BDP(B690, "CF_ACT_CASH_PAID_FOR_INT_DEBT")</f>
        <v>888.7</v>
      </c>
      <c r="AA690" t="str" cm="1">
        <f t="array" ref="AA690">_xll.BDP(B690, "TYPE_OF_BOND")</f>
        <v>#N/A Field Not Applicable</v>
      </c>
    </row>
    <row r="691" spans="1:27" x14ac:dyDescent="0.25">
      <c r="A691">
        <v>689</v>
      </c>
      <c r="B691" t="s">
        <v>1532</v>
      </c>
      <c r="C691" s="4" t="s">
        <v>1500</v>
      </c>
      <c r="D691" s="4">
        <v>973900000</v>
      </c>
      <c r="E691" s="1" t="s">
        <v>11</v>
      </c>
      <c r="F691" s="1">
        <v>47886</v>
      </c>
      <c r="G691">
        <v>6.6795</v>
      </c>
      <c r="H691" t="s">
        <v>13</v>
      </c>
      <c r="I691" t="s">
        <v>2631</v>
      </c>
      <c r="J691">
        <v>300</v>
      </c>
      <c r="L691" t="s">
        <v>1168</v>
      </c>
      <c r="M691" t="s">
        <v>10</v>
      </c>
      <c r="N691" t="s">
        <v>460</v>
      </c>
      <c r="O691" t="s">
        <v>2655</v>
      </c>
      <c r="P691" t="s">
        <v>2655</v>
      </c>
      <c r="Q691" t="s">
        <v>3156</v>
      </c>
      <c r="R691" t="s">
        <v>1533</v>
      </c>
      <c r="S691">
        <v>5000000</v>
      </c>
      <c r="T691">
        <v>21</v>
      </c>
      <c r="V691" t="s">
        <v>227</v>
      </c>
      <c r="W691" t="s">
        <v>1503</v>
      </c>
      <c r="X691" t="str">
        <f t="shared" si="10"/>
        <v>BL484877@TRAC Corp</v>
      </c>
      <c r="Y691" t="str">
        <f>_xlfn.IFNA(_xll.BDP(X691,"INTERVAL_SUM", "MARKET_DATA_OVERRIDE=px_volume", "CALC_INTERVAL=5D"), "")</f>
        <v>#N/A N/A</v>
      </c>
      <c r="Z691" cm="1">
        <f t="array" ref="Z691">_xll.BDP(B691, "CF_ACT_CASH_PAID_FOR_INT_DEBT")</f>
        <v>888.7</v>
      </c>
      <c r="AA691" t="str" cm="1">
        <f t="array" ref="AA691">_xll.BDP(B691, "TYPE_OF_BOND")</f>
        <v>#N/A Field Not Applicable</v>
      </c>
    </row>
    <row r="692" spans="1:27" x14ac:dyDescent="0.25">
      <c r="A692">
        <v>690</v>
      </c>
      <c r="B692" t="s">
        <v>1534</v>
      </c>
      <c r="C692" s="4" t="s">
        <v>1500</v>
      </c>
      <c r="D692" s="4">
        <v>435000000</v>
      </c>
      <c r="E692" s="1" t="s">
        <v>11</v>
      </c>
      <c r="F692" s="1">
        <v>48128</v>
      </c>
      <c r="G692">
        <v>6.5629999999999997</v>
      </c>
      <c r="H692" t="s">
        <v>13</v>
      </c>
      <c r="I692" t="s">
        <v>2636</v>
      </c>
      <c r="J692">
        <v>425</v>
      </c>
      <c r="L692" t="s">
        <v>1171</v>
      </c>
      <c r="M692" t="s">
        <v>905</v>
      </c>
      <c r="N692" t="s">
        <v>460</v>
      </c>
      <c r="O692" t="s">
        <v>2655</v>
      </c>
      <c r="P692" t="s">
        <v>2655</v>
      </c>
      <c r="Q692" t="s">
        <v>3156</v>
      </c>
      <c r="R692" t="s">
        <v>1535</v>
      </c>
      <c r="S692">
        <v>3000000</v>
      </c>
      <c r="T692">
        <v>10</v>
      </c>
      <c r="V692" t="s">
        <v>227</v>
      </c>
      <c r="W692" t="s">
        <v>1503</v>
      </c>
      <c r="X692" t="str">
        <f t="shared" si="10"/>
        <v>BL476642@TRAC Corp</v>
      </c>
      <c r="Y692" t="str">
        <f>_xlfn.IFNA(_xll.BDP(X692,"INTERVAL_SUM", "MARKET_DATA_OVERRIDE=px_volume", "CALC_INTERVAL=5D"), "")</f>
        <v>#N/A N/A</v>
      </c>
      <c r="Z692" cm="1">
        <f t="array" ref="Z692">_xll.BDP(B692, "CF_ACT_CASH_PAID_FOR_INT_DEBT")</f>
        <v>557.6</v>
      </c>
      <c r="AA692" t="str" cm="1">
        <f t="array" ref="AA692">_xll.BDP(B692, "TYPE_OF_BOND")</f>
        <v>#N/A Field Not Applicable</v>
      </c>
    </row>
    <row r="693" spans="1:27" x14ac:dyDescent="0.25">
      <c r="A693">
        <v>691</v>
      </c>
      <c r="B693" t="s">
        <v>1536</v>
      </c>
      <c r="C693" s="4" t="s">
        <v>1500</v>
      </c>
      <c r="D693" s="4">
        <v>567812500</v>
      </c>
      <c r="E693" s="1" t="s">
        <v>11</v>
      </c>
      <c r="F693" s="1">
        <v>48128</v>
      </c>
      <c r="G693">
        <v>7.9173999999999998</v>
      </c>
      <c r="H693" t="s">
        <v>13</v>
      </c>
      <c r="I693" t="s">
        <v>2631</v>
      </c>
      <c r="J693">
        <v>425</v>
      </c>
      <c r="L693" t="s">
        <v>1168</v>
      </c>
      <c r="M693" t="s">
        <v>10</v>
      </c>
      <c r="N693" t="s">
        <v>460</v>
      </c>
      <c r="O693" t="s">
        <v>2655</v>
      </c>
      <c r="P693" t="s">
        <v>2655</v>
      </c>
      <c r="Q693" t="s">
        <v>3156</v>
      </c>
      <c r="R693" t="s">
        <v>1537</v>
      </c>
      <c r="S693">
        <v>3000000</v>
      </c>
      <c r="T693">
        <v>17</v>
      </c>
      <c r="V693" t="s">
        <v>227</v>
      </c>
      <c r="W693" t="s">
        <v>1503</v>
      </c>
      <c r="X693" t="str">
        <f t="shared" si="10"/>
        <v>BL476640@TRAC Corp</v>
      </c>
      <c r="Y693" t="str">
        <f>_xlfn.IFNA(_xll.BDP(X693,"INTERVAL_SUM", "MARKET_DATA_OVERRIDE=px_volume", "CALC_INTERVAL=5D"), "")</f>
        <v>#N/A N/A</v>
      </c>
      <c r="Z693" cm="1">
        <f t="array" ref="Z693">_xll.BDP(B693, "CF_ACT_CASH_PAID_FOR_INT_DEBT")</f>
        <v>557.6</v>
      </c>
      <c r="AA693" t="str" cm="1">
        <f t="array" ref="AA693">_xll.BDP(B693, "TYPE_OF_BOND")</f>
        <v>#N/A Field Not Applicable</v>
      </c>
    </row>
    <row r="694" spans="1:27" x14ac:dyDescent="0.25">
      <c r="A694">
        <v>692</v>
      </c>
      <c r="B694" t="s">
        <v>1538</v>
      </c>
      <c r="C694" s="4" t="s">
        <v>1500</v>
      </c>
      <c r="D694" s="4">
        <v>20000000</v>
      </c>
      <c r="E694" s="1" t="s">
        <v>11</v>
      </c>
      <c r="F694" s="1">
        <v>46750</v>
      </c>
      <c r="H694" t="s">
        <v>13</v>
      </c>
      <c r="I694" t="s">
        <v>2647</v>
      </c>
      <c r="L694" t="s">
        <v>1177</v>
      </c>
      <c r="M694" t="s">
        <v>905</v>
      </c>
      <c r="N694" t="s">
        <v>313</v>
      </c>
      <c r="O694" t="s">
        <v>3196</v>
      </c>
      <c r="P694" t="s">
        <v>2642</v>
      </c>
      <c r="Q694" t="s">
        <v>2642</v>
      </c>
      <c r="R694" t="s">
        <v>1539</v>
      </c>
      <c r="V694" t="s">
        <v>227</v>
      </c>
      <c r="W694" t="s">
        <v>1503</v>
      </c>
      <c r="X694" t="str">
        <f t="shared" si="10"/>
        <v>BL469911@TRAC Corp</v>
      </c>
      <c r="Y694" t="str">
        <f>_xlfn.IFNA(_xll.BDP(X694,"INTERVAL_SUM", "MARKET_DATA_OVERRIDE=px_volume", "CALC_INTERVAL=5D"), "")</f>
        <v>#N/A N/A</v>
      </c>
      <c r="Z694" t="str" cm="1">
        <f t="array" ref="Z694">_xll.BDP(B694, "CF_ACT_CASH_PAID_FOR_INT_DEBT")</f>
        <v>#N/A N/A</v>
      </c>
      <c r="AA694" t="str" cm="1">
        <f t="array" ref="AA694">_xll.BDP(B694, "TYPE_OF_BOND")</f>
        <v>#N/A Field Not Applicable</v>
      </c>
    </row>
    <row r="695" spans="1:27" x14ac:dyDescent="0.25">
      <c r="A695">
        <v>693</v>
      </c>
      <c r="B695" t="s">
        <v>1540</v>
      </c>
      <c r="C695" s="4" t="s">
        <v>1500</v>
      </c>
      <c r="D695" s="4">
        <v>43000000</v>
      </c>
      <c r="E695" s="1" t="s">
        <v>11</v>
      </c>
      <c r="F695" s="1">
        <v>46750</v>
      </c>
      <c r="H695" t="s">
        <v>13</v>
      </c>
      <c r="I695" t="s">
        <v>2647</v>
      </c>
      <c r="L695" t="s">
        <v>1177</v>
      </c>
      <c r="M695" t="s">
        <v>905</v>
      </c>
      <c r="N695" t="s">
        <v>313</v>
      </c>
      <c r="O695" t="s">
        <v>3196</v>
      </c>
      <c r="P695" t="s">
        <v>2642</v>
      </c>
      <c r="Q695" t="s">
        <v>2642</v>
      </c>
      <c r="R695" t="s">
        <v>1539</v>
      </c>
      <c r="V695" t="s">
        <v>227</v>
      </c>
      <c r="W695" t="s">
        <v>1503</v>
      </c>
      <c r="X695" t="str">
        <f t="shared" si="10"/>
        <v>BL469910@TRAC Corp</v>
      </c>
      <c r="Y695" t="str">
        <f>_xlfn.IFNA(_xll.BDP(X695,"INTERVAL_SUM", "MARKET_DATA_OVERRIDE=px_volume", "CALC_INTERVAL=5D"), "")</f>
        <v>#N/A N/A</v>
      </c>
      <c r="Z695" t="str" cm="1">
        <f t="array" ref="Z695">_xll.BDP(B695, "CF_ACT_CASH_PAID_FOR_INT_DEBT")</f>
        <v>#N/A N/A</v>
      </c>
      <c r="AA695" t="str" cm="1">
        <f t="array" ref="AA695">_xll.BDP(B695, "TYPE_OF_BOND")</f>
        <v>#N/A Field Not Applicable</v>
      </c>
    </row>
    <row r="696" spans="1:27" x14ac:dyDescent="0.25">
      <c r="A696">
        <v>694</v>
      </c>
      <c r="B696" t="s">
        <v>1541</v>
      </c>
      <c r="C696" s="4" t="s">
        <v>1500</v>
      </c>
      <c r="D696" s="4">
        <v>2379000000</v>
      </c>
      <c r="E696" s="1" t="s">
        <v>11</v>
      </c>
      <c r="F696" s="1">
        <v>47533</v>
      </c>
      <c r="G696">
        <v>6.9295</v>
      </c>
      <c r="H696" t="s">
        <v>13</v>
      </c>
      <c r="I696" t="s">
        <v>2631</v>
      </c>
      <c r="J696">
        <v>325</v>
      </c>
      <c r="L696" t="s">
        <v>1168</v>
      </c>
      <c r="M696" t="s">
        <v>10</v>
      </c>
      <c r="N696" t="s">
        <v>460</v>
      </c>
      <c r="O696" t="s">
        <v>2655</v>
      </c>
      <c r="P696" t="s">
        <v>2655</v>
      </c>
      <c r="Q696" t="s">
        <v>3156</v>
      </c>
      <c r="R696" t="s">
        <v>1533</v>
      </c>
      <c r="S696">
        <v>5000000</v>
      </c>
      <c r="T696">
        <v>20</v>
      </c>
      <c r="V696" t="s">
        <v>227</v>
      </c>
      <c r="W696" t="s">
        <v>1503</v>
      </c>
      <c r="X696" t="str">
        <f t="shared" si="10"/>
        <v>BL467319@TRAC Corp</v>
      </c>
      <c r="Y696" t="str">
        <f>_xlfn.IFNA(_xll.BDP(X696,"INTERVAL_SUM", "MARKET_DATA_OVERRIDE=px_volume", "CALC_INTERVAL=5D"), "")</f>
        <v>#N/A N/A</v>
      </c>
      <c r="Z696" cm="1">
        <f t="array" ref="Z696">_xll.BDP(B696, "CF_ACT_CASH_PAID_FOR_INT_DEBT")</f>
        <v>888.7</v>
      </c>
      <c r="AA696" t="str" cm="1">
        <f t="array" ref="AA696">_xll.BDP(B696, "TYPE_OF_BOND")</f>
        <v>#N/A Field Not Applicable</v>
      </c>
    </row>
    <row r="697" spans="1:27" x14ac:dyDescent="0.25">
      <c r="A697">
        <v>695</v>
      </c>
      <c r="B697" t="s">
        <v>1542</v>
      </c>
      <c r="C697" s="4" t="s">
        <v>1500</v>
      </c>
      <c r="D697" s="4">
        <v>1500000000</v>
      </c>
      <c r="E697" s="1" t="s">
        <v>11</v>
      </c>
      <c r="F697" s="1">
        <v>48022</v>
      </c>
      <c r="G697">
        <v>5.7119999999999997</v>
      </c>
      <c r="H697" t="s">
        <v>13</v>
      </c>
      <c r="I697" t="s">
        <v>2638</v>
      </c>
      <c r="J697">
        <v>350</v>
      </c>
      <c r="L697" t="s">
        <v>1171</v>
      </c>
      <c r="M697" t="s">
        <v>905</v>
      </c>
      <c r="N697" t="s">
        <v>460</v>
      </c>
      <c r="O697" t="s">
        <v>2655</v>
      </c>
      <c r="P697" t="s">
        <v>2655</v>
      </c>
      <c r="Q697" t="s">
        <v>3156</v>
      </c>
      <c r="R697" t="s">
        <v>1531</v>
      </c>
      <c r="S697">
        <v>2000000</v>
      </c>
      <c r="T697">
        <v>13</v>
      </c>
      <c r="V697" t="s">
        <v>227</v>
      </c>
      <c r="W697" t="s">
        <v>1503</v>
      </c>
      <c r="X697" t="str">
        <f t="shared" si="10"/>
        <v>BL467317@TRAC Corp</v>
      </c>
      <c r="Y697" t="str">
        <f>_xlfn.IFNA(_xll.BDP(X697,"INTERVAL_SUM", "MARKET_DATA_OVERRIDE=px_volume", "CALC_INTERVAL=5D"), "")</f>
        <v>#N/A N/A</v>
      </c>
      <c r="Z697" cm="1">
        <f t="array" ref="Z697">_xll.BDP(B697, "CF_ACT_CASH_PAID_FOR_INT_DEBT")</f>
        <v>888.7</v>
      </c>
      <c r="AA697" t="str" cm="1">
        <f t="array" ref="AA697">_xll.BDP(B697, "TYPE_OF_BOND")</f>
        <v>#N/A Field Not Applicable</v>
      </c>
    </row>
    <row r="698" spans="1:27" x14ac:dyDescent="0.25">
      <c r="A698">
        <v>696</v>
      </c>
      <c r="B698" t="s">
        <v>1543</v>
      </c>
      <c r="C698" s="4" t="s">
        <v>1500</v>
      </c>
      <c r="D698" s="4">
        <v>1445000000</v>
      </c>
      <c r="E698" s="1" t="s">
        <v>11</v>
      </c>
      <c r="F698" s="1">
        <v>47206</v>
      </c>
      <c r="G698">
        <v>6.72</v>
      </c>
      <c r="H698" t="s">
        <v>13</v>
      </c>
      <c r="I698" t="s">
        <v>2638</v>
      </c>
      <c r="J698">
        <v>450</v>
      </c>
      <c r="L698" t="s">
        <v>1171</v>
      </c>
      <c r="M698" t="s">
        <v>905</v>
      </c>
      <c r="N698" t="s">
        <v>460</v>
      </c>
      <c r="O698" t="s">
        <v>2655</v>
      </c>
      <c r="P698" t="s">
        <v>2655</v>
      </c>
      <c r="Q698" t="s">
        <v>3156</v>
      </c>
      <c r="R698" t="s">
        <v>1535</v>
      </c>
      <c r="S698">
        <v>2000000</v>
      </c>
      <c r="T698">
        <v>9</v>
      </c>
      <c r="V698" t="s">
        <v>227</v>
      </c>
      <c r="W698" t="s">
        <v>1503</v>
      </c>
      <c r="X698" t="str">
        <f t="shared" si="10"/>
        <v>BL446210@TRAC Corp</v>
      </c>
      <c r="Y698" t="str">
        <f>_xlfn.IFNA(_xll.BDP(X698,"INTERVAL_SUM", "MARKET_DATA_OVERRIDE=px_volume", "CALC_INTERVAL=5D"), "")</f>
        <v>#N/A N/A</v>
      </c>
      <c r="Z698" cm="1">
        <f t="array" ref="Z698">_xll.BDP(B698, "CF_ACT_CASH_PAID_FOR_INT_DEBT")</f>
        <v>557.6</v>
      </c>
      <c r="AA698" t="str" cm="1">
        <f t="array" ref="AA698">_xll.BDP(B698, "TYPE_OF_BOND")</f>
        <v>#N/A Field Not Applicable</v>
      </c>
    </row>
    <row r="699" spans="1:27" x14ac:dyDescent="0.25">
      <c r="A699">
        <v>697</v>
      </c>
      <c r="B699" t="s">
        <v>1544</v>
      </c>
      <c r="C699" s="4" t="s">
        <v>1500</v>
      </c>
      <c r="D699" s="4">
        <v>1539562500</v>
      </c>
      <c r="E699" s="1" t="s">
        <v>11</v>
      </c>
      <c r="F699" s="1">
        <v>47206</v>
      </c>
      <c r="G699">
        <v>8.0093999999999994</v>
      </c>
      <c r="H699" t="s">
        <v>13</v>
      </c>
      <c r="I699" t="s">
        <v>2631</v>
      </c>
      <c r="J699">
        <v>425</v>
      </c>
      <c r="L699" t="s">
        <v>1168</v>
      </c>
      <c r="M699" t="s">
        <v>10</v>
      </c>
      <c r="N699" t="s">
        <v>460</v>
      </c>
      <c r="O699" t="s">
        <v>2655</v>
      </c>
      <c r="P699" t="s">
        <v>2655</v>
      </c>
      <c r="Q699" t="s">
        <v>3156</v>
      </c>
      <c r="R699" t="s">
        <v>1537</v>
      </c>
      <c r="S699">
        <v>3000000</v>
      </c>
      <c r="T699">
        <v>12</v>
      </c>
      <c r="V699" t="s">
        <v>227</v>
      </c>
      <c r="W699" t="s">
        <v>1503</v>
      </c>
      <c r="X699" t="str">
        <f t="shared" si="10"/>
        <v>BL446209@TRAC Corp</v>
      </c>
      <c r="Y699" t="str">
        <f>_xlfn.IFNA(_xll.BDP(X699,"INTERVAL_SUM", "MARKET_DATA_OVERRIDE=px_volume", "CALC_INTERVAL=5D"), "")</f>
        <v>#N/A N/A</v>
      </c>
      <c r="Z699" cm="1">
        <f t="array" ref="Z699">_xll.BDP(B699, "CF_ACT_CASH_PAID_FOR_INT_DEBT")</f>
        <v>557.6</v>
      </c>
      <c r="AA699" t="str" cm="1">
        <f t="array" ref="AA699">_xll.BDP(B699, "TYPE_OF_BOND")</f>
        <v>#N/A Field Not Applicable</v>
      </c>
    </row>
    <row r="700" spans="1:27" x14ac:dyDescent="0.25">
      <c r="A700">
        <v>698</v>
      </c>
      <c r="B700" t="s">
        <v>1545</v>
      </c>
      <c r="C700" s="4" t="s">
        <v>1500</v>
      </c>
      <c r="D700" s="4">
        <v>836350000</v>
      </c>
      <c r="E700" s="1" t="s">
        <v>11</v>
      </c>
      <c r="F700" s="1">
        <v>47672</v>
      </c>
      <c r="G700">
        <v>7.5174000000000003</v>
      </c>
      <c r="H700" t="s">
        <v>13</v>
      </c>
      <c r="I700" t="s">
        <v>2631</v>
      </c>
      <c r="J700">
        <v>375</v>
      </c>
      <c r="L700" t="s">
        <v>1168</v>
      </c>
      <c r="M700" t="s">
        <v>10</v>
      </c>
      <c r="N700" t="s">
        <v>460</v>
      </c>
      <c r="O700" t="s">
        <v>2655</v>
      </c>
      <c r="P700" t="s">
        <v>2655</v>
      </c>
      <c r="Q700" t="s">
        <v>3156</v>
      </c>
      <c r="R700" t="s">
        <v>1527</v>
      </c>
      <c r="S700">
        <v>3805453.4790820698</v>
      </c>
      <c r="T700">
        <v>12</v>
      </c>
      <c r="V700" t="s">
        <v>227</v>
      </c>
      <c r="W700" t="s">
        <v>1503</v>
      </c>
      <c r="X700" t="str">
        <f t="shared" si="10"/>
        <v>BL430290@TRAC Corp</v>
      </c>
      <c r="Y700" t="str">
        <f>_xlfn.IFNA(_xll.BDP(X700,"INTERVAL_SUM", "MARKET_DATA_OVERRIDE=px_volume", "CALC_INTERVAL=5D"), "")</f>
        <v>#N/A N/A</v>
      </c>
      <c r="Z700" t="str" cm="1">
        <f t="array" ref="Z700">_xll.BDP(B700, "CF_ACT_CASH_PAID_FOR_INT_DEBT")</f>
        <v>#N/A N/A</v>
      </c>
      <c r="AA700" t="str" cm="1">
        <f t="array" ref="AA700">_xll.BDP(B700, "TYPE_OF_BOND")</f>
        <v>#N/A Field Not Applicable</v>
      </c>
    </row>
    <row r="701" spans="1:27" x14ac:dyDescent="0.25">
      <c r="A701">
        <v>699</v>
      </c>
      <c r="B701" t="s">
        <v>1546</v>
      </c>
      <c r="C701" s="4" t="s">
        <v>1500</v>
      </c>
      <c r="D701" s="4">
        <v>1000000000</v>
      </c>
      <c r="E701" s="1" t="s">
        <v>11</v>
      </c>
      <c r="F701" s="1">
        <v>47672</v>
      </c>
      <c r="G701">
        <v>6.3129999999999997</v>
      </c>
      <c r="H701" t="s">
        <v>13</v>
      </c>
      <c r="I701" t="s">
        <v>2636</v>
      </c>
      <c r="J701">
        <v>400</v>
      </c>
      <c r="L701" t="s">
        <v>1171</v>
      </c>
      <c r="M701" t="s">
        <v>905</v>
      </c>
      <c r="N701" t="s">
        <v>460</v>
      </c>
      <c r="O701" t="s">
        <v>2655</v>
      </c>
      <c r="P701" t="s">
        <v>2655</v>
      </c>
      <c r="Q701" t="s">
        <v>3156</v>
      </c>
      <c r="R701" t="s">
        <v>1547</v>
      </c>
      <c r="S701">
        <v>3892106.3144185301</v>
      </c>
      <c r="T701">
        <v>10</v>
      </c>
      <c r="V701" t="s">
        <v>227</v>
      </c>
      <c r="W701" t="s">
        <v>1503</v>
      </c>
      <c r="X701" t="str">
        <f t="shared" si="10"/>
        <v>BL430288@TRAC Corp</v>
      </c>
      <c r="Y701" t="str">
        <f>_xlfn.IFNA(_xll.BDP(X701,"INTERVAL_SUM", "MARKET_DATA_OVERRIDE=px_volume", "CALC_INTERVAL=5D"), "")</f>
        <v>#N/A N/A</v>
      </c>
      <c r="Z701" t="str" cm="1">
        <f t="array" ref="Z701">_xll.BDP(B701, "CF_ACT_CASH_PAID_FOR_INT_DEBT")</f>
        <v>#N/A N/A</v>
      </c>
      <c r="AA701" t="str" cm="1">
        <f t="array" ref="AA701">_xll.BDP(B701, "TYPE_OF_BOND")</f>
        <v>#N/A Field Not Applicable</v>
      </c>
    </row>
    <row r="702" spans="1:27" x14ac:dyDescent="0.25">
      <c r="A702">
        <v>700</v>
      </c>
      <c r="B702" t="s">
        <v>1548</v>
      </c>
      <c r="C702" s="4" t="s">
        <v>1500</v>
      </c>
      <c r="D702" s="4">
        <v>100000000</v>
      </c>
      <c r="E702" s="1" t="s">
        <v>11</v>
      </c>
      <c r="F702" s="1">
        <v>48204</v>
      </c>
      <c r="H702" t="s">
        <v>13</v>
      </c>
      <c r="L702" t="s">
        <v>1171</v>
      </c>
      <c r="M702" t="s">
        <v>1549</v>
      </c>
      <c r="N702" t="s">
        <v>460</v>
      </c>
      <c r="O702" t="s">
        <v>2655</v>
      </c>
      <c r="P702" t="s">
        <v>2655</v>
      </c>
      <c r="Q702" t="s">
        <v>3156</v>
      </c>
      <c r="R702" t="s">
        <v>1550</v>
      </c>
      <c r="V702" t="s">
        <v>227</v>
      </c>
      <c r="W702" t="s">
        <v>1503</v>
      </c>
      <c r="X702" t="str">
        <f t="shared" si="10"/>
        <v>BL424543@TRAC Corp</v>
      </c>
      <c r="Y702" t="str">
        <f>_xlfn.IFNA(_xll.BDP(X702,"INTERVAL_SUM", "MARKET_DATA_OVERRIDE=px_volume", "CALC_INTERVAL=5D"), "")</f>
        <v>#N/A N/A</v>
      </c>
      <c r="Z702" cm="1">
        <f t="array" ref="Z702">_xll.BDP(B702, "CF_ACT_CASH_PAID_FOR_INT_DEBT")</f>
        <v>888.7</v>
      </c>
      <c r="AA702" t="str" cm="1">
        <f t="array" ref="AA702">_xll.BDP(B702, "TYPE_OF_BOND")</f>
        <v>#N/A Field Not Applicable</v>
      </c>
    </row>
    <row r="703" spans="1:27" x14ac:dyDescent="0.25">
      <c r="A703">
        <v>701</v>
      </c>
      <c r="B703" t="s">
        <v>1551</v>
      </c>
      <c r="C703" s="4" t="s">
        <v>1500</v>
      </c>
      <c r="D703" s="4">
        <v>700000000</v>
      </c>
      <c r="E703" s="1" t="s">
        <v>11</v>
      </c>
      <c r="F703" s="1">
        <v>48204</v>
      </c>
      <c r="H703" t="s">
        <v>13</v>
      </c>
      <c r="L703" t="s">
        <v>1171</v>
      </c>
      <c r="M703" t="s">
        <v>1549</v>
      </c>
      <c r="N703" t="s">
        <v>460</v>
      </c>
      <c r="O703" t="s">
        <v>2655</v>
      </c>
      <c r="P703" t="s">
        <v>2655</v>
      </c>
      <c r="Q703" t="s">
        <v>3156</v>
      </c>
      <c r="R703" t="s">
        <v>1550</v>
      </c>
      <c r="V703" t="s">
        <v>227</v>
      </c>
      <c r="W703" t="s">
        <v>1503</v>
      </c>
      <c r="X703" t="str">
        <f t="shared" si="10"/>
        <v>BL424541@TRAC Corp</v>
      </c>
      <c r="Y703" t="str">
        <f>_xlfn.IFNA(_xll.BDP(X703,"INTERVAL_SUM", "MARKET_DATA_OVERRIDE=px_volume", "CALC_INTERVAL=5D"), "")</f>
        <v>#N/A N/A</v>
      </c>
      <c r="Z703" cm="1">
        <f t="array" ref="Z703">_xll.BDP(B703, "CF_ACT_CASH_PAID_FOR_INT_DEBT")</f>
        <v>888.7</v>
      </c>
      <c r="AA703" t="str" cm="1">
        <f t="array" ref="AA703">_xll.BDP(B703, "TYPE_OF_BOND")</f>
        <v>#N/A Field Not Applicable</v>
      </c>
    </row>
    <row r="704" spans="1:27" x14ac:dyDescent="0.25">
      <c r="A704">
        <v>702</v>
      </c>
      <c r="B704" t="s">
        <v>1552</v>
      </c>
      <c r="C704" s="4" t="s">
        <v>1500</v>
      </c>
      <c r="D704" s="4">
        <v>485000000</v>
      </c>
      <c r="E704" s="1" t="s">
        <v>11</v>
      </c>
      <c r="F704" s="1">
        <v>47556</v>
      </c>
      <c r="G704">
        <v>7.5094000000000003</v>
      </c>
      <c r="H704" t="s">
        <v>13</v>
      </c>
      <c r="I704" t="s">
        <v>2631</v>
      </c>
      <c r="J704">
        <v>375</v>
      </c>
      <c r="L704" t="s">
        <v>1168</v>
      </c>
      <c r="M704" t="s">
        <v>10</v>
      </c>
      <c r="N704" t="s">
        <v>460</v>
      </c>
      <c r="O704" t="s">
        <v>2655</v>
      </c>
      <c r="P704" t="s">
        <v>2655</v>
      </c>
      <c r="Q704" t="s">
        <v>3156</v>
      </c>
      <c r="R704" t="s">
        <v>1537</v>
      </c>
      <c r="S704">
        <v>2000000</v>
      </c>
      <c r="T704">
        <v>16</v>
      </c>
      <c r="V704" t="s">
        <v>227</v>
      </c>
      <c r="W704" t="s">
        <v>1503</v>
      </c>
      <c r="X704" t="str">
        <f t="shared" si="10"/>
        <v>BL420721@TRAC Corp</v>
      </c>
      <c r="Y704" t="str">
        <f>_xlfn.IFNA(_xll.BDP(X704,"INTERVAL_SUM", "MARKET_DATA_OVERRIDE=px_volume", "CALC_INTERVAL=5D"), "")</f>
        <v>#N/A N/A</v>
      </c>
      <c r="Z704" cm="1">
        <f t="array" ref="Z704">_xll.BDP(B704, "CF_ACT_CASH_PAID_FOR_INT_DEBT")</f>
        <v>557.6</v>
      </c>
      <c r="AA704" t="str" cm="1">
        <f t="array" ref="AA704">_xll.BDP(B704, "TYPE_OF_BOND")</f>
        <v>#N/A Field Not Applicable</v>
      </c>
    </row>
    <row r="705" spans="1:27" x14ac:dyDescent="0.25">
      <c r="A705">
        <v>703</v>
      </c>
      <c r="B705" t="s">
        <v>1553</v>
      </c>
      <c r="C705" s="4" t="s">
        <v>1500</v>
      </c>
      <c r="D705" s="4">
        <v>375000000</v>
      </c>
      <c r="E705" s="1" t="s">
        <v>11</v>
      </c>
      <c r="F705" s="1">
        <v>47543</v>
      </c>
      <c r="G705">
        <v>6.22</v>
      </c>
      <c r="H705" t="s">
        <v>13</v>
      </c>
      <c r="I705" t="s">
        <v>2638</v>
      </c>
      <c r="J705">
        <v>400</v>
      </c>
      <c r="L705" t="s">
        <v>1171</v>
      </c>
      <c r="M705" t="s">
        <v>905</v>
      </c>
      <c r="N705" t="s">
        <v>460</v>
      </c>
      <c r="O705" t="s">
        <v>2655</v>
      </c>
      <c r="P705" t="s">
        <v>2655</v>
      </c>
      <c r="Q705" t="s">
        <v>3156</v>
      </c>
      <c r="R705" t="s">
        <v>1535</v>
      </c>
      <c r="S705">
        <v>2000000</v>
      </c>
      <c r="T705">
        <v>15</v>
      </c>
      <c r="V705" t="s">
        <v>227</v>
      </c>
      <c r="W705" t="s">
        <v>1503</v>
      </c>
      <c r="X705" t="str">
        <f t="shared" si="10"/>
        <v>BL420720@TRAC Corp</v>
      </c>
      <c r="Y705" t="str">
        <f>_xlfn.IFNA(_xll.BDP(X705,"INTERVAL_SUM", "MARKET_DATA_OVERRIDE=px_volume", "CALC_INTERVAL=5D"), "")</f>
        <v>#N/A N/A</v>
      </c>
      <c r="Z705" cm="1">
        <f t="array" ref="Z705">_xll.BDP(B705, "CF_ACT_CASH_PAID_FOR_INT_DEBT")</f>
        <v>557.6</v>
      </c>
      <c r="AA705" t="str" cm="1">
        <f t="array" ref="AA705">_xll.BDP(B705, "TYPE_OF_BOND")</f>
        <v>#N/A Field Not Applicable</v>
      </c>
    </row>
    <row r="706" spans="1:27" x14ac:dyDescent="0.25">
      <c r="A706">
        <v>704</v>
      </c>
      <c r="B706" t="s">
        <v>1554</v>
      </c>
      <c r="C706" s="4" t="s">
        <v>1500</v>
      </c>
      <c r="D706" s="4">
        <v>800000000</v>
      </c>
      <c r="E706" s="1" t="s">
        <v>11</v>
      </c>
      <c r="F706" s="1">
        <v>48204</v>
      </c>
      <c r="H706" t="s">
        <v>13</v>
      </c>
      <c r="L706" t="s">
        <v>1171</v>
      </c>
      <c r="M706" t="s">
        <v>1549</v>
      </c>
      <c r="N706" t="s">
        <v>460</v>
      </c>
      <c r="O706" t="s">
        <v>2655</v>
      </c>
      <c r="P706" t="s">
        <v>2655</v>
      </c>
      <c r="Q706" t="s">
        <v>3156</v>
      </c>
      <c r="R706" t="s">
        <v>1550</v>
      </c>
      <c r="V706" t="s">
        <v>227</v>
      </c>
      <c r="W706" t="s">
        <v>1503</v>
      </c>
      <c r="X706" t="str">
        <f t="shared" si="10"/>
        <v>BL409729@TRAC Corp</v>
      </c>
      <c r="Y706" t="str">
        <f>_xlfn.IFNA(_xll.BDP(X706,"INTERVAL_SUM", "MARKET_DATA_OVERRIDE=px_volume", "CALC_INTERVAL=5D"), "")</f>
        <v>#N/A N/A</v>
      </c>
      <c r="Z706" cm="1">
        <f t="array" ref="Z706">_xll.BDP(B706, "CF_ACT_CASH_PAID_FOR_INT_DEBT")</f>
        <v>888.7</v>
      </c>
      <c r="AA706" t="str" cm="1">
        <f t="array" ref="AA706">_xll.BDP(B706, "TYPE_OF_BOND")</f>
        <v>#N/A Field Not Applicable</v>
      </c>
    </row>
    <row r="707" spans="1:27" x14ac:dyDescent="0.25">
      <c r="A707">
        <v>705</v>
      </c>
      <c r="B707" t="s">
        <v>1555</v>
      </c>
      <c r="C707" s="4" t="s">
        <v>1500</v>
      </c>
      <c r="D707" s="4">
        <v>1500000000</v>
      </c>
      <c r="E707" s="1" t="s">
        <v>11</v>
      </c>
      <c r="F707" s="1">
        <v>48204</v>
      </c>
      <c r="H707" t="s">
        <v>13</v>
      </c>
      <c r="L707" t="s">
        <v>1171</v>
      </c>
      <c r="M707" t="s">
        <v>1549</v>
      </c>
      <c r="N707" t="s">
        <v>460</v>
      </c>
      <c r="O707" t="s">
        <v>2655</v>
      </c>
      <c r="P707" t="s">
        <v>2655</v>
      </c>
      <c r="Q707" t="s">
        <v>3156</v>
      </c>
      <c r="R707" t="s">
        <v>1550</v>
      </c>
      <c r="V707" t="s">
        <v>227</v>
      </c>
      <c r="W707" t="s">
        <v>1503</v>
      </c>
      <c r="X707" t="str">
        <f t="shared" ref="X707:X770" si="11">SUBSTITUTE(B707," Corp","@TRAC Corp")</f>
        <v>BL409727@TRAC Corp</v>
      </c>
      <c r="Y707" t="str">
        <f>_xlfn.IFNA(_xll.BDP(X707,"INTERVAL_SUM", "MARKET_DATA_OVERRIDE=px_volume", "CALC_INTERVAL=5D"), "")</f>
        <v>#N/A N/A</v>
      </c>
      <c r="Z707" cm="1">
        <f t="array" ref="Z707">_xll.BDP(B707, "CF_ACT_CASH_PAID_FOR_INT_DEBT")</f>
        <v>888.7</v>
      </c>
      <c r="AA707" t="str" cm="1">
        <f t="array" ref="AA707">_xll.BDP(B707, "TYPE_OF_BOND")</f>
        <v>#N/A Field Not Applicable</v>
      </c>
    </row>
    <row r="708" spans="1:27" x14ac:dyDescent="0.25">
      <c r="A708">
        <v>706</v>
      </c>
      <c r="B708" t="s">
        <v>1556</v>
      </c>
      <c r="C708" s="4" t="s">
        <v>1500</v>
      </c>
      <c r="D708" s="4">
        <v>305000000</v>
      </c>
      <c r="E708" s="1" t="s">
        <v>11</v>
      </c>
      <c r="F708" s="1">
        <v>46700</v>
      </c>
      <c r="H708" t="s">
        <v>13</v>
      </c>
      <c r="L708" t="s">
        <v>1171</v>
      </c>
      <c r="M708" t="s">
        <v>1557</v>
      </c>
      <c r="N708" t="s">
        <v>460</v>
      </c>
      <c r="O708" t="s">
        <v>2655</v>
      </c>
      <c r="P708" t="s">
        <v>2655</v>
      </c>
      <c r="Q708" t="s">
        <v>3139</v>
      </c>
      <c r="R708" t="s">
        <v>1558</v>
      </c>
      <c r="V708" t="s">
        <v>227</v>
      </c>
      <c r="W708" t="s">
        <v>1503</v>
      </c>
      <c r="X708" t="str">
        <f t="shared" si="11"/>
        <v>BL406683@TRAC Corp</v>
      </c>
      <c r="Y708" t="str">
        <f>_xlfn.IFNA(_xll.BDP(X708,"INTERVAL_SUM", "MARKET_DATA_OVERRIDE=px_volume", "CALC_INTERVAL=5D"), "")</f>
        <v>#N/A N/A</v>
      </c>
      <c r="Z708" cm="1">
        <f t="array" ref="Z708">_xll.BDP(B708, "CF_ACT_CASH_PAID_FOR_INT_DEBT")</f>
        <v>888.7</v>
      </c>
      <c r="AA708" t="str" cm="1">
        <f t="array" ref="AA708">_xll.BDP(B708, "TYPE_OF_BOND")</f>
        <v>#N/A Field Not Applicable</v>
      </c>
    </row>
    <row r="709" spans="1:27" x14ac:dyDescent="0.25">
      <c r="A709">
        <v>707</v>
      </c>
      <c r="B709" t="s">
        <v>1559</v>
      </c>
      <c r="C709" s="4" t="s">
        <v>1500</v>
      </c>
      <c r="D709" s="4">
        <v>468000000</v>
      </c>
      <c r="E709" s="1" t="s">
        <v>11</v>
      </c>
      <c r="F709" s="1">
        <v>46752</v>
      </c>
      <c r="G709">
        <v>6.7321999999999997</v>
      </c>
      <c r="H709" t="s">
        <v>13</v>
      </c>
      <c r="I709" t="s">
        <v>2635</v>
      </c>
      <c r="J709">
        <v>300</v>
      </c>
      <c r="L709" t="s">
        <v>1168</v>
      </c>
      <c r="M709" t="s">
        <v>10</v>
      </c>
      <c r="N709" t="s">
        <v>460</v>
      </c>
      <c r="O709" t="s">
        <v>2655</v>
      </c>
      <c r="P709" t="s">
        <v>2681</v>
      </c>
      <c r="Q709" t="s">
        <v>3197</v>
      </c>
      <c r="R709" t="s">
        <v>1560</v>
      </c>
      <c r="S709">
        <v>3509914.3829234699</v>
      </c>
      <c r="T709">
        <v>8</v>
      </c>
      <c r="V709" t="s">
        <v>227</v>
      </c>
      <c r="W709" t="s">
        <v>1503</v>
      </c>
      <c r="X709" t="str">
        <f t="shared" si="11"/>
        <v>BL349481@TRAC Corp</v>
      </c>
      <c r="Y709" t="str">
        <f>_xlfn.IFNA(_xll.BDP(X709,"INTERVAL_SUM", "MARKET_DATA_OVERRIDE=px_volume", "CALC_INTERVAL=5D"), "")</f>
        <v>#N/A N/A</v>
      </c>
      <c r="Z709" cm="1">
        <f t="array" ref="Z709">_xll.BDP(B709, "CF_ACT_CASH_PAID_FOR_INT_DEBT")</f>
        <v>888.7</v>
      </c>
      <c r="AA709" t="str" cm="1">
        <f t="array" ref="AA709">_xll.BDP(B709, "TYPE_OF_BOND")</f>
        <v>#N/A Field Not Applicable</v>
      </c>
    </row>
    <row r="710" spans="1:27" x14ac:dyDescent="0.25">
      <c r="A710">
        <v>708</v>
      </c>
      <c r="B710" t="s">
        <v>1561</v>
      </c>
      <c r="C710" s="4" t="s">
        <v>1500</v>
      </c>
      <c r="D710" s="4">
        <v>450000000</v>
      </c>
      <c r="E710" s="1" t="s">
        <v>11</v>
      </c>
      <c r="F710" s="1">
        <v>46416</v>
      </c>
      <c r="G710">
        <v>4.1790000000000003</v>
      </c>
      <c r="H710" t="s">
        <v>13</v>
      </c>
      <c r="I710" t="s">
        <v>2638</v>
      </c>
      <c r="J710">
        <v>200</v>
      </c>
      <c r="L710" t="s">
        <v>1171</v>
      </c>
      <c r="M710" t="s">
        <v>1501</v>
      </c>
      <c r="N710" t="s">
        <v>460</v>
      </c>
      <c r="O710" t="s">
        <v>2655</v>
      </c>
      <c r="P710" t="s">
        <v>2655</v>
      </c>
      <c r="Q710" t="s">
        <v>3156</v>
      </c>
      <c r="R710" t="s">
        <v>1535</v>
      </c>
      <c r="S710">
        <v>3000000</v>
      </c>
      <c r="T710">
        <v>56</v>
      </c>
      <c r="V710" t="s">
        <v>227</v>
      </c>
      <c r="W710" t="s">
        <v>1503</v>
      </c>
      <c r="X710" t="str">
        <f t="shared" si="11"/>
        <v>BL328464@TRAC Corp</v>
      </c>
      <c r="Y710" t="str">
        <f>_xlfn.IFNA(_xll.BDP(X710,"INTERVAL_SUM", "MARKET_DATA_OVERRIDE=px_volume", "CALC_INTERVAL=5D"), "")</f>
        <v>#N/A N/A</v>
      </c>
      <c r="Z710" t="str" cm="1">
        <f t="array" ref="Z710">_xll.BDP(B710, "CF_ACT_CASH_PAID_FOR_INT_DEBT")</f>
        <v>#N/A N/A</v>
      </c>
      <c r="AA710" t="str" cm="1">
        <f t="array" ref="AA710">_xll.BDP(B710, "TYPE_OF_BOND")</f>
        <v>#N/A Field Not Applicable</v>
      </c>
    </row>
    <row r="711" spans="1:27" x14ac:dyDescent="0.25">
      <c r="A711">
        <v>709</v>
      </c>
      <c r="B711" t="s">
        <v>1562</v>
      </c>
      <c r="C711" s="4" t="s">
        <v>1500</v>
      </c>
      <c r="D711" s="4">
        <v>223790600</v>
      </c>
      <c r="E711" s="1" t="s">
        <v>11</v>
      </c>
      <c r="F711" s="1"/>
      <c r="H711" t="s">
        <v>13</v>
      </c>
      <c r="L711" t="s">
        <v>1171</v>
      </c>
      <c r="M711" t="s">
        <v>905</v>
      </c>
      <c r="N711" t="s">
        <v>460</v>
      </c>
      <c r="O711" t="s">
        <v>2655</v>
      </c>
      <c r="P711" t="s">
        <v>2655</v>
      </c>
      <c r="Q711" t="s">
        <v>3156</v>
      </c>
      <c r="R711" t="s">
        <v>1563</v>
      </c>
      <c r="V711" t="s">
        <v>1564</v>
      </c>
      <c r="W711" t="s">
        <v>1503</v>
      </c>
      <c r="X711" t="str">
        <f t="shared" si="11"/>
        <v>BL166839@TRAC Corp</v>
      </c>
      <c r="Y711" t="str">
        <f>_xlfn.IFNA(_xll.BDP(X711,"INTERVAL_SUM", "MARKET_DATA_OVERRIDE=px_volume", "CALC_INTERVAL=5D"), "")</f>
        <v>#N/A N/A</v>
      </c>
      <c r="Z711" t="str" cm="1">
        <f t="array" ref="Z711">_xll.BDP(B711, "CF_ACT_CASH_PAID_FOR_INT_DEBT")</f>
        <v>#N/A N/A</v>
      </c>
      <c r="AA711" t="str" cm="1">
        <f t="array" ref="AA711">_xll.BDP(B711, "TYPE_OF_BOND")</f>
        <v>#N/A Field Not Applicable</v>
      </c>
    </row>
    <row r="712" spans="1:27" x14ac:dyDescent="0.25">
      <c r="A712">
        <v>710</v>
      </c>
      <c r="B712" t="s">
        <v>3332</v>
      </c>
      <c r="C712" s="4" t="s">
        <v>1500</v>
      </c>
      <c r="D712" s="4">
        <v>450000000</v>
      </c>
      <c r="E712" s="1" t="s">
        <v>11</v>
      </c>
      <c r="F712" s="1">
        <v>48390</v>
      </c>
      <c r="G712">
        <v>8.6795000000000009</v>
      </c>
      <c r="H712" t="s">
        <v>13</v>
      </c>
      <c r="I712" t="s">
        <v>2631</v>
      </c>
      <c r="J712">
        <v>500</v>
      </c>
      <c r="L712" t="s">
        <v>1168</v>
      </c>
      <c r="M712" t="s">
        <v>10</v>
      </c>
      <c r="N712" t="s">
        <v>460</v>
      </c>
      <c r="O712" t="s">
        <v>2655</v>
      </c>
      <c r="P712" t="s">
        <v>2655</v>
      </c>
      <c r="Q712" t="s">
        <v>3156</v>
      </c>
      <c r="R712" t="s">
        <v>1533</v>
      </c>
      <c r="S712">
        <v>3395613.1624659998</v>
      </c>
      <c r="T712">
        <v>13</v>
      </c>
      <c r="V712" t="s">
        <v>227</v>
      </c>
      <c r="W712" t="s">
        <v>1503</v>
      </c>
      <c r="X712" t="str">
        <f t="shared" si="11"/>
        <v>BL1000IY@TRAC Corp</v>
      </c>
      <c r="Y712" t="str">
        <f>_xlfn.IFNA(_xll.BDP(X712,"INTERVAL_SUM", "MARKET_DATA_OVERRIDE=px_volume", "CALC_INTERVAL=5D"), "")</f>
        <v>#N/A N/A</v>
      </c>
      <c r="Z712" cm="1">
        <f t="array" ref="Z712">_xll.BDP(B712, "CF_ACT_CASH_PAID_FOR_INT_DEBT")</f>
        <v>888.7</v>
      </c>
      <c r="AA712" t="str" cm="1">
        <f t="array" ref="AA712">_xll.BDP(B712, "TYPE_OF_BOND")</f>
        <v>#N/A Field Not Applicable</v>
      </c>
    </row>
    <row r="713" spans="1:27" x14ac:dyDescent="0.25">
      <c r="A713">
        <v>711</v>
      </c>
      <c r="B713" t="s">
        <v>3333</v>
      </c>
      <c r="C713" s="4" t="s">
        <v>1500</v>
      </c>
      <c r="D713" s="4">
        <v>350000000</v>
      </c>
      <c r="E713" s="1" t="s">
        <v>11</v>
      </c>
      <c r="F713" s="1">
        <v>48390</v>
      </c>
      <c r="G713">
        <v>7.2930000000000001</v>
      </c>
      <c r="H713" t="s">
        <v>13</v>
      </c>
      <c r="I713" t="s">
        <v>2636</v>
      </c>
      <c r="J713">
        <v>500</v>
      </c>
      <c r="L713" t="s">
        <v>1171</v>
      </c>
      <c r="M713" t="s">
        <v>905</v>
      </c>
      <c r="N713" t="s">
        <v>460</v>
      </c>
      <c r="O713" t="s">
        <v>2655</v>
      </c>
      <c r="P713" t="s">
        <v>2655</v>
      </c>
      <c r="Q713" t="s">
        <v>3156</v>
      </c>
      <c r="R713" t="s">
        <v>1531</v>
      </c>
      <c r="S713">
        <v>2000000</v>
      </c>
      <c r="T713">
        <v>7</v>
      </c>
      <c r="V713" t="s">
        <v>227</v>
      </c>
      <c r="W713" t="s">
        <v>1503</v>
      </c>
      <c r="X713" t="str">
        <f t="shared" si="11"/>
        <v>BL1000IX@TRAC Corp</v>
      </c>
      <c r="Y713" t="str">
        <f>_xlfn.IFNA(_xll.BDP(X713,"INTERVAL_SUM", "MARKET_DATA_OVERRIDE=px_volume", "CALC_INTERVAL=5D"), "")</f>
        <v>#N/A N/A</v>
      </c>
      <c r="Z713" cm="1">
        <f t="array" ref="Z713">_xll.BDP(B713, "CF_ACT_CASH_PAID_FOR_INT_DEBT")</f>
        <v>888.7</v>
      </c>
      <c r="AA713" t="str" cm="1">
        <f t="array" ref="AA713">_xll.BDP(B713, "TYPE_OF_BOND")</f>
        <v>#N/A Field Not Applicable</v>
      </c>
    </row>
    <row r="714" spans="1:27" x14ac:dyDescent="0.25">
      <c r="A714">
        <v>712</v>
      </c>
      <c r="B714" t="s">
        <v>1565</v>
      </c>
      <c r="C714" s="4" t="s">
        <v>1566</v>
      </c>
      <c r="D714" s="4">
        <v>500000000</v>
      </c>
      <c r="E714" s="1" t="s">
        <v>17</v>
      </c>
      <c r="F714" s="1">
        <v>48441</v>
      </c>
      <c r="G714">
        <v>11</v>
      </c>
      <c r="H714" t="s">
        <v>9</v>
      </c>
      <c r="L714" t="s">
        <v>1168</v>
      </c>
      <c r="M714" t="s">
        <v>10</v>
      </c>
      <c r="N714" t="s">
        <v>460</v>
      </c>
      <c r="O714" t="s">
        <v>3150</v>
      </c>
      <c r="P714" t="s">
        <v>2645</v>
      </c>
      <c r="Q714" t="s">
        <v>3155</v>
      </c>
      <c r="R714" t="s">
        <v>1567</v>
      </c>
      <c r="S714">
        <v>12889229.1162757</v>
      </c>
      <c r="T714">
        <v>26</v>
      </c>
      <c r="U714" t="s">
        <v>1169</v>
      </c>
      <c r="W714" t="s">
        <v>1568</v>
      </c>
      <c r="X714" t="str">
        <f t="shared" si="11"/>
        <v>YW576785@TRAC Corp</v>
      </c>
      <c r="Y714">
        <f>_xlfn.IFNA(_xll.BDP(X714,"INTERVAL_SUM", "MARKET_DATA_OVERRIDE=px_volume", "CALC_INTERVAL=5D"), "")</f>
        <v>2418</v>
      </c>
      <c r="Z714" t="str" cm="1">
        <f t="array" ref="Z714">_xll.BDP(B714, "CF_ACT_CASH_PAID_FOR_INT_DEBT")</f>
        <v>#N/A N/A</v>
      </c>
      <c r="AA714" t="str" cm="1">
        <f t="array" ref="AA714">_xll.BDP(B714, "TYPE_OF_BOND")</f>
        <v>#N/A Field Not Applicable</v>
      </c>
    </row>
    <row r="715" spans="1:27" x14ac:dyDescent="0.25">
      <c r="A715">
        <v>713</v>
      </c>
      <c r="B715" t="s">
        <v>1569</v>
      </c>
      <c r="C715" s="4" t="s">
        <v>1566</v>
      </c>
      <c r="D715" s="4">
        <v>77000000</v>
      </c>
      <c r="E715" s="1" t="s">
        <v>11</v>
      </c>
      <c r="F715" s="1">
        <v>47336</v>
      </c>
      <c r="G715">
        <v>7.1439000000000004</v>
      </c>
      <c r="H715" t="s">
        <v>13</v>
      </c>
      <c r="I715" t="s">
        <v>2631</v>
      </c>
      <c r="J715">
        <v>350</v>
      </c>
      <c r="L715" t="s">
        <v>1168</v>
      </c>
      <c r="M715" t="s">
        <v>10</v>
      </c>
      <c r="N715" t="s">
        <v>460</v>
      </c>
      <c r="O715" t="s">
        <v>3150</v>
      </c>
      <c r="P715" t="s">
        <v>2645</v>
      </c>
      <c r="Q715" t="s">
        <v>3155</v>
      </c>
      <c r="R715" t="s">
        <v>1570</v>
      </c>
      <c r="V715" t="s">
        <v>226</v>
      </c>
      <c r="W715" t="s">
        <v>1568</v>
      </c>
      <c r="X715" t="str">
        <f t="shared" si="11"/>
        <v>BL474701@TRAC Corp</v>
      </c>
      <c r="Y715" t="str">
        <f>_xlfn.IFNA(_xll.BDP(X715,"INTERVAL_SUM", "MARKET_DATA_OVERRIDE=px_volume", "CALC_INTERVAL=5D"), "")</f>
        <v>#N/A N/A</v>
      </c>
      <c r="Z715" t="str" cm="1">
        <f t="array" ref="Z715">_xll.BDP(B715, "CF_ACT_CASH_PAID_FOR_INT_DEBT")</f>
        <v>#N/A N/A</v>
      </c>
      <c r="AA715" t="str" cm="1">
        <f t="array" ref="AA715">_xll.BDP(B715, "TYPE_OF_BOND")</f>
        <v>#N/A Field Not Applicable</v>
      </c>
    </row>
    <row r="716" spans="1:27" x14ac:dyDescent="0.25">
      <c r="A716">
        <v>714</v>
      </c>
      <c r="B716" t="s">
        <v>1571</v>
      </c>
      <c r="C716" s="4" t="s">
        <v>1566</v>
      </c>
      <c r="D716" s="4">
        <v>1038800000</v>
      </c>
      <c r="E716" s="1" t="s">
        <v>11</v>
      </c>
      <c r="F716" s="1">
        <v>48065</v>
      </c>
      <c r="G716">
        <v>7.9081000000000001</v>
      </c>
      <c r="H716" t="s">
        <v>13</v>
      </c>
      <c r="I716" t="s">
        <v>2635</v>
      </c>
      <c r="J716">
        <v>425</v>
      </c>
      <c r="L716" t="s">
        <v>1168</v>
      </c>
      <c r="M716" t="s">
        <v>10</v>
      </c>
      <c r="N716" t="s">
        <v>460</v>
      </c>
      <c r="O716" t="s">
        <v>3150</v>
      </c>
      <c r="P716" t="s">
        <v>2645</v>
      </c>
      <c r="Q716" t="s">
        <v>3155</v>
      </c>
      <c r="R716" t="s">
        <v>1572</v>
      </c>
      <c r="S716">
        <v>3000000</v>
      </c>
      <c r="T716">
        <v>26</v>
      </c>
      <c r="V716" t="s">
        <v>227</v>
      </c>
      <c r="W716" t="s">
        <v>1568</v>
      </c>
      <c r="X716" t="str">
        <f t="shared" si="11"/>
        <v>BL472203@TRAC Corp</v>
      </c>
      <c r="Y716" t="str">
        <f>_xlfn.IFNA(_xll.BDP(X716,"INTERVAL_SUM", "MARKET_DATA_OVERRIDE=px_volume", "CALC_INTERVAL=5D"), "")</f>
        <v>#N/A N/A</v>
      </c>
      <c r="Z716" t="str" cm="1">
        <f t="array" ref="Z716">_xll.BDP(B716, "CF_ACT_CASH_PAID_FOR_INT_DEBT")</f>
        <v>#N/A N/A</v>
      </c>
      <c r="AA716" t="str" cm="1">
        <f t="array" ref="AA716">_xll.BDP(B716, "TYPE_OF_BOND")</f>
        <v>#N/A Field Not Applicable</v>
      </c>
    </row>
    <row r="717" spans="1:27" x14ac:dyDescent="0.25">
      <c r="A717">
        <v>715</v>
      </c>
      <c r="B717" t="s">
        <v>3451</v>
      </c>
      <c r="C717" s="4" t="s">
        <v>3452</v>
      </c>
      <c r="D717" s="4">
        <v>600000000</v>
      </c>
      <c r="E717" s="1" t="s">
        <v>12</v>
      </c>
      <c r="F717" s="1">
        <v>47164</v>
      </c>
      <c r="G717">
        <v>8.75</v>
      </c>
      <c r="H717" t="s">
        <v>9</v>
      </c>
      <c r="L717" t="s">
        <v>1168</v>
      </c>
      <c r="M717" t="s">
        <v>10</v>
      </c>
      <c r="N717" t="s">
        <v>36</v>
      </c>
      <c r="O717" t="s">
        <v>3118</v>
      </c>
      <c r="P717" t="s">
        <v>2639</v>
      </c>
      <c r="Q717" t="s">
        <v>3453</v>
      </c>
      <c r="R717" t="s">
        <v>3454</v>
      </c>
      <c r="S717">
        <v>21179647.784622099</v>
      </c>
      <c r="T717">
        <v>36</v>
      </c>
      <c r="U717" t="s">
        <v>1169</v>
      </c>
      <c r="W717" t="s">
        <v>3455</v>
      </c>
      <c r="X717" t="str">
        <f t="shared" si="11"/>
        <v>ZF544663@TRAC Corp</v>
      </c>
      <c r="Y717">
        <f>_xlfn.IFNA(_xll.BDP(X717,"INTERVAL_SUM", "MARKET_DATA_OVERRIDE=px_volume", "CALC_INTERVAL=5D"), "")</f>
        <v>10441</v>
      </c>
      <c r="Z717" t="str" cm="1">
        <f t="array" ref="Z717">_xll.BDP(B717, "CF_ACT_CASH_PAID_FOR_INT_DEBT")</f>
        <v>#N/A N/A</v>
      </c>
      <c r="AA717" t="str" cm="1">
        <f t="array" ref="AA717">_xll.BDP(B717, "TYPE_OF_BOND")</f>
        <v>#N/A Field Not Applicable</v>
      </c>
    </row>
    <row r="718" spans="1:27" x14ac:dyDescent="0.25">
      <c r="A718">
        <v>716</v>
      </c>
      <c r="B718" t="s">
        <v>3456</v>
      </c>
      <c r="C718" s="4" t="s">
        <v>3452</v>
      </c>
      <c r="D718" s="4">
        <v>21935289.969999999</v>
      </c>
      <c r="E718" s="1" t="s">
        <v>33</v>
      </c>
      <c r="F718" s="1">
        <v>47164</v>
      </c>
      <c r="G718">
        <v>10.6439</v>
      </c>
      <c r="H718" t="s">
        <v>13</v>
      </c>
      <c r="I718" t="s">
        <v>2631</v>
      </c>
      <c r="J718">
        <v>700</v>
      </c>
      <c r="L718" t="s">
        <v>1168</v>
      </c>
      <c r="M718" t="s">
        <v>10</v>
      </c>
      <c r="N718" t="s">
        <v>36</v>
      </c>
      <c r="O718" t="s">
        <v>3118</v>
      </c>
      <c r="R718" t="s">
        <v>3457</v>
      </c>
      <c r="V718" t="s">
        <v>227</v>
      </c>
      <c r="W718" t="s">
        <v>3455</v>
      </c>
      <c r="X718" t="str">
        <f t="shared" si="11"/>
        <v>BL496978@TRAC Corp</v>
      </c>
      <c r="Y718" t="str">
        <f>_xlfn.IFNA(_xll.BDP(X718,"INTERVAL_SUM", "MARKET_DATA_OVERRIDE=px_volume", "CALC_INTERVAL=5D"), "")</f>
        <v>#N/A N/A</v>
      </c>
      <c r="Z718" t="str" cm="1">
        <f t="array" ref="Z718">_xll.BDP(B718, "CF_ACT_CASH_PAID_FOR_INT_DEBT")</f>
        <v>#N/A N/A</v>
      </c>
      <c r="AA718" t="str" cm="1">
        <f t="array" ref="AA718">_xll.BDP(B718, "TYPE_OF_BOND")</f>
        <v>#N/A Field Not Applicable</v>
      </c>
    </row>
    <row r="719" spans="1:27" x14ac:dyDescent="0.25">
      <c r="A719">
        <v>717</v>
      </c>
      <c r="B719" t="s">
        <v>3458</v>
      </c>
      <c r="C719" s="4" t="s">
        <v>3452</v>
      </c>
      <c r="D719" s="4">
        <v>925000000</v>
      </c>
      <c r="E719" s="1" t="s">
        <v>11</v>
      </c>
      <c r="F719" s="1">
        <v>47172</v>
      </c>
      <c r="G719">
        <v>8.4459999999999997</v>
      </c>
      <c r="H719" t="s">
        <v>13</v>
      </c>
      <c r="I719" t="s">
        <v>2635</v>
      </c>
      <c r="J719">
        <v>475</v>
      </c>
      <c r="L719" t="s">
        <v>1168</v>
      </c>
      <c r="M719" t="s">
        <v>10</v>
      </c>
      <c r="N719" t="s">
        <v>36</v>
      </c>
      <c r="O719" t="s">
        <v>3118</v>
      </c>
      <c r="P719" t="s">
        <v>2639</v>
      </c>
      <c r="Q719" t="s">
        <v>3453</v>
      </c>
      <c r="R719" t="s">
        <v>3459</v>
      </c>
      <c r="S719">
        <v>3000000</v>
      </c>
      <c r="T719">
        <v>22</v>
      </c>
      <c r="V719" t="s">
        <v>227</v>
      </c>
      <c r="W719" t="s">
        <v>3455</v>
      </c>
      <c r="X719" t="str">
        <f t="shared" si="11"/>
        <v>BL457509@TRAC Corp</v>
      </c>
      <c r="Y719" t="str">
        <f>_xlfn.IFNA(_xll.BDP(X719,"INTERVAL_SUM", "MARKET_DATA_OVERRIDE=px_volume", "CALC_INTERVAL=5D"), "")</f>
        <v>#N/A N/A</v>
      </c>
      <c r="Z719" t="str" cm="1">
        <f t="array" ref="Z719">_xll.BDP(B719, "CF_ACT_CASH_PAID_FOR_INT_DEBT")</f>
        <v>#N/A N/A</v>
      </c>
      <c r="AA719" t="str" cm="1">
        <f t="array" ref="AA719">_xll.BDP(B719, "TYPE_OF_BOND")</f>
        <v>#N/A Field Not Applicable</v>
      </c>
    </row>
    <row r="720" spans="1:27" x14ac:dyDescent="0.25">
      <c r="A720">
        <v>718</v>
      </c>
      <c r="B720" t="s">
        <v>1573</v>
      </c>
      <c r="C720" s="4" t="s">
        <v>1574</v>
      </c>
      <c r="D720" s="4">
        <v>600000000</v>
      </c>
      <c r="E720" s="1" t="s">
        <v>11</v>
      </c>
      <c r="F720" s="1">
        <v>47894</v>
      </c>
      <c r="G720">
        <v>8.5</v>
      </c>
      <c r="H720" t="s">
        <v>9</v>
      </c>
      <c r="L720" t="s">
        <v>1168</v>
      </c>
      <c r="M720" t="s">
        <v>10</v>
      </c>
      <c r="N720" t="s">
        <v>333</v>
      </c>
      <c r="O720" t="s">
        <v>3170</v>
      </c>
      <c r="P720" t="s">
        <v>2653</v>
      </c>
      <c r="Q720" t="s">
        <v>3171</v>
      </c>
      <c r="R720" t="s">
        <v>1575</v>
      </c>
      <c r="S720">
        <v>6363374.7524746703</v>
      </c>
      <c r="T720">
        <v>28</v>
      </c>
      <c r="U720" t="s">
        <v>1169</v>
      </c>
      <c r="W720" t="s">
        <v>1576</v>
      </c>
      <c r="X720" t="str">
        <f t="shared" si="11"/>
        <v>ZF579060@TRAC Corp</v>
      </c>
      <c r="Y720">
        <f>_xlfn.IFNA(_xll.BDP(X720,"INTERVAL_SUM", "MARKET_DATA_OVERRIDE=px_volume", "CALC_INTERVAL=5D"), "")</f>
        <v>12013</v>
      </c>
      <c r="Z720" t="str" cm="1">
        <f t="array" ref="Z720">_xll.BDP(B720, "CF_ACT_CASH_PAID_FOR_INT_DEBT")</f>
        <v>#N/A N/A</v>
      </c>
      <c r="AA720" t="str" cm="1">
        <f t="array" ref="AA720">_xll.BDP(B720, "TYPE_OF_BOND")</f>
        <v>#N/A Field Not Applicable</v>
      </c>
    </row>
    <row r="721" spans="1:27" x14ac:dyDescent="0.25">
      <c r="A721">
        <v>719</v>
      </c>
      <c r="B721" t="s">
        <v>1577</v>
      </c>
      <c r="C721" s="4" t="s">
        <v>1574</v>
      </c>
      <c r="D721" s="4">
        <v>909075000</v>
      </c>
      <c r="E721" s="1" t="s">
        <v>11</v>
      </c>
      <c r="F721" s="1">
        <v>47889</v>
      </c>
      <c r="G721">
        <v>8.1486999999999998</v>
      </c>
      <c r="H721" t="s">
        <v>13</v>
      </c>
      <c r="I721" t="s">
        <v>2635</v>
      </c>
      <c r="J721">
        <v>450</v>
      </c>
      <c r="L721" t="s">
        <v>1168</v>
      </c>
      <c r="M721" t="s">
        <v>10</v>
      </c>
      <c r="N721" t="s">
        <v>333</v>
      </c>
      <c r="O721" t="s">
        <v>3170</v>
      </c>
      <c r="P721" t="s">
        <v>2653</v>
      </c>
      <c r="Q721" t="s">
        <v>3171</v>
      </c>
      <c r="R721" t="s">
        <v>1578</v>
      </c>
      <c r="S721">
        <v>3000000</v>
      </c>
      <c r="T721">
        <v>17</v>
      </c>
      <c r="V721" t="s">
        <v>227</v>
      </c>
      <c r="W721" t="s">
        <v>1576</v>
      </c>
      <c r="X721" t="str">
        <f t="shared" si="11"/>
        <v>BL457570@TRAC Corp</v>
      </c>
      <c r="Y721" t="str">
        <f>_xlfn.IFNA(_xll.BDP(X721,"INTERVAL_SUM", "MARKET_DATA_OVERRIDE=px_volume", "CALC_INTERVAL=5D"), "")</f>
        <v>#N/A N/A</v>
      </c>
      <c r="Z721" t="str" cm="1">
        <f t="array" ref="Z721">_xll.BDP(B721, "CF_ACT_CASH_PAID_FOR_INT_DEBT")</f>
        <v>#N/A N/A</v>
      </c>
      <c r="AA721" t="str" cm="1">
        <f t="array" ref="AA721">_xll.BDP(B721, "TYPE_OF_BOND")</f>
        <v>#N/A Field Not Applicable</v>
      </c>
    </row>
    <row r="722" spans="1:27" x14ac:dyDescent="0.25">
      <c r="A722">
        <v>720</v>
      </c>
      <c r="B722" t="s">
        <v>1579</v>
      </c>
      <c r="C722" s="4" t="s">
        <v>1580</v>
      </c>
      <c r="D722" s="4">
        <v>158111817</v>
      </c>
      <c r="E722" s="1" t="s">
        <v>33</v>
      </c>
      <c r="F722" s="1">
        <v>47397</v>
      </c>
      <c r="G722">
        <v>6.5</v>
      </c>
      <c r="H722" t="s">
        <v>9</v>
      </c>
      <c r="L722" t="s">
        <v>1168</v>
      </c>
      <c r="M722" t="s">
        <v>10</v>
      </c>
      <c r="N722" t="s">
        <v>36</v>
      </c>
      <c r="O722" t="s">
        <v>3198</v>
      </c>
      <c r="P722" t="s">
        <v>2682</v>
      </c>
      <c r="Q722" t="s">
        <v>3199</v>
      </c>
      <c r="R722" t="s">
        <v>1581</v>
      </c>
      <c r="S722">
        <v>3106010.7303203298</v>
      </c>
      <c r="T722">
        <v>4</v>
      </c>
      <c r="U722" t="s">
        <v>1169</v>
      </c>
      <c r="W722" t="s">
        <v>1582</v>
      </c>
      <c r="X722" t="str">
        <f t="shared" si="11"/>
        <v>YS476256@TRAC Corp</v>
      </c>
      <c r="Y722" t="str">
        <f>_xlfn.IFNA(_xll.BDP(X722,"INTERVAL_SUM", "MARKET_DATA_OVERRIDE=px_volume", "CALC_INTERVAL=5D"), "")</f>
        <v>#N/A N/A</v>
      </c>
      <c r="Z722" t="str" cm="1">
        <f t="array" ref="Z722">_xll.BDP(B722, "CF_ACT_CASH_PAID_FOR_INT_DEBT")</f>
        <v>#N/A N/A</v>
      </c>
      <c r="AA722" t="str" cm="1">
        <f t="array" ref="AA722">_xll.BDP(B722, "TYPE_OF_BOND")</f>
        <v>#N/A Field Not Applicable</v>
      </c>
    </row>
    <row r="723" spans="1:27" x14ac:dyDescent="0.25">
      <c r="A723">
        <v>721</v>
      </c>
      <c r="B723" t="s">
        <v>1583</v>
      </c>
      <c r="C723" s="4" t="s">
        <v>1580</v>
      </c>
      <c r="D723" s="4">
        <v>45060640</v>
      </c>
      <c r="E723" s="1" t="s">
        <v>33</v>
      </c>
      <c r="F723" s="1">
        <v>47397</v>
      </c>
      <c r="G723">
        <v>6.5</v>
      </c>
      <c r="H723" t="s">
        <v>9</v>
      </c>
      <c r="L723" t="s">
        <v>1168</v>
      </c>
      <c r="M723" t="s">
        <v>10</v>
      </c>
      <c r="N723" t="s">
        <v>36</v>
      </c>
      <c r="O723" t="s">
        <v>3198</v>
      </c>
      <c r="P723" t="s">
        <v>2682</v>
      </c>
      <c r="Q723" t="s">
        <v>3199</v>
      </c>
      <c r="R723" t="s">
        <v>1581</v>
      </c>
      <c r="S723">
        <v>3801835.8290132699</v>
      </c>
      <c r="T723">
        <v>4</v>
      </c>
      <c r="W723" t="s">
        <v>1582</v>
      </c>
      <c r="X723" t="str">
        <f t="shared" si="11"/>
        <v>YJ657188@TRAC Corp</v>
      </c>
      <c r="Y723" t="str">
        <f>_xlfn.IFNA(_xll.BDP(X723,"INTERVAL_SUM", "MARKET_DATA_OVERRIDE=px_volume", "CALC_INTERVAL=5D"), "")</f>
        <v>#N/A N/A</v>
      </c>
      <c r="Z723" t="str" cm="1">
        <f t="array" ref="Z723">_xll.BDP(B723, "CF_ACT_CASH_PAID_FOR_INT_DEBT")</f>
        <v>#N/A N/A</v>
      </c>
      <c r="AA723" t="str" cm="1">
        <f t="array" ref="AA723">_xll.BDP(B723, "TYPE_OF_BOND")</f>
        <v>#N/A Field Not Applicable</v>
      </c>
    </row>
    <row r="724" spans="1:27" x14ac:dyDescent="0.25">
      <c r="A724">
        <v>722</v>
      </c>
      <c r="B724" t="s">
        <v>1584</v>
      </c>
      <c r="C724" s="4" t="s">
        <v>1580</v>
      </c>
      <c r="D724" s="4">
        <v>241049217</v>
      </c>
      <c r="E724" s="1" t="s">
        <v>33</v>
      </c>
      <c r="F724" s="1">
        <v>47397</v>
      </c>
      <c r="G724">
        <v>6.5</v>
      </c>
      <c r="H724" t="s">
        <v>9</v>
      </c>
      <c r="L724" t="s">
        <v>1168</v>
      </c>
      <c r="M724" t="s">
        <v>10</v>
      </c>
      <c r="N724" t="s">
        <v>36</v>
      </c>
      <c r="O724" t="s">
        <v>3198</v>
      </c>
      <c r="P724" t="s">
        <v>2682</v>
      </c>
      <c r="Q724" t="s">
        <v>3199</v>
      </c>
      <c r="R724" t="s">
        <v>1581</v>
      </c>
      <c r="S724">
        <v>3554108.3698792802</v>
      </c>
      <c r="T724">
        <v>4</v>
      </c>
      <c r="U724" t="s">
        <v>1585</v>
      </c>
      <c r="W724" t="s">
        <v>1582</v>
      </c>
      <c r="X724" t="str">
        <f t="shared" si="11"/>
        <v>DC544051@TRAC Corp</v>
      </c>
      <c r="Y724" t="str">
        <f>_xlfn.IFNA(_xll.BDP(X724,"INTERVAL_SUM", "MARKET_DATA_OVERRIDE=px_volume", "CALC_INTERVAL=5D"), "")</f>
        <v>#N/A N/A</v>
      </c>
      <c r="Z724" t="str" cm="1">
        <f t="array" ref="Z724">_xll.BDP(B724, "CF_ACT_CASH_PAID_FOR_INT_DEBT")</f>
        <v>#N/A N/A</v>
      </c>
      <c r="AA724" t="str" cm="1">
        <f t="array" ref="AA724">_xll.BDP(B724, "TYPE_OF_BOND")</f>
        <v>#N/A Field Not Applicable</v>
      </c>
    </row>
    <row r="725" spans="1:27" x14ac:dyDescent="0.25">
      <c r="A725">
        <v>723</v>
      </c>
      <c r="B725" t="s">
        <v>1586</v>
      </c>
      <c r="C725" s="4" t="s">
        <v>1580</v>
      </c>
      <c r="D725" s="4">
        <v>95162000</v>
      </c>
      <c r="E725" s="1" t="s">
        <v>17</v>
      </c>
      <c r="F725" s="1">
        <v>47392</v>
      </c>
      <c r="G725">
        <v>6.5</v>
      </c>
      <c r="H725" t="s">
        <v>9</v>
      </c>
      <c r="L725" t="s">
        <v>1168</v>
      </c>
      <c r="M725" t="s">
        <v>10</v>
      </c>
      <c r="N725" t="s">
        <v>36</v>
      </c>
      <c r="O725" t="s">
        <v>3198</v>
      </c>
      <c r="P725" t="s">
        <v>2682</v>
      </c>
      <c r="Q725" t="s">
        <v>3199</v>
      </c>
      <c r="R725" t="s">
        <v>1587</v>
      </c>
      <c r="S725">
        <v>3601391.8015430202</v>
      </c>
      <c r="T725">
        <v>4</v>
      </c>
      <c r="U725" t="s">
        <v>1169</v>
      </c>
      <c r="W725" t="s">
        <v>1582</v>
      </c>
      <c r="X725" t="str">
        <f t="shared" si="11"/>
        <v>BR419362@TRAC Corp</v>
      </c>
      <c r="Y725" t="str">
        <f>_xlfn.IFNA(_xll.BDP(X725,"INTERVAL_SUM", "MARKET_DATA_OVERRIDE=px_volume", "CALC_INTERVAL=5D"), "")</f>
        <v>#N/A N/A</v>
      </c>
      <c r="Z725" t="str" cm="1">
        <f t="array" ref="Z725">_xll.BDP(B725, "CF_ACT_CASH_PAID_FOR_INT_DEBT")</f>
        <v>#N/A N/A</v>
      </c>
      <c r="AA725" t="str" cm="1">
        <f t="array" ref="AA725">_xll.BDP(B725, "TYPE_OF_BOND")</f>
        <v>#N/A Field Not Applicable</v>
      </c>
    </row>
    <row r="726" spans="1:27" x14ac:dyDescent="0.25">
      <c r="A726">
        <v>724</v>
      </c>
      <c r="B726" t="s">
        <v>1588</v>
      </c>
      <c r="C726" s="4" t="s">
        <v>1580</v>
      </c>
      <c r="D726" s="4">
        <v>1501737449.25</v>
      </c>
      <c r="E726" s="1" t="s">
        <v>80</v>
      </c>
      <c r="F726" s="1">
        <v>47032</v>
      </c>
      <c r="G726">
        <v>7.7938999999999998</v>
      </c>
      <c r="H726" t="s">
        <v>13</v>
      </c>
      <c r="I726" t="s">
        <v>2631</v>
      </c>
      <c r="J726">
        <v>400</v>
      </c>
      <c r="L726" t="s">
        <v>1168</v>
      </c>
      <c r="M726" t="s">
        <v>10</v>
      </c>
      <c r="N726" t="s">
        <v>36</v>
      </c>
      <c r="O726" t="s">
        <v>3198</v>
      </c>
      <c r="P726" t="s">
        <v>2682</v>
      </c>
      <c r="Q726" t="s">
        <v>3199</v>
      </c>
      <c r="R726" t="s">
        <v>1589</v>
      </c>
      <c r="S726">
        <v>5000000</v>
      </c>
      <c r="T726">
        <v>4</v>
      </c>
      <c r="V726" t="s">
        <v>227</v>
      </c>
      <c r="W726" t="s">
        <v>1582</v>
      </c>
      <c r="X726" t="str">
        <f t="shared" si="11"/>
        <v>BL491608@TRAC Corp</v>
      </c>
      <c r="Y726" t="str">
        <f>_xlfn.IFNA(_xll.BDP(X726,"INTERVAL_SUM", "MARKET_DATA_OVERRIDE=px_volume", "CALC_INTERVAL=5D"), "")</f>
        <v>#N/A N/A</v>
      </c>
      <c r="Z726" t="str" cm="1">
        <f t="array" ref="Z726">_xll.BDP(B726, "CF_ACT_CASH_PAID_FOR_INT_DEBT")</f>
        <v>#N/A N/A</v>
      </c>
      <c r="AA726" t="str" cm="1">
        <f t="array" ref="AA726">_xll.BDP(B726, "TYPE_OF_BOND")</f>
        <v>#N/A Field Not Applicable</v>
      </c>
    </row>
    <row r="727" spans="1:27" x14ac:dyDescent="0.25">
      <c r="A727">
        <v>725</v>
      </c>
      <c r="B727" t="s">
        <v>1590</v>
      </c>
      <c r="C727" s="4" t="s">
        <v>1580</v>
      </c>
      <c r="D727" s="4">
        <v>150000000</v>
      </c>
      <c r="E727" s="1" t="s">
        <v>80</v>
      </c>
      <c r="F727" s="1">
        <v>47471</v>
      </c>
      <c r="G727">
        <v>8.1795000000000009</v>
      </c>
      <c r="H727" t="s">
        <v>13</v>
      </c>
      <c r="I727" t="s">
        <v>2631</v>
      </c>
      <c r="J727">
        <v>450</v>
      </c>
      <c r="L727" t="s">
        <v>1168</v>
      </c>
      <c r="M727" t="s">
        <v>10</v>
      </c>
      <c r="N727" t="s">
        <v>36</v>
      </c>
      <c r="O727" t="s">
        <v>3198</v>
      </c>
      <c r="P727" t="s">
        <v>2682</v>
      </c>
      <c r="Q727" t="s">
        <v>3199</v>
      </c>
      <c r="R727" t="s">
        <v>1591</v>
      </c>
      <c r="S727">
        <v>5000000</v>
      </c>
      <c r="T727">
        <v>14</v>
      </c>
      <c r="V727" t="s">
        <v>227</v>
      </c>
      <c r="W727" t="s">
        <v>1582</v>
      </c>
      <c r="X727" t="str">
        <f t="shared" si="11"/>
        <v>BL491593@TRAC Corp</v>
      </c>
      <c r="Y727" t="str">
        <f>_xlfn.IFNA(_xll.BDP(X727,"INTERVAL_SUM", "MARKET_DATA_OVERRIDE=px_volume", "CALC_INTERVAL=5D"), "")</f>
        <v>#N/A N/A</v>
      </c>
      <c r="Z727" t="str" cm="1">
        <f t="array" ref="Z727">_xll.BDP(B727, "CF_ACT_CASH_PAID_FOR_INT_DEBT")</f>
        <v>#N/A N/A</v>
      </c>
      <c r="AA727" t="str" cm="1">
        <f t="array" ref="AA727">_xll.BDP(B727, "TYPE_OF_BOND")</f>
        <v>#N/A Field Not Applicable</v>
      </c>
    </row>
    <row r="728" spans="1:27" x14ac:dyDescent="0.25">
      <c r="A728">
        <v>726</v>
      </c>
      <c r="B728" t="s">
        <v>1592</v>
      </c>
      <c r="C728" s="4" t="s">
        <v>1580</v>
      </c>
      <c r="D728" s="4">
        <v>3160625</v>
      </c>
      <c r="E728" s="1" t="s">
        <v>11</v>
      </c>
      <c r="F728" s="1">
        <v>47032</v>
      </c>
      <c r="G728">
        <v>7.7785000000000002</v>
      </c>
      <c r="H728" t="s">
        <v>13</v>
      </c>
      <c r="I728" t="s">
        <v>2631</v>
      </c>
      <c r="J728">
        <v>400</v>
      </c>
      <c r="L728" t="s">
        <v>1168</v>
      </c>
      <c r="M728" t="s">
        <v>10</v>
      </c>
      <c r="N728" t="s">
        <v>36</v>
      </c>
      <c r="O728" t="s">
        <v>3198</v>
      </c>
      <c r="P728" t="s">
        <v>2682</v>
      </c>
      <c r="Q728" t="s">
        <v>3199</v>
      </c>
      <c r="R728" t="s">
        <v>1593</v>
      </c>
      <c r="V728" t="s">
        <v>227</v>
      </c>
      <c r="W728" t="s">
        <v>1582</v>
      </c>
      <c r="X728" t="str">
        <f t="shared" si="11"/>
        <v>BL370562@TRAC Corp</v>
      </c>
      <c r="Y728" t="str">
        <f>_xlfn.IFNA(_xll.BDP(X728,"INTERVAL_SUM", "MARKET_DATA_OVERRIDE=px_volume", "CALC_INTERVAL=5D"), "")</f>
        <v>#N/A N/A</v>
      </c>
      <c r="Z728" t="str" cm="1">
        <f t="array" ref="Z728">_xll.BDP(B728, "CF_ACT_CASH_PAID_FOR_INT_DEBT")</f>
        <v>#N/A N/A</v>
      </c>
      <c r="AA728" t="str" cm="1">
        <f t="array" ref="AA728">_xll.BDP(B728, "TYPE_OF_BOND")</f>
        <v>#N/A Field Not Applicable</v>
      </c>
    </row>
    <row r="729" spans="1:27" x14ac:dyDescent="0.25">
      <c r="A729">
        <v>727</v>
      </c>
      <c r="B729" t="s">
        <v>3460</v>
      </c>
      <c r="C729" s="4" t="s">
        <v>3461</v>
      </c>
      <c r="D729" s="4">
        <v>1175000000</v>
      </c>
      <c r="E729" s="1" t="s">
        <v>11</v>
      </c>
      <c r="F729" s="1">
        <v>48544</v>
      </c>
      <c r="H729" t="s">
        <v>13</v>
      </c>
      <c r="L729" t="s">
        <v>1168</v>
      </c>
      <c r="M729" t="s">
        <v>10</v>
      </c>
      <c r="N729" t="s">
        <v>15</v>
      </c>
      <c r="O729" t="s">
        <v>3110</v>
      </c>
      <c r="P729" t="s">
        <v>2637</v>
      </c>
      <c r="Q729" t="s">
        <v>3462</v>
      </c>
      <c r="R729" t="s">
        <v>3463</v>
      </c>
      <c r="V729" t="s">
        <v>227</v>
      </c>
      <c r="W729" t="s">
        <v>3464</v>
      </c>
      <c r="X729" t="str">
        <f t="shared" si="11"/>
        <v>BL525739@TRAC Corp</v>
      </c>
      <c r="Y729" t="str">
        <f>_xlfn.IFNA(_xll.BDP(X729,"INTERVAL_SUM", "MARKET_DATA_OVERRIDE=px_volume", "CALC_INTERVAL=5D"), "")</f>
        <v>#N/A N/A</v>
      </c>
      <c r="Z729" t="str" cm="1">
        <f t="array" ref="Z729">_xll.BDP(B729, "CF_ACT_CASH_PAID_FOR_INT_DEBT")</f>
        <v>#N/A N/A</v>
      </c>
      <c r="AA729" t="str" cm="1">
        <f t="array" ref="AA729">_xll.BDP(B729, "TYPE_OF_BOND")</f>
        <v>#N/A Field Not Applicable</v>
      </c>
    </row>
    <row r="730" spans="1:27" x14ac:dyDescent="0.25">
      <c r="A730">
        <v>728</v>
      </c>
      <c r="B730" t="s">
        <v>3465</v>
      </c>
      <c r="C730" s="4" t="s">
        <v>3461</v>
      </c>
      <c r="D730" s="4">
        <v>1500000000</v>
      </c>
      <c r="E730" s="1" t="s">
        <v>11</v>
      </c>
      <c r="F730" s="1">
        <v>48544</v>
      </c>
      <c r="G730">
        <v>7.6795</v>
      </c>
      <c r="H730" t="s">
        <v>13</v>
      </c>
      <c r="I730" t="s">
        <v>2631</v>
      </c>
      <c r="J730">
        <v>400</v>
      </c>
      <c r="L730" t="s">
        <v>1168</v>
      </c>
      <c r="M730" t="s">
        <v>10</v>
      </c>
      <c r="N730" t="s">
        <v>15</v>
      </c>
      <c r="O730" t="s">
        <v>3110</v>
      </c>
      <c r="P730" t="s">
        <v>2637</v>
      </c>
      <c r="Q730" t="s">
        <v>3462</v>
      </c>
      <c r="R730" t="s">
        <v>3463</v>
      </c>
      <c r="S730">
        <v>3741631.8817473599</v>
      </c>
      <c r="T730">
        <v>4</v>
      </c>
      <c r="V730" t="s">
        <v>227</v>
      </c>
      <c r="W730" t="s">
        <v>3464</v>
      </c>
      <c r="X730" t="str">
        <f t="shared" si="11"/>
        <v>BL525400@TRAC Corp</v>
      </c>
      <c r="Y730" t="str">
        <f>_xlfn.IFNA(_xll.BDP(X730,"INTERVAL_SUM", "MARKET_DATA_OVERRIDE=px_volume", "CALC_INTERVAL=5D"), "")</f>
        <v>#N/A N/A</v>
      </c>
      <c r="Z730" t="str" cm="1">
        <f t="array" ref="Z730">_xll.BDP(B730, "CF_ACT_CASH_PAID_FOR_INT_DEBT")</f>
        <v>#N/A N/A</v>
      </c>
      <c r="AA730" t="str" cm="1">
        <f t="array" ref="AA730">_xll.BDP(B730, "TYPE_OF_BOND")</f>
        <v>#N/A Field Not Applicable</v>
      </c>
    </row>
    <row r="731" spans="1:27" x14ac:dyDescent="0.25">
      <c r="A731">
        <v>729</v>
      </c>
      <c r="B731" t="s">
        <v>1594</v>
      </c>
      <c r="C731" s="4" t="s">
        <v>1595</v>
      </c>
      <c r="D731" s="4">
        <v>675000000</v>
      </c>
      <c r="E731" s="1" t="s">
        <v>12</v>
      </c>
      <c r="F731" s="1">
        <v>48122</v>
      </c>
      <c r="G731">
        <v>9.75</v>
      </c>
      <c r="H731" t="s">
        <v>9</v>
      </c>
      <c r="L731" t="s">
        <v>1168</v>
      </c>
      <c r="M731" t="s">
        <v>10</v>
      </c>
      <c r="N731" t="s">
        <v>14</v>
      </c>
      <c r="O731" t="s">
        <v>3120</v>
      </c>
      <c r="P731" t="s">
        <v>2641</v>
      </c>
      <c r="Q731" t="s">
        <v>3252</v>
      </c>
      <c r="R731" t="s">
        <v>1596</v>
      </c>
      <c r="S731">
        <v>2015322.3190405001</v>
      </c>
      <c r="T731">
        <v>26</v>
      </c>
      <c r="U731" t="s">
        <v>1169</v>
      </c>
      <c r="W731" t="s">
        <v>1597</v>
      </c>
      <c r="X731" t="str">
        <f t="shared" si="11"/>
        <v>YV712122@TRAC Corp</v>
      </c>
      <c r="Y731">
        <f>_xlfn.IFNA(_xll.BDP(X731,"INTERVAL_SUM", "MARKET_DATA_OVERRIDE=px_volume", "CALC_INTERVAL=5D"), "")</f>
        <v>4118</v>
      </c>
      <c r="Z731" t="str" cm="1">
        <f t="array" ref="Z731">_xll.BDP(B731, "CF_ACT_CASH_PAID_FOR_INT_DEBT")</f>
        <v>#N/A N/A</v>
      </c>
      <c r="AA731" t="str" cm="1">
        <f t="array" ref="AA731">_xll.BDP(B731, "TYPE_OF_BOND")</f>
        <v>#N/A Field Not Applicable</v>
      </c>
    </row>
    <row r="732" spans="1:27" x14ac:dyDescent="0.25">
      <c r="A732">
        <v>730</v>
      </c>
      <c r="B732" t="s">
        <v>1598</v>
      </c>
      <c r="C732" s="4" t="s">
        <v>1595</v>
      </c>
      <c r="D732" s="4">
        <v>825000000</v>
      </c>
      <c r="E732" s="1" t="s">
        <v>11</v>
      </c>
      <c r="F732" s="1">
        <v>48115</v>
      </c>
      <c r="G732">
        <v>8.6795000000000009</v>
      </c>
      <c r="H732" t="s">
        <v>13</v>
      </c>
      <c r="I732" t="s">
        <v>2631</v>
      </c>
      <c r="J732">
        <v>500</v>
      </c>
      <c r="L732" t="s">
        <v>1168</v>
      </c>
      <c r="M732" t="s">
        <v>10</v>
      </c>
      <c r="N732" t="s">
        <v>14</v>
      </c>
      <c r="O732" t="s">
        <v>3120</v>
      </c>
      <c r="P732" t="s">
        <v>2641</v>
      </c>
      <c r="Q732" t="s">
        <v>3252</v>
      </c>
      <c r="R732" t="s">
        <v>1599</v>
      </c>
      <c r="S732">
        <v>3000000</v>
      </c>
      <c r="T732">
        <v>14</v>
      </c>
      <c r="V732" t="s">
        <v>227</v>
      </c>
      <c r="W732" t="s">
        <v>1597</v>
      </c>
      <c r="X732" t="str">
        <f t="shared" si="11"/>
        <v>BL475693@TRAC Corp</v>
      </c>
      <c r="Y732" t="str">
        <f>_xlfn.IFNA(_xll.BDP(X732,"INTERVAL_SUM", "MARKET_DATA_OVERRIDE=px_volume", "CALC_INTERVAL=5D"), "")</f>
        <v>#N/A N/A</v>
      </c>
      <c r="Z732" t="str" cm="1">
        <f t="array" ref="Z732">_xll.BDP(B732, "CF_ACT_CASH_PAID_FOR_INT_DEBT")</f>
        <v>#N/A N/A</v>
      </c>
      <c r="AA732" t="str" cm="1">
        <f t="array" ref="AA732">_xll.BDP(B732, "TYPE_OF_BOND")</f>
        <v>#N/A Field Not Applicable</v>
      </c>
    </row>
    <row r="733" spans="1:27" x14ac:dyDescent="0.25">
      <c r="A733">
        <v>731</v>
      </c>
      <c r="B733" t="s">
        <v>3466</v>
      </c>
      <c r="C733" s="4" t="s">
        <v>3467</v>
      </c>
      <c r="D733" s="4">
        <v>56909722.350000001</v>
      </c>
      <c r="E733" t="s">
        <v>80</v>
      </c>
      <c r="F733" s="1">
        <v>47816</v>
      </c>
      <c r="H733" t="s">
        <v>13</v>
      </c>
      <c r="L733" t="s">
        <v>1168</v>
      </c>
      <c r="M733" t="s">
        <v>10</v>
      </c>
      <c r="N733" t="s">
        <v>14</v>
      </c>
      <c r="O733" t="s">
        <v>3120</v>
      </c>
      <c r="P733" t="s">
        <v>2641</v>
      </c>
      <c r="Q733" t="s">
        <v>3235</v>
      </c>
      <c r="R733" t="s">
        <v>3468</v>
      </c>
      <c r="V733" t="s">
        <v>256</v>
      </c>
      <c r="W733" t="s">
        <v>1600</v>
      </c>
      <c r="X733" t="str">
        <f t="shared" si="11"/>
        <v>BL466505@TRAC Corp</v>
      </c>
      <c r="Y733" t="str">
        <f>_xlfn.IFNA(_xll.BDP(X733,"INTERVAL_SUM", "MARKET_DATA_OVERRIDE=px_volume", "CALC_INTERVAL=5D"), "")</f>
        <v>#N/A N/A</v>
      </c>
      <c r="Z733" t="str" cm="1">
        <f t="array" ref="Z733">_xll.BDP(B733, "CF_ACT_CASH_PAID_FOR_INT_DEBT")</f>
        <v>#N/A N/A</v>
      </c>
      <c r="AA733" t="str" cm="1">
        <f t="array" ref="AA733">_xll.BDP(B733, "TYPE_OF_BOND")</f>
        <v>#N/A Field Not Applicable</v>
      </c>
    </row>
    <row r="734" spans="1:27" x14ac:dyDescent="0.25">
      <c r="A734">
        <v>732</v>
      </c>
      <c r="B734" t="s">
        <v>3469</v>
      </c>
      <c r="C734" s="4" t="s">
        <v>3467</v>
      </c>
      <c r="D734" s="4">
        <v>26000000</v>
      </c>
      <c r="E734" t="s">
        <v>80</v>
      </c>
      <c r="F734" s="1">
        <v>47087</v>
      </c>
      <c r="H734" t="s">
        <v>13</v>
      </c>
      <c r="I734" t="s">
        <v>2635</v>
      </c>
      <c r="L734" t="s">
        <v>1168</v>
      </c>
      <c r="M734" t="s">
        <v>10</v>
      </c>
      <c r="N734" t="s">
        <v>14</v>
      </c>
      <c r="O734" t="s">
        <v>3120</v>
      </c>
      <c r="P734" t="s">
        <v>2641</v>
      </c>
      <c r="Q734" t="s">
        <v>3235</v>
      </c>
      <c r="R734" t="s">
        <v>3470</v>
      </c>
      <c r="V734" t="s">
        <v>256</v>
      </c>
      <c r="W734" t="s">
        <v>1600</v>
      </c>
      <c r="X734" t="str">
        <f t="shared" si="11"/>
        <v>BL466503@TRAC Corp</v>
      </c>
      <c r="Y734" t="str">
        <f>_xlfn.IFNA(_xll.BDP(X734,"INTERVAL_SUM", "MARKET_DATA_OVERRIDE=px_volume", "CALC_INTERVAL=5D"), "")</f>
        <v>#N/A N/A</v>
      </c>
      <c r="Z734" t="str" cm="1">
        <f t="array" ref="Z734">_xll.BDP(B734, "CF_ACT_CASH_PAID_FOR_INT_DEBT")</f>
        <v>#N/A N/A</v>
      </c>
      <c r="AA734" t="str" cm="1">
        <f t="array" ref="AA734">_xll.BDP(B734, "TYPE_OF_BOND")</f>
        <v>#N/A Field Not Applicable</v>
      </c>
    </row>
    <row r="735" spans="1:27" x14ac:dyDescent="0.25">
      <c r="A735">
        <v>733</v>
      </c>
      <c r="B735" t="s">
        <v>3471</v>
      </c>
      <c r="C735" s="4" t="s">
        <v>3467</v>
      </c>
      <c r="D735" s="4">
        <v>1495290808.23</v>
      </c>
      <c r="E735" t="s">
        <v>80</v>
      </c>
      <c r="F735" s="1">
        <v>47087</v>
      </c>
      <c r="G735">
        <v>5.0110999999999999</v>
      </c>
      <c r="H735" t="s">
        <v>13</v>
      </c>
      <c r="I735" t="s">
        <v>2635</v>
      </c>
      <c r="J735">
        <v>100</v>
      </c>
      <c r="L735" t="s">
        <v>1168</v>
      </c>
      <c r="M735" t="s">
        <v>10</v>
      </c>
      <c r="N735" t="s">
        <v>14</v>
      </c>
      <c r="O735" t="s">
        <v>3120</v>
      </c>
      <c r="P735" t="s">
        <v>2641</v>
      </c>
      <c r="Q735" t="s">
        <v>3235</v>
      </c>
      <c r="R735" t="s">
        <v>3472</v>
      </c>
      <c r="S735">
        <v>5000000</v>
      </c>
      <c r="T735">
        <v>3</v>
      </c>
      <c r="V735" t="s">
        <v>256</v>
      </c>
      <c r="W735" t="s">
        <v>1600</v>
      </c>
      <c r="X735" t="str">
        <f t="shared" si="11"/>
        <v>BL466502@TRAC Corp</v>
      </c>
      <c r="Y735" t="str">
        <f>_xlfn.IFNA(_xll.BDP(X735,"INTERVAL_SUM", "MARKET_DATA_OVERRIDE=px_volume", "CALC_INTERVAL=5D"), "")</f>
        <v>#N/A N/A</v>
      </c>
      <c r="Z735" t="str" cm="1">
        <f t="array" ref="Z735">_xll.BDP(B735, "CF_ACT_CASH_PAID_FOR_INT_DEBT")</f>
        <v>#N/A N/A</v>
      </c>
      <c r="AA735" t="str" cm="1">
        <f t="array" ref="AA735">_xll.BDP(B735, "TYPE_OF_BOND")</f>
        <v>#N/A Field Not Applicable</v>
      </c>
    </row>
    <row r="736" spans="1:27" x14ac:dyDescent="0.25">
      <c r="A736">
        <v>734</v>
      </c>
      <c r="B736" t="s">
        <v>3473</v>
      </c>
      <c r="C736" s="4" t="s">
        <v>3467</v>
      </c>
      <c r="D736" s="4">
        <v>286000000</v>
      </c>
      <c r="E736" t="s">
        <v>80</v>
      </c>
      <c r="F736" s="1">
        <v>46996</v>
      </c>
      <c r="G736">
        <v>9.4994999999999994</v>
      </c>
      <c r="H736" t="s">
        <v>13</v>
      </c>
      <c r="I736" t="s">
        <v>2635</v>
      </c>
      <c r="J736">
        <v>575</v>
      </c>
      <c r="L736" t="s">
        <v>1168</v>
      </c>
      <c r="M736" t="s">
        <v>10</v>
      </c>
      <c r="N736" t="s">
        <v>14</v>
      </c>
      <c r="O736" t="s">
        <v>3120</v>
      </c>
      <c r="P736" t="s">
        <v>2641</v>
      </c>
      <c r="Q736" t="s">
        <v>3235</v>
      </c>
      <c r="R736" t="s">
        <v>3474</v>
      </c>
      <c r="S736">
        <v>10000000</v>
      </c>
      <c r="T736">
        <v>22</v>
      </c>
      <c r="V736" t="s">
        <v>227</v>
      </c>
      <c r="W736" t="s">
        <v>1600</v>
      </c>
      <c r="X736" t="str">
        <f t="shared" si="11"/>
        <v>BL465008@TRAC Corp</v>
      </c>
      <c r="Y736" t="str">
        <f>_xlfn.IFNA(_xll.BDP(X736,"INTERVAL_SUM", "MARKET_DATA_OVERRIDE=px_volume", "CALC_INTERVAL=5D"), "")</f>
        <v>#N/A N/A</v>
      </c>
      <c r="Z736" t="str" cm="1">
        <f t="array" ref="Z736">_xll.BDP(B736, "CF_ACT_CASH_PAID_FOR_INT_DEBT")</f>
        <v>#N/A N/A</v>
      </c>
      <c r="AA736" t="str" cm="1">
        <f t="array" ref="AA736">_xll.BDP(B736, "TYPE_OF_BOND")</f>
        <v>#N/A Field Not Applicable</v>
      </c>
    </row>
    <row r="737" spans="1:27" x14ac:dyDescent="0.25">
      <c r="A737">
        <v>735</v>
      </c>
      <c r="B737" t="s">
        <v>3475</v>
      </c>
      <c r="C737" s="4" t="s">
        <v>3467</v>
      </c>
      <c r="D737" s="4">
        <v>240625000</v>
      </c>
      <c r="E737" t="s">
        <v>11</v>
      </c>
      <c r="F737" s="1">
        <v>47072</v>
      </c>
      <c r="G737">
        <v>8.4137000000000004</v>
      </c>
      <c r="H737" t="s">
        <v>13</v>
      </c>
      <c r="I737" t="s">
        <v>2635</v>
      </c>
      <c r="J737">
        <v>450</v>
      </c>
      <c r="L737" t="s">
        <v>1168</v>
      </c>
      <c r="M737" t="s">
        <v>10</v>
      </c>
      <c r="N737" t="s">
        <v>14</v>
      </c>
      <c r="O737" t="s">
        <v>3120</v>
      </c>
      <c r="P737" t="s">
        <v>2641</v>
      </c>
      <c r="Q737" t="s">
        <v>3235</v>
      </c>
      <c r="R737" t="s">
        <v>3476</v>
      </c>
      <c r="S737">
        <v>3047909.1863641399</v>
      </c>
      <c r="T737">
        <v>3</v>
      </c>
      <c r="V737" t="s">
        <v>227</v>
      </c>
      <c r="W737" t="s">
        <v>1600</v>
      </c>
      <c r="X737" t="str">
        <f t="shared" si="11"/>
        <v>BL398682@TRAC Corp</v>
      </c>
      <c r="Y737" t="str">
        <f>_xlfn.IFNA(_xll.BDP(X737,"INTERVAL_SUM", "MARKET_DATA_OVERRIDE=px_volume", "CALC_INTERVAL=5D"), "")</f>
        <v>#N/A N/A</v>
      </c>
      <c r="Z737" t="str" cm="1">
        <f t="array" ref="Z737">_xll.BDP(B737, "CF_ACT_CASH_PAID_FOR_INT_DEBT")</f>
        <v>#N/A N/A</v>
      </c>
      <c r="AA737" t="str" cm="1">
        <f t="array" ref="AA737">_xll.BDP(B737, "TYPE_OF_BOND")</f>
        <v>#N/A Field Not Applicable</v>
      </c>
    </row>
    <row r="738" spans="1:27" x14ac:dyDescent="0.25">
      <c r="A738">
        <v>736</v>
      </c>
      <c r="B738" t="s">
        <v>3477</v>
      </c>
      <c r="C738" s="4" t="s">
        <v>3467</v>
      </c>
      <c r="D738" s="4">
        <v>300000000</v>
      </c>
      <c r="E738" t="s">
        <v>33</v>
      </c>
      <c r="F738" s="1">
        <v>47437</v>
      </c>
      <c r="G738">
        <v>10.4011</v>
      </c>
      <c r="H738" t="s">
        <v>13</v>
      </c>
      <c r="I738" t="s">
        <v>2635</v>
      </c>
      <c r="J738">
        <v>675</v>
      </c>
      <c r="L738" t="s">
        <v>1168</v>
      </c>
      <c r="M738" t="s">
        <v>10</v>
      </c>
      <c r="N738" t="s">
        <v>14</v>
      </c>
      <c r="O738" t="s">
        <v>3120</v>
      </c>
      <c r="P738" t="s">
        <v>2641</v>
      </c>
      <c r="Q738" t="s">
        <v>3235</v>
      </c>
      <c r="R738" t="s">
        <v>3478</v>
      </c>
      <c r="S738">
        <v>3132005.01461735</v>
      </c>
      <c r="T738">
        <v>2</v>
      </c>
      <c r="V738" t="s">
        <v>227</v>
      </c>
      <c r="W738" t="s">
        <v>1600</v>
      </c>
      <c r="X738" t="str">
        <f t="shared" si="11"/>
        <v>BL375199@TRAC Corp</v>
      </c>
      <c r="Y738" t="str">
        <f>_xlfn.IFNA(_xll.BDP(X738,"INTERVAL_SUM", "MARKET_DATA_OVERRIDE=px_volume", "CALC_INTERVAL=5D"), "")</f>
        <v>#N/A N/A</v>
      </c>
      <c r="Z738" t="str" cm="1">
        <f t="array" ref="Z738">_xll.BDP(B738, "CF_ACT_CASH_PAID_FOR_INT_DEBT")</f>
        <v>#N/A N/A</v>
      </c>
      <c r="AA738" t="str" cm="1">
        <f t="array" ref="AA738">_xll.BDP(B738, "TYPE_OF_BOND")</f>
        <v>#N/A Field Not Applicable</v>
      </c>
    </row>
    <row r="739" spans="1:27" x14ac:dyDescent="0.25">
      <c r="A739">
        <v>737</v>
      </c>
      <c r="B739" t="s">
        <v>3479</v>
      </c>
      <c r="C739" s="4" t="s">
        <v>3467</v>
      </c>
      <c r="D739" s="4">
        <v>550000000</v>
      </c>
      <c r="E739" t="s">
        <v>11</v>
      </c>
      <c r="F739" s="1">
        <v>47072</v>
      </c>
      <c r="G739">
        <v>7.5144000000000002</v>
      </c>
      <c r="H739" t="s">
        <v>13</v>
      </c>
      <c r="I739" t="s">
        <v>2635</v>
      </c>
      <c r="J739">
        <v>375</v>
      </c>
      <c r="L739" t="s">
        <v>1168</v>
      </c>
      <c r="M739" t="s">
        <v>10</v>
      </c>
      <c r="N739" t="s">
        <v>14</v>
      </c>
      <c r="O739" t="s">
        <v>3120</v>
      </c>
      <c r="P739" t="s">
        <v>2641</v>
      </c>
      <c r="Q739" t="s">
        <v>3235</v>
      </c>
      <c r="R739" t="s">
        <v>3476</v>
      </c>
      <c r="V739" t="s">
        <v>227</v>
      </c>
      <c r="W739" t="s">
        <v>1600</v>
      </c>
      <c r="X739" t="str">
        <f t="shared" si="11"/>
        <v>BL375150@TRAC Corp</v>
      </c>
      <c r="Y739" t="str">
        <f>_xlfn.IFNA(_xll.BDP(X739,"INTERVAL_SUM", "MARKET_DATA_OVERRIDE=px_volume", "CALC_INTERVAL=5D"), "")</f>
        <v>#N/A N/A</v>
      </c>
      <c r="Z739" t="str" cm="1">
        <f t="array" ref="Z739">_xll.BDP(B739, "CF_ACT_CASH_PAID_FOR_INT_DEBT")</f>
        <v>#N/A N/A</v>
      </c>
      <c r="AA739" t="str" cm="1">
        <f t="array" ref="AA739">_xll.BDP(B739, "TYPE_OF_BOND")</f>
        <v>#N/A Field Not Applicable</v>
      </c>
    </row>
    <row r="740" spans="1:27" x14ac:dyDescent="0.25">
      <c r="A740">
        <v>738</v>
      </c>
      <c r="B740" t="s">
        <v>3480</v>
      </c>
      <c r="C740" s="4" t="s">
        <v>3467</v>
      </c>
      <c r="D740" s="4">
        <v>925000000</v>
      </c>
      <c r="E740" t="s">
        <v>11</v>
      </c>
      <c r="F740" s="1">
        <v>46436</v>
      </c>
      <c r="G740">
        <v>7.5176999999999996</v>
      </c>
      <c r="H740" t="s">
        <v>13</v>
      </c>
      <c r="I740" t="s">
        <v>2635</v>
      </c>
      <c r="J740">
        <v>375</v>
      </c>
      <c r="L740" t="s">
        <v>1168</v>
      </c>
      <c r="M740" t="s">
        <v>10</v>
      </c>
      <c r="N740" t="s">
        <v>14</v>
      </c>
      <c r="O740" t="s">
        <v>3120</v>
      </c>
      <c r="P740" t="s">
        <v>2641</v>
      </c>
      <c r="Q740" t="s">
        <v>3235</v>
      </c>
      <c r="R740" t="s">
        <v>3476</v>
      </c>
      <c r="V740" t="s">
        <v>227</v>
      </c>
      <c r="W740" t="s">
        <v>1600</v>
      </c>
      <c r="X740" t="str">
        <f t="shared" si="11"/>
        <v>BL329014@TRAC Corp</v>
      </c>
      <c r="Y740" t="str">
        <f>_xlfn.IFNA(_xll.BDP(X740,"INTERVAL_SUM", "MARKET_DATA_OVERRIDE=px_volume", "CALC_INTERVAL=5D"), "")</f>
        <v>#N/A N/A</v>
      </c>
      <c r="Z740" t="str" cm="1">
        <f t="array" ref="Z740">_xll.BDP(B740, "CF_ACT_CASH_PAID_FOR_INT_DEBT")</f>
        <v>#N/A N/A</v>
      </c>
      <c r="AA740" t="str" cm="1">
        <f t="array" ref="AA740">_xll.BDP(B740, "TYPE_OF_BOND")</f>
        <v>#N/A Field Not Applicable</v>
      </c>
    </row>
    <row r="741" spans="1:27" x14ac:dyDescent="0.25">
      <c r="A741">
        <v>739</v>
      </c>
      <c r="B741" t="s">
        <v>1601</v>
      </c>
      <c r="C741" s="4" t="s">
        <v>1602</v>
      </c>
      <c r="D741" s="4">
        <v>510000000</v>
      </c>
      <c r="E741" t="s">
        <v>12</v>
      </c>
      <c r="F741" s="1">
        <v>47406</v>
      </c>
      <c r="G741">
        <v>7.75</v>
      </c>
      <c r="H741" t="s">
        <v>9</v>
      </c>
      <c r="L741" t="s">
        <v>1168</v>
      </c>
      <c r="M741" t="s">
        <v>10</v>
      </c>
      <c r="N741" t="s">
        <v>36</v>
      </c>
      <c r="O741" t="s">
        <v>3118</v>
      </c>
      <c r="P741" t="s">
        <v>2640</v>
      </c>
      <c r="Q741" t="s">
        <v>3126</v>
      </c>
      <c r="R741" t="s">
        <v>1603</v>
      </c>
      <c r="S741">
        <v>8083350.5831087502</v>
      </c>
      <c r="T741">
        <v>37</v>
      </c>
      <c r="U741" t="s">
        <v>1169</v>
      </c>
      <c r="W741" t="s">
        <v>1604</v>
      </c>
      <c r="X741" t="str">
        <f t="shared" si="11"/>
        <v>YU350767@TRAC Corp</v>
      </c>
      <c r="Y741">
        <f>_xlfn.IFNA(_xll.BDP(X741,"INTERVAL_SUM", "MARKET_DATA_OVERRIDE=px_volume", "CALC_INTERVAL=5D"), "")</f>
        <v>20879</v>
      </c>
      <c r="Z741" t="str" cm="1">
        <f t="array" ref="Z741">_xll.BDP(B741, "CF_ACT_CASH_PAID_FOR_INT_DEBT")</f>
        <v>#N/A N/A</v>
      </c>
      <c r="AA741" t="str" cm="1">
        <f t="array" ref="AA741">_xll.BDP(B741, "TYPE_OF_BOND")</f>
        <v>#N/A Field Not Applicable</v>
      </c>
    </row>
    <row r="742" spans="1:27" x14ac:dyDescent="0.25">
      <c r="A742">
        <v>740</v>
      </c>
      <c r="B742" t="s">
        <v>1605</v>
      </c>
      <c r="C742" s="4" t="s">
        <v>1602</v>
      </c>
      <c r="D742" s="4">
        <v>977237500</v>
      </c>
      <c r="E742" s="1" t="s">
        <v>11</v>
      </c>
      <c r="F742" s="1">
        <v>47042</v>
      </c>
      <c r="G742">
        <v>7.5263999999999998</v>
      </c>
      <c r="H742" t="s">
        <v>13</v>
      </c>
      <c r="I742" t="s">
        <v>2631</v>
      </c>
      <c r="J742">
        <v>375</v>
      </c>
      <c r="L742" t="s">
        <v>1168</v>
      </c>
      <c r="M742" t="s">
        <v>10</v>
      </c>
      <c r="N742" t="s">
        <v>36</v>
      </c>
      <c r="O742" t="s">
        <v>3118</v>
      </c>
      <c r="P742" t="s">
        <v>2640</v>
      </c>
      <c r="Q742" t="s">
        <v>3126</v>
      </c>
      <c r="R742" t="s">
        <v>1606</v>
      </c>
      <c r="S742">
        <v>2000000</v>
      </c>
      <c r="T742">
        <v>17</v>
      </c>
      <c r="V742" t="s">
        <v>227</v>
      </c>
      <c r="W742" t="s">
        <v>1604</v>
      </c>
      <c r="X742" t="str">
        <f t="shared" si="11"/>
        <v>BL373009@TRAC Corp</v>
      </c>
      <c r="Y742" t="str">
        <f>_xlfn.IFNA(_xll.BDP(X742,"INTERVAL_SUM", "MARKET_DATA_OVERRIDE=px_volume", "CALC_INTERVAL=5D"), "")</f>
        <v>#N/A N/A</v>
      </c>
      <c r="Z742" t="str" cm="1">
        <f t="array" ref="Z742">_xll.BDP(B742, "CF_ACT_CASH_PAID_FOR_INT_DEBT")</f>
        <v>#N/A N/A</v>
      </c>
      <c r="AA742" t="str" cm="1">
        <f t="array" ref="AA742">_xll.BDP(B742, "TYPE_OF_BOND")</f>
        <v>#N/A Field Not Applicable</v>
      </c>
    </row>
    <row r="743" spans="1:27" x14ac:dyDescent="0.25">
      <c r="A743">
        <v>741</v>
      </c>
      <c r="B743" t="s">
        <v>1607</v>
      </c>
      <c r="C743" s="4" t="s">
        <v>1602</v>
      </c>
      <c r="D743" s="4">
        <v>56000000</v>
      </c>
      <c r="E743" s="1" t="s">
        <v>11</v>
      </c>
      <c r="F743" s="1">
        <v>47406</v>
      </c>
      <c r="G743">
        <v>4.9141000000000004</v>
      </c>
      <c r="H743" t="s">
        <v>13</v>
      </c>
      <c r="I743" t="s">
        <v>2631</v>
      </c>
      <c r="J743">
        <v>125</v>
      </c>
      <c r="L743" t="s">
        <v>1168</v>
      </c>
      <c r="M743" t="s">
        <v>10</v>
      </c>
      <c r="N743" t="s">
        <v>36</v>
      </c>
      <c r="O743" t="s">
        <v>3118</v>
      </c>
      <c r="P743" t="s">
        <v>2640</v>
      </c>
      <c r="Q743" t="s">
        <v>3126</v>
      </c>
      <c r="R743" t="s">
        <v>1608</v>
      </c>
      <c r="V743" t="s">
        <v>945</v>
      </c>
      <c r="W743" t="s">
        <v>1604</v>
      </c>
      <c r="X743" t="str">
        <f t="shared" si="11"/>
        <v>BL284340@TRAC Corp</v>
      </c>
      <c r="Y743" t="str">
        <f>_xlfn.IFNA(_xll.BDP(X743,"INTERVAL_SUM", "MARKET_DATA_OVERRIDE=px_volume", "CALC_INTERVAL=5D"), "")</f>
        <v>#N/A N/A</v>
      </c>
      <c r="Z743" t="str" cm="1">
        <f t="array" ref="Z743">_xll.BDP(B743, "CF_ACT_CASH_PAID_FOR_INT_DEBT")</f>
        <v>#N/A N/A</v>
      </c>
      <c r="AA743" t="str" cm="1">
        <f t="array" ref="AA743">_xll.BDP(B743, "TYPE_OF_BOND")</f>
        <v>#N/A Field Not Applicable</v>
      </c>
    </row>
    <row r="744" spans="1:27" x14ac:dyDescent="0.25">
      <c r="A744">
        <v>742</v>
      </c>
      <c r="B744" t="s">
        <v>3672</v>
      </c>
      <c r="C744" s="4" t="s">
        <v>1610</v>
      </c>
      <c r="D744" s="4">
        <v>130000000</v>
      </c>
      <c r="E744" s="1" t="s">
        <v>17</v>
      </c>
      <c r="F744" s="1">
        <v>47176</v>
      </c>
      <c r="G744">
        <v>6</v>
      </c>
      <c r="H744" t="s">
        <v>9</v>
      </c>
      <c r="L744" t="s">
        <v>1171</v>
      </c>
      <c r="M744" t="s">
        <v>3673</v>
      </c>
      <c r="N744" t="s">
        <v>36</v>
      </c>
      <c r="O744" t="s">
        <v>3200</v>
      </c>
      <c r="P744" t="s">
        <v>2668</v>
      </c>
      <c r="Q744" t="s">
        <v>3201</v>
      </c>
      <c r="R744" t="s">
        <v>3674</v>
      </c>
      <c r="S744">
        <v>3135207.0200968501</v>
      </c>
      <c r="T744">
        <v>30</v>
      </c>
      <c r="W744" t="s">
        <v>1612</v>
      </c>
      <c r="X744" t="str">
        <f t="shared" si="11"/>
        <v>ZD220711@TRAC Corp</v>
      </c>
      <c r="Y744" t="str">
        <f>_xlfn.IFNA(_xll.BDP(X744,"INTERVAL_SUM", "MARKET_DATA_OVERRIDE=px_volume", "CALC_INTERVAL=5D"), "")</f>
        <v>#N/A N/A</v>
      </c>
      <c r="Z744" cm="1">
        <f t="array" ref="Z744">_xll.BDP(B744, "CF_ACT_CASH_PAID_FOR_INT_DEBT")</f>
        <v>48.048999999999999</v>
      </c>
      <c r="AA744" t="str" cm="1">
        <f t="array" ref="AA744">_xll.BDP(B744, "TYPE_OF_BOND")</f>
        <v>#N/A Field Not Applicable</v>
      </c>
    </row>
    <row r="745" spans="1:27" x14ac:dyDescent="0.25">
      <c r="A745">
        <v>743</v>
      </c>
      <c r="B745" t="s">
        <v>1609</v>
      </c>
      <c r="C745" s="4" t="s">
        <v>1610</v>
      </c>
      <c r="D745" s="4">
        <v>300000000</v>
      </c>
      <c r="E745" s="1" t="s">
        <v>12</v>
      </c>
      <c r="F745" s="1">
        <v>48136</v>
      </c>
      <c r="G745">
        <v>6.7309999999999999</v>
      </c>
      <c r="H745" t="s">
        <v>13</v>
      </c>
      <c r="I745" t="s">
        <v>2636</v>
      </c>
      <c r="L745" t="s">
        <v>1171</v>
      </c>
      <c r="M745" t="s">
        <v>35</v>
      </c>
      <c r="N745" t="s">
        <v>36</v>
      </c>
      <c r="O745" t="s">
        <v>3200</v>
      </c>
      <c r="P745" t="s">
        <v>2668</v>
      </c>
      <c r="Q745" t="s">
        <v>3201</v>
      </c>
      <c r="R745" t="s">
        <v>1611</v>
      </c>
      <c r="S745">
        <v>29451799.2236096</v>
      </c>
      <c r="T745">
        <v>68</v>
      </c>
      <c r="U745" t="s">
        <v>1172</v>
      </c>
      <c r="W745" t="s">
        <v>1612</v>
      </c>
      <c r="X745" t="str">
        <f t="shared" si="11"/>
        <v>YK327556@TRAC Corp</v>
      </c>
      <c r="Y745" t="str">
        <f>_xlfn.IFNA(_xll.BDP(X745,"INTERVAL_SUM", "MARKET_DATA_OVERRIDE=px_volume", "CALC_INTERVAL=5D"), "")</f>
        <v>#N/A N/A</v>
      </c>
      <c r="Z745" cm="1">
        <f t="array" ref="Z745">_xll.BDP(B745, "CF_ACT_CASH_PAID_FOR_INT_DEBT")</f>
        <v>48.048999999999999</v>
      </c>
      <c r="AA745" t="str" cm="1">
        <f t="array" ref="AA745">_xll.BDP(B745, "TYPE_OF_BOND")</f>
        <v>#N/A Field Not Applicable</v>
      </c>
    </row>
    <row r="746" spans="1:27" x14ac:dyDescent="0.25">
      <c r="A746">
        <v>744</v>
      </c>
      <c r="B746" t="s">
        <v>1613</v>
      </c>
      <c r="C746" s="4" t="s">
        <v>1610</v>
      </c>
      <c r="D746" s="4">
        <v>600000000</v>
      </c>
      <c r="E746" s="1" t="s">
        <v>12</v>
      </c>
      <c r="F746" s="1">
        <v>48136</v>
      </c>
      <c r="G746">
        <v>6.75</v>
      </c>
      <c r="H746" t="s">
        <v>9</v>
      </c>
      <c r="L746" t="s">
        <v>1171</v>
      </c>
      <c r="M746" t="s">
        <v>35</v>
      </c>
      <c r="N746" t="s">
        <v>36</v>
      </c>
      <c r="O746" t="s">
        <v>3200</v>
      </c>
      <c r="P746" t="s">
        <v>2668</v>
      </c>
      <c r="Q746" t="s">
        <v>3201</v>
      </c>
      <c r="R746" t="s">
        <v>1614</v>
      </c>
      <c r="S746">
        <v>12784728.203996001</v>
      </c>
      <c r="T746">
        <v>55</v>
      </c>
      <c r="U746" t="s">
        <v>1172</v>
      </c>
      <c r="W746" t="s">
        <v>1612</v>
      </c>
      <c r="X746" t="str">
        <f t="shared" si="11"/>
        <v>YK327555@TRAC Corp</v>
      </c>
      <c r="Y746" t="str">
        <f>_xlfn.IFNA(_xll.BDP(X746,"INTERVAL_SUM", "MARKET_DATA_OVERRIDE=px_volume", "CALC_INTERVAL=5D"), "")</f>
        <v>#N/A N/A</v>
      </c>
      <c r="Z746" cm="1">
        <f t="array" ref="Z746">_xll.BDP(B746, "CF_ACT_CASH_PAID_FOR_INT_DEBT")</f>
        <v>48.048999999999999</v>
      </c>
      <c r="AA746" t="str" cm="1">
        <f t="array" ref="AA746">_xll.BDP(B746, "TYPE_OF_BOND")</f>
        <v>#N/A Field Not Applicable</v>
      </c>
    </row>
    <row r="747" spans="1:27" x14ac:dyDescent="0.25">
      <c r="A747">
        <v>745</v>
      </c>
      <c r="B747" t="s">
        <v>1615</v>
      </c>
      <c r="C747" s="4" t="s">
        <v>1610</v>
      </c>
      <c r="D747" s="4">
        <v>735000000</v>
      </c>
      <c r="E747" s="1" t="s">
        <v>17</v>
      </c>
      <c r="F747" s="1">
        <v>48092</v>
      </c>
      <c r="G747">
        <v>5.875</v>
      </c>
      <c r="H747" t="s">
        <v>9</v>
      </c>
      <c r="L747" t="s">
        <v>1168</v>
      </c>
      <c r="M747" t="s">
        <v>10</v>
      </c>
      <c r="N747" t="s">
        <v>36</v>
      </c>
      <c r="O747" t="s">
        <v>3200</v>
      </c>
      <c r="P747" t="s">
        <v>2668</v>
      </c>
      <c r="Q747" t="s">
        <v>3202</v>
      </c>
      <c r="R747" t="s">
        <v>1616</v>
      </c>
      <c r="S747">
        <v>12435703.116751799</v>
      </c>
      <c r="T747">
        <v>12</v>
      </c>
      <c r="U747" t="s">
        <v>1169</v>
      </c>
      <c r="W747" t="s">
        <v>1612</v>
      </c>
      <c r="X747" t="str">
        <f t="shared" si="11"/>
        <v>BQ817925@TRAC Corp</v>
      </c>
      <c r="Y747">
        <f>_xlfn.IFNA(_xll.BDP(X747,"INTERVAL_SUM", "MARKET_DATA_OVERRIDE=px_volume", "CALC_INTERVAL=5D"), "")</f>
        <v>747</v>
      </c>
      <c r="Z747" t="str" cm="1">
        <f t="array" ref="Z747">_xll.BDP(B747, "CF_ACT_CASH_PAID_FOR_INT_DEBT")</f>
        <v>#N/A N/A</v>
      </c>
      <c r="AA747" t="str" cm="1">
        <f t="array" ref="AA747">_xll.BDP(B747, "TYPE_OF_BOND")</f>
        <v>#N/A Field Not Applicable</v>
      </c>
    </row>
    <row r="748" spans="1:27" x14ac:dyDescent="0.25">
      <c r="A748">
        <v>746</v>
      </c>
      <c r="B748" t="s">
        <v>1617</v>
      </c>
      <c r="C748" s="4" t="s">
        <v>1610</v>
      </c>
      <c r="D748" s="4">
        <v>750000000</v>
      </c>
      <c r="E748" s="1" t="s">
        <v>17</v>
      </c>
      <c r="F748" s="1">
        <v>47362</v>
      </c>
      <c r="G748">
        <v>5.625</v>
      </c>
      <c r="H748" t="s">
        <v>9</v>
      </c>
      <c r="L748" t="s">
        <v>1168</v>
      </c>
      <c r="M748" t="s">
        <v>10</v>
      </c>
      <c r="N748" t="s">
        <v>36</v>
      </c>
      <c r="O748" t="s">
        <v>3200</v>
      </c>
      <c r="P748" t="s">
        <v>2668</v>
      </c>
      <c r="Q748" t="s">
        <v>3202</v>
      </c>
      <c r="R748" t="s">
        <v>1618</v>
      </c>
      <c r="S748">
        <v>10917804.856031399</v>
      </c>
      <c r="T748">
        <v>12</v>
      </c>
      <c r="U748" t="s">
        <v>1169</v>
      </c>
      <c r="W748" t="s">
        <v>1612</v>
      </c>
      <c r="X748" t="str">
        <f t="shared" si="11"/>
        <v>BQ817924@TRAC Corp</v>
      </c>
      <c r="Y748">
        <f>_xlfn.IFNA(_xll.BDP(X748,"INTERVAL_SUM", "MARKET_DATA_OVERRIDE=px_volume", "CALC_INTERVAL=5D"), "")</f>
        <v>2012</v>
      </c>
      <c r="Z748" t="str" cm="1">
        <f t="array" ref="Z748">_xll.BDP(B748, "CF_ACT_CASH_PAID_FOR_INT_DEBT")</f>
        <v>#N/A N/A</v>
      </c>
      <c r="AA748" t="str" cm="1">
        <f t="array" ref="AA748">_xll.BDP(B748, "TYPE_OF_BOND")</f>
        <v>#N/A Field Not Applicable</v>
      </c>
    </row>
    <row r="749" spans="1:27" x14ac:dyDescent="0.25">
      <c r="A749">
        <v>747</v>
      </c>
      <c r="B749" t="s">
        <v>1619</v>
      </c>
      <c r="C749" s="4" t="s">
        <v>1610</v>
      </c>
      <c r="D749" s="4">
        <v>500000000</v>
      </c>
      <c r="E749" s="1" t="s">
        <v>11</v>
      </c>
      <c r="F749" s="1">
        <v>47890</v>
      </c>
      <c r="G749">
        <v>11.1753</v>
      </c>
      <c r="H749" t="s">
        <v>13</v>
      </c>
      <c r="I749" t="s">
        <v>2631</v>
      </c>
      <c r="J749">
        <v>750</v>
      </c>
      <c r="L749" t="s">
        <v>1168</v>
      </c>
      <c r="M749" t="s">
        <v>10</v>
      </c>
      <c r="N749" t="s">
        <v>36</v>
      </c>
      <c r="O749" t="s">
        <v>3200</v>
      </c>
      <c r="P749" t="s">
        <v>2668</v>
      </c>
      <c r="Q749" t="s">
        <v>3202</v>
      </c>
      <c r="R749" t="s">
        <v>1620</v>
      </c>
      <c r="S749">
        <v>3331781.8775581298</v>
      </c>
      <c r="T749">
        <v>14</v>
      </c>
      <c r="V749" t="s">
        <v>327</v>
      </c>
      <c r="W749" t="s">
        <v>1612</v>
      </c>
      <c r="X749" t="str">
        <f t="shared" si="11"/>
        <v>BL535585@TRAC Corp</v>
      </c>
      <c r="Y749" t="str">
        <f>_xlfn.IFNA(_xll.BDP(X749,"INTERVAL_SUM", "MARKET_DATA_OVERRIDE=px_volume", "CALC_INTERVAL=5D"), "")</f>
        <v>#N/A N/A</v>
      </c>
      <c r="Z749" t="str" cm="1">
        <f t="array" ref="Z749">_xll.BDP(B749, "CF_ACT_CASH_PAID_FOR_INT_DEBT")</f>
        <v>#N/A N/A</v>
      </c>
      <c r="AA749" t="str" cm="1">
        <f t="array" ref="AA749">_xll.BDP(B749, "TYPE_OF_BOND")</f>
        <v>#N/A Field Not Applicable</v>
      </c>
    </row>
    <row r="750" spans="1:27" x14ac:dyDescent="0.25">
      <c r="A750">
        <v>748</v>
      </c>
      <c r="B750" t="s">
        <v>1621</v>
      </c>
      <c r="C750" s="4" t="s">
        <v>1610</v>
      </c>
      <c r="D750" s="4">
        <v>600000000</v>
      </c>
      <c r="E750" s="1" t="s">
        <v>11</v>
      </c>
      <c r="F750" s="1">
        <v>47890</v>
      </c>
      <c r="G750">
        <v>11.1753</v>
      </c>
      <c r="H750" t="s">
        <v>13</v>
      </c>
      <c r="I750" t="s">
        <v>2631</v>
      </c>
      <c r="J750">
        <v>750</v>
      </c>
      <c r="L750" t="s">
        <v>1168</v>
      </c>
      <c r="M750" t="s">
        <v>10</v>
      </c>
      <c r="N750" t="s">
        <v>36</v>
      </c>
      <c r="O750" t="s">
        <v>3200</v>
      </c>
      <c r="P750" t="s">
        <v>2668</v>
      </c>
      <c r="Q750" t="s">
        <v>3202</v>
      </c>
      <c r="R750" t="s">
        <v>1622</v>
      </c>
      <c r="S750">
        <v>3423710.1271942402</v>
      </c>
      <c r="T750">
        <v>15</v>
      </c>
      <c r="V750" t="s">
        <v>227</v>
      </c>
      <c r="W750" t="s">
        <v>1612</v>
      </c>
      <c r="X750" t="str">
        <f t="shared" si="11"/>
        <v>BL535583@TRAC Corp</v>
      </c>
      <c r="Y750" t="str">
        <f>_xlfn.IFNA(_xll.BDP(X750,"INTERVAL_SUM", "MARKET_DATA_OVERRIDE=px_volume", "CALC_INTERVAL=5D"), "")</f>
        <v>#N/A N/A</v>
      </c>
      <c r="Z750" t="str" cm="1">
        <f t="array" ref="Z750">_xll.BDP(B750, "CF_ACT_CASH_PAID_FOR_INT_DEBT")</f>
        <v>#N/A N/A</v>
      </c>
      <c r="AA750" t="str" cm="1">
        <f t="array" ref="AA750">_xll.BDP(B750, "TYPE_OF_BOND")</f>
        <v>#N/A Field Not Applicable</v>
      </c>
    </row>
    <row r="751" spans="1:27" x14ac:dyDescent="0.25">
      <c r="A751">
        <v>749</v>
      </c>
      <c r="B751" t="s">
        <v>1623</v>
      </c>
      <c r="C751" s="4" t="s">
        <v>1610</v>
      </c>
      <c r="D751" s="4">
        <v>200000000</v>
      </c>
      <c r="E751" t="s">
        <v>11</v>
      </c>
      <c r="F751" s="1">
        <v>47400</v>
      </c>
      <c r="H751" t="s">
        <v>13</v>
      </c>
      <c r="L751" t="s">
        <v>1171</v>
      </c>
      <c r="M751" t="s">
        <v>35</v>
      </c>
      <c r="N751" t="s">
        <v>36</v>
      </c>
      <c r="O751" t="s">
        <v>3200</v>
      </c>
      <c r="P751" t="s">
        <v>2668</v>
      </c>
      <c r="Q751" t="s">
        <v>3201</v>
      </c>
      <c r="R751" t="s">
        <v>1624</v>
      </c>
      <c r="V751" t="s">
        <v>227</v>
      </c>
      <c r="W751" t="s">
        <v>1612</v>
      </c>
      <c r="X751" t="str">
        <f t="shared" si="11"/>
        <v>BL525108@TRAC Corp</v>
      </c>
      <c r="Y751" t="str">
        <f>_xlfn.IFNA(_xll.BDP(X751,"INTERVAL_SUM", "MARKET_DATA_OVERRIDE=px_volume", "CALC_INTERVAL=5D"), "")</f>
        <v>#N/A N/A</v>
      </c>
      <c r="Z751" cm="1">
        <f t="array" ref="Z751">_xll.BDP(B751, "CF_ACT_CASH_PAID_FOR_INT_DEBT")</f>
        <v>48.048999999999999</v>
      </c>
      <c r="AA751" t="str" cm="1">
        <f t="array" ref="AA751">_xll.BDP(B751, "TYPE_OF_BOND")</f>
        <v>#N/A Field Not Applicable</v>
      </c>
    </row>
    <row r="752" spans="1:27" x14ac:dyDescent="0.25">
      <c r="A752">
        <v>750</v>
      </c>
      <c r="B752" t="s">
        <v>3481</v>
      </c>
      <c r="C752" s="4" t="s">
        <v>1610</v>
      </c>
      <c r="D752" s="4">
        <v>400000000</v>
      </c>
      <c r="E752" t="s">
        <v>11</v>
      </c>
      <c r="F752" s="1">
        <v>48130</v>
      </c>
      <c r="H752" t="s">
        <v>13</v>
      </c>
      <c r="L752" t="s">
        <v>1177</v>
      </c>
      <c r="M752" t="s">
        <v>35</v>
      </c>
      <c r="N752" t="s">
        <v>36</v>
      </c>
      <c r="O752" t="s">
        <v>3200</v>
      </c>
      <c r="P752" t="s">
        <v>2668</v>
      </c>
      <c r="Q752" t="s">
        <v>3201</v>
      </c>
      <c r="R752" t="s">
        <v>3482</v>
      </c>
      <c r="V752" t="s">
        <v>227</v>
      </c>
      <c r="W752" t="s">
        <v>1612</v>
      </c>
      <c r="X752" t="str">
        <f t="shared" si="11"/>
        <v>BL517599@TRAC Corp</v>
      </c>
      <c r="Y752" t="str">
        <f>_xlfn.IFNA(_xll.BDP(X752,"INTERVAL_SUM", "MARKET_DATA_OVERRIDE=px_volume", "CALC_INTERVAL=5D"), "")</f>
        <v>#N/A N/A</v>
      </c>
      <c r="Z752" cm="1">
        <f t="array" ref="Z752">_xll.BDP(B752, "CF_ACT_CASH_PAID_FOR_INT_DEBT")</f>
        <v>48.048999999999999</v>
      </c>
      <c r="AA752" t="str" cm="1">
        <f t="array" ref="AA752">_xll.BDP(B752, "TYPE_OF_BOND")</f>
        <v>#N/A Field Not Applicable</v>
      </c>
    </row>
    <row r="753" spans="1:27" x14ac:dyDescent="0.25">
      <c r="A753">
        <v>751</v>
      </c>
      <c r="B753" t="s">
        <v>1625</v>
      </c>
      <c r="C753" s="4" t="s">
        <v>1610</v>
      </c>
      <c r="D753" s="4">
        <v>303750000</v>
      </c>
      <c r="E753" t="s">
        <v>11</v>
      </c>
      <c r="F753" s="1">
        <v>47028</v>
      </c>
      <c r="G753">
        <v>7.3967000000000001</v>
      </c>
      <c r="H753" t="s">
        <v>13</v>
      </c>
      <c r="I753" t="s">
        <v>2631</v>
      </c>
      <c r="J753">
        <v>375</v>
      </c>
      <c r="L753" t="s">
        <v>1168</v>
      </c>
      <c r="M753" t="s">
        <v>10</v>
      </c>
      <c r="N753" t="s">
        <v>36</v>
      </c>
      <c r="O753" t="s">
        <v>3200</v>
      </c>
      <c r="P753" t="s">
        <v>2668</v>
      </c>
      <c r="Q753" t="s">
        <v>3202</v>
      </c>
      <c r="R753" t="s">
        <v>1626</v>
      </c>
      <c r="V753" t="s">
        <v>226</v>
      </c>
      <c r="W753" t="s">
        <v>1612</v>
      </c>
      <c r="X753" t="str">
        <f t="shared" si="11"/>
        <v>BL377751@TRAC Corp</v>
      </c>
      <c r="Y753" t="str">
        <f>_xlfn.IFNA(_xll.BDP(X753,"INTERVAL_SUM", "MARKET_DATA_OVERRIDE=px_volume", "CALC_INTERVAL=5D"), "")</f>
        <v>#N/A N/A</v>
      </c>
      <c r="Z753" t="str" cm="1">
        <f t="array" ref="Z753">_xll.BDP(B753, "CF_ACT_CASH_PAID_FOR_INT_DEBT")</f>
        <v>#N/A N/A</v>
      </c>
      <c r="AA753" t="str" cm="1">
        <f t="array" ref="AA753">_xll.BDP(B753, "TYPE_OF_BOND")</f>
        <v>#N/A Field Not Applicable</v>
      </c>
    </row>
    <row r="754" spans="1:27" x14ac:dyDescent="0.25">
      <c r="A754">
        <v>752</v>
      </c>
      <c r="B754" t="s">
        <v>3483</v>
      </c>
      <c r="C754" s="4" t="s">
        <v>3484</v>
      </c>
      <c r="D754" s="4">
        <v>660937500</v>
      </c>
      <c r="E754" t="s">
        <v>11</v>
      </c>
      <c r="F754" s="1">
        <v>47259</v>
      </c>
      <c r="G754">
        <v>10.179500000000001</v>
      </c>
      <c r="H754" t="s">
        <v>13</v>
      </c>
      <c r="I754" t="s">
        <v>2631</v>
      </c>
      <c r="J754">
        <v>650</v>
      </c>
      <c r="L754" t="s">
        <v>1168</v>
      </c>
      <c r="M754" t="s">
        <v>10</v>
      </c>
      <c r="N754" t="s">
        <v>15</v>
      </c>
      <c r="O754" t="s">
        <v>3110</v>
      </c>
      <c r="P754" t="s">
        <v>2637</v>
      </c>
      <c r="Q754" t="s">
        <v>3112</v>
      </c>
      <c r="R754" t="s">
        <v>3485</v>
      </c>
      <c r="S754">
        <v>3368399.03707944</v>
      </c>
      <c r="T754">
        <v>3</v>
      </c>
      <c r="V754" t="s">
        <v>256</v>
      </c>
      <c r="W754" t="s">
        <v>3486</v>
      </c>
      <c r="X754" t="str">
        <f t="shared" si="11"/>
        <v>BL532639@TRAC Corp</v>
      </c>
      <c r="Y754" t="str">
        <f>_xlfn.IFNA(_xll.BDP(X754,"INTERVAL_SUM", "MARKET_DATA_OVERRIDE=px_volume", "CALC_INTERVAL=5D"), "")</f>
        <v>#N/A N/A</v>
      </c>
      <c r="Z754" t="str" cm="1">
        <f t="array" ref="Z754">_xll.BDP(B754, "CF_ACT_CASH_PAID_FOR_INT_DEBT")</f>
        <v>#N/A N/A</v>
      </c>
      <c r="AA754" t="str" cm="1">
        <f t="array" ref="AA754">_xll.BDP(B754, "TYPE_OF_BOND")</f>
        <v>#N/A Field Not Applicable</v>
      </c>
    </row>
    <row r="755" spans="1:27" x14ac:dyDescent="0.25">
      <c r="A755">
        <v>753</v>
      </c>
      <c r="B755" t="s">
        <v>3487</v>
      </c>
      <c r="C755" s="4" t="s">
        <v>3484</v>
      </c>
      <c r="D755" s="4">
        <v>618861987.40999997</v>
      </c>
      <c r="E755" t="s">
        <v>33</v>
      </c>
      <c r="F755" s="1">
        <v>47259</v>
      </c>
      <c r="G755">
        <v>12.279500000000001</v>
      </c>
      <c r="H755" t="s">
        <v>13</v>
      </c>
      <c r="I755" t="s">
        <v>2631</v>
      </c>
      <c r="J755">
        <v>850</v>
      </c>
      <c r="L755" t="s">
        <v>1168</v>
      </c>
      <c r="M755" t="s">
        <v>10</v>
      </c>
      <c r="N755" t="s">
        <v>15</v>
      </c>
      <c r="O755" t="s">
        <v>3110</v>
      </c>
      <c r="P755" t="s">
        <v>2637</v>
      </c>
      <c r="Q755" t="s">
        <v>3112</v>
      </c>
      <c r="R755" t="s">
        <v>3488</v>
      </c>
      <c r="S755">
        <v>3335485.2511319602</v>
      </c>
      <c r="T755">
        <v>5</v>
      </c>
      <c r="V755" t="s">
        <v>256</v>
      </c>
      <c r="W755" t="s">
        <v>3486</v>
      </c>
      <c r="X755" t="str">
        <f t="shared" si="11"/>
        <v>BL532526@TRAC Corp</v>
      </c>
      <c r="Y755" t="str">
        <f>_xlfn.IFNA(_xll.BDP(X755,"INTERVAL_SUM", "MARKET_DATA_OVERRIDE=px_volume", "CALC_INTERVAL=5D"), "")</f>
        <v>#N/A N/A</v>
      </c>
      <c r="Z755" t="str" cm="1">
        <f t="array" ref="Z755">_xll.BDP(B755, "CF_ACT_CASH_PAID_FOR_INT_DEBT")</f>
        <v>#N/A N/A</v>
      </c>
      <c r="AA755" t="str" cm="1">
        <f t="array" ref="AA755">_xll.BDP(B755, "TYPE_OF_BOND")</f>
        <v>#N/A Field Not Applicable</v>
      </c>
    </row>
    <row r="756" spans="1:27" x14ac:dyDescent="0.25">
      <c r="A756">
        <v>754</v>
      </c>
      <c r="B756" t="s">
        <v>3489</v>
      </c>
      <c r="C756" s="4" t="s">
        <v>3484</v>
      </c>
      <c r="D756" s="4">
        <v>1468874009.6396501</v>
      </c>
      <c r="E756" t="s">
        <v>11</v>
      </c>
      <c r="F756" s="1">
        <v>47259</v>
      </c>
      <c r="G756">
        <v>9.7795000000000005</v>
      </c>
      <c r="H756" t="s">
        <v>13</v>
      </c>
      <c r="I756" t="s">
        <v>2631</v>
      </c>
      <c r="J756">
        <v>600</v>
      </c>
      <c r="L756" t="s">
        <v>1168</v>
      </c>
      <c r="M756" t="s">
        <v>10</v>
      </c>
      <c r="N756" t="s">
        <v>15</v>
      </c>
      <c r="O756" t="s">
        <v>3110</v>
      </c>
      <c r="P756" t="s">
        <v>2637</v>
      </c>
      <c r="Q756" t="s">
        <v>3112</v>
      </c>
      <c r="R756" t="s">
        <v>3490</v>
      </c>
      <c r="S756">
        <v>3000000</v>
      </c>
      <c r="T756">
        <v>11</v>
      </c>
      <c r="V756" t="s">
        <v>227</v>
      </c>
      <c r="W756" t="s">
        <v>3486</v>
      </c>
      <c r="X756" t="str">
        <f t="shared" si="11"/>
        <v>BL532518@TRAC Corp</v>
      </c>
      <c r="Y756" t="str">
        <f>_xlfn.IFNA(_xll.BDP(X756,"INTERVAL_SUM", "MARKET_DATA_OVERRIDE=px_volume", "CALC_INTERVAL=5D"), "")</f>
        <v>#N/A N/A</v>
      </c>
      <c r="Z756" t="str" cm="1">
        <f t="array" ref="Z756">_xll.BDP(B756, "CF_ACT_CASH_PAID_FOR_INT_DEBT")</f>
        <v>#N/A N/A</v>
      </c>
      <c r="AA756" t="str" cm="1">
        <f t="array" ref="AA756">_xll.BDP(B756, "TYPE_OF_BOND")</f>
        <v>#N/A Field Not Applicable</v>
      </c>
    </row>
    <row r="757" spans="1:27" x14ac:dyDescent="0.25">
      <c r="A757">
        <v>755</v>
      </c>
      <c r="B757" t="s">
        <v>3491</v>
      </c>
      <c r="C757" s="4" t="s">
        <v>3484</v>
      </c>
      <c r="D757" s="4">
        <v>20388000</v>
      </c>
      <c r="E757" t="s">
        <v>33</v>
      </c>
      <c r="F757" s="1">
        <v>47239</v>
      </c>
      <c r="H757" t="s">
        <v>13</v>
      </c>
      <c r="I757" t="s">
        <v>2635</v>
      </c>
      <c r="L757" t="s">
        <v>1168</v>
      </c>
      <c r="M757" t="s">
        <v>10</v>
      </c>
      <c r="N757" t="s">
        <v>15</v>
      </c>
      <c r="O757" t="s">
        <v>3110</v>
      </c>
      <c r="R757" t="s">
        <v>3488</v>
      </c>
      <c r="V757" t="s">
        <v>256</v>
      </c>
      <c r="W757" t="s">
        <v>3486</v>
      </c>
      <c r="X757" t="str">
        <f t="shared" si="11"/>
        <v>BL1001UA@TRAC Corp</v>
      </c>
      <c r="Y757" t="str">
        <f>_xlfn.IFNA(_xll.BDP(X757,"INTERVAL_SUM", "MARKET_DATA_OVERRIDE=px_volume", "CALC_INTERVAL=5D"), "")</f>
        <v>#N/A N/A</v>
      </c>
      <c r="Z757" t="str" cm="1">
        <f t="array" ref="Z757">_xll.BDP(B757, "CF_ACT_CASH_PAID_FOR_INT_DEBT")</f>
        <v>#N/A N/A</v>
      </c>
      <c r="AA757" t="str" cm="1">
        <f t="array" ref="AA757">_xll.BDP(B757, "TYPE_OF_BOND")</f>
        <v>#N/A Field Not Applicable</v>
      </c>
    </row>
    <row r="758" spans="1:27" x14ac:dyDescent="0.25">
      <c r="A758">
        <v>756</v>
      </c>
      <c r="B758" t="s">
        <v>1627</v>
      </c>
      <c r="C758" s="4" t="s">
        <v>1628</v>
      </c>
      <c r="D758" s="4">
        <v>1460683125</v>
      </c>
      <c r="E758" t="s">
        <v>11</v>
      </c>
      <c r="F758" s="1">
        <v>47714</v>
      </c>
      <c r="G758">
        <v>7.6795</v>
      </c>
      <c r="H758" t="s">
        <v>13</v>
      </c>
      <c r="I758" t="s">
        <v>2631</v>
      </c>
      <c r="J758">
        <v>400</v>
      </c>
      <c r="L758" t="s">
        <v>1168</v>
      </c>
      <c r="M758" t="s">
        <v>10</v>
      </c>
      <c r="N758" t="s">
        <v>15</v>
      </c>
      <c r="O758" t="s">
        <v>3110</v>
      </c>
      <c r="P758" t="s">
        <v>2637</v>
      </c>
      <c r="Q758" t="s">
        <v>3111</v>
      </c>
      <c r="R758" t="s">
        <v>1629</v>
      </c>
      <c r="S758">
        <v>1000000</v>
      </c>
      <c r="T758">
        <v>4</v>
      </c>
      <c r="V758" t="s">
        <v>227</v>
      </c>
      <c r="W758" t="s">
        <v>1630</v>
      </c>
      <c r="X758" t="str">
        <f t="shared" si="11"/>
        <v>BL520243@TRAC Corp</v>
      </c>
      <c r="Y758" t="str">
        <f>_xlfn.IFNA(_xll.BDP(X758,"INTERVAL_SUM", "MARKET_DATA_OVERRIDE=px_volume", "CALC_INTERVAL=5D"), "")</f>
        <v>#N/A N/A</v>
      </c>
      <c r="Z758" t="str" cm="1">
        <f t="array" ref="Z758">_xll.BDP(B758, "CF_ACT_CASH_PAID_FOR_INT_DEBT")</f>
        <v>#N/A N/A</v>
      </c>
      <c r="AA758" t="str" cm="1">
        <f t="array" ref="AA758">_xll.BDP(B758, "TYPE_OF_BOND")</f>
        <v>#N/A Field Not Applicable</v>
      </c>
    </row>
    <row r="759" spans="1:27" x14ac:dyDescent="0.25">
      <c r="A759">
        <v>757</v>
      </c>
      <c r="B759" t="s">
        <v>1645</v>
      </c>
      <c r="C759" s="4" t="s">
        <v>1646</v>
      </c>
      <c r="D759" s="4">
        <v>1460000000</v>
      </c>
      <c r="E759" t="s">
        <v>11</v>
      </c>
      <c r="F759" s="1">
        <v>48421</v>
      </c>
      <c r="G759">
        <v>7.4295</v>
      </c>
      <c r="H759" t="s">
        <v>13</v>
      </c>
      <c r="I759" t="s">
        <v>2631</v>
      </c>
      <c r="J759">
        <v>375</v>
      </c>
      <c r="L759" t="s">
        <v>1168</v>
      </c>
      <c r="M759" t="s">
        <v>10</v>
      </c>
      <c r="N759" t="s">
        <v>15</v>
      </c>
      <c r="O759" t="s">
        <v>3110</v>
      </c>
      <c r="P759" t="s">
        <v>2634</v>
      </c>
      <c r="Q759" t="s">
        <v>3115</v>
      </c>
      <c r="R759" t="s">
        <v>1647</v>
      </c>
      <c r="S759">
        <v>3726565.0935104601</v>
      </c>
      <c r="T759">
        <v>6</v>
      </c>
      <c r="V759" t="s">
        <v>227</v>
      </c>
      <c r="W759" t="s">
        <v>1648</v>
      </c>
      <c r="X759" t="str">
        <f t="shared" si="11"/>
        <v>BL514470@TRAC Corp</v>
      </c>
      <c r="Y759" t="str">
        <f>_xlfn.IFNA(_xll.BDP(X759,"INTERVAL_SUM", "MARKET_DATA_OVERRIDE=px_volume", "CALC_INTERVAL=5D"), "")</f>
        <v>#N/A N/A</v>
      </c>
      <c r="Z759" t="str" cm="1">
        <f t="array" ref="Z759">_xll.BDP(B759, "CF_ACT_CASH_PAID_FOR_INT_DEBT")</f>
        <v>#N/A N/A</v>
      </c>
      <c r="AA759" t="str" cm="1">
        <f t="array" ref="AA759">_xll.BDP(B759, "TYPE_OF_BOND")</f>
        <v>#N/A Field Not Applicable</v>
      </c>
    </row>
    <row r="760" spans="1:27" x14ac:dyDescent="0.25">
      <c r="A760">
        <v>758</v>
      </c>
      <c r="B760" t="s">
        <v>1649</v>
      </c>
      <c r="C760" s="4" t="s">
        <v>1650</v>
      </c>
      <c r="D760" s="4">
        <v>5300000000</v>
      </c>
      <c r="E760" t="s">
        <v>11</v>
      </c>
      <c r="F760" s="1">
        <v>48901</v>
      </c>
      <c r="G760">
        <v>6.4196</v>
      </c>
      <c r="H760" t="s">
        <v>13</v>
      </c>
      <c r="I760" t="s">
        <v>2631</v>
      </c>
      <c r="J760">
        <v>275</v>
      </c>
      <c r="L760" t="s">
        <v>1168</v>
      </c>
      <c r="M760" t="s">
        <v>10</v>
      </c>
      <c r="N760" t="s">
        <v>15</v>
      </c>
      <c r="O760" t="s">
        <v>3110</v>
      </c>
      <c r="P760" t="s">
        <v>2637</v>
      </c>
      <c r="Q760" t="s">
        <v>3111</v>
      </c>
      <c r="R760" t="s">
        <v>1651</v>
      </c>
      <c r="S760">
        <v>4517475.2616767101</v>
      </c>
      <c r="T760">
        <v>11</v>
      </c>
      <c r="V760" t="s">
        <v>227</v>
      </c>
      <c r="W760" t="s">
        <v>1652</v>
      </c>
      <c r="X760" t="str">
        <f t="shared" si="11"/>
        <v>BL571771@TRAC Corp</v>
      </c>
      <c r="Y760" t="str">
        <f>_xlfn.IFNA(_xll.BDP(X760,"INTERVAL_SUM", "MARKET_DATA_OVERRIDE=px_volume", "CALC_INTERVAL=5D"), "")</f>
        <v>#N/A N/A</v>
      </c>
      <c r="Z760" t="str" cm="1">
        <f t="array" ref="Z760">_xll.BDP(B760, "CF_ACT_CASH_PAID_FOR_INT_DEBT")</f>
        <v>#N/A N/A</v>
      </c>
      <c r="AA760" t="str" cm="1">
        <f t="array" ref="AA760">_xll.BDP(B760, "TYPE_OF_BOND")</f>
        <v>#N/A Field Not Applicable</v>
      </c>
    </row>
    <row r="761" spans="1:27" x14ac:dyDescent="0.25">
      <c r="A761">
        <v>759</v>
      </c>
      <c r="B761" t="s">
        <v>1653</v>
      </c>
      <c r="C761" s="4" t="s">
        <v>1650</v>
      </c>
      <c r="D761" s="4">
        <v>1457993724.8800001</v>
      </c>
      <c r="E761" t="s">
        <v>11</v>
      </c>
      <c r="F761" s="1">
        <v>47662</v>
      </c>
      <c r="G761">
        <v>5.8860999999999999</v>
      </c>
      <c r="H761" t="s">
        <v>13</v>
      </c>
      <c r="I761" t="s">
        <v>2635</v>
      </c>
      <c r="J761">
        <v>225</v>
      </c>
      <c r="L761" t="s">
        <v>1168</v>
      </c>
      <c r="M761" t="s">
        <v>10</v>
      </c>
      <c r="N761" t="s">
        <v>15</v>
      </c>
      <c r="O761" t="s">
        <v>3110</v>
      </c>
      <c r="P761" t="s">
        <v>2637</v>
      </c>
      <c r="Q761" t="s">
        <v>3111</v>
      </c>
      <c r="R761" t="s">
        <v>1654</v>
      </c>
      <c r="S761">
        <v>3000000</v>
      </c>
      <c r="T761">
        <v>11</v>
      </c>
      <c r="V761" t="s">
        <v>227</v>
      </c>
      <c r="W761" t="s">
        <v>1652</v>
      </c>
      <c r="X761" t="str">
        <f t="shared" si="11"/>
        <v>BL500667@TRAC Corp</v>
      </c>
      <c r="Y761" t="str">
        <f>_xlfn.IFNA(_xll.BDP(X761,"INTERVAL_SUM", "MARKET_DATA_OVERRIDE=px_volume", "CALC_INTERVAL=5D"), "")</f>
        <v>#N/A N/A</v>
      </c>
      <c r="Z761" t="str" cm="1">
        <f t="array" ref="Z761">_xll.BDP(B761, "CF_ACT_CASH_PAID_FOR_INT_DEBT")</f>
        <v>#N/A N/A</v>
      </c>
      <c r="AA761" t="str" cm="1">
        <f t="array" ref="AA761">_xll.BDP(B761, "TYPE_OF_BOND")</f>
        <v>#N/A Field Not Applicable</v>
      </c>
    </row>
    <row r="762" spans="1:27" x14ac:dyDescent="0.25">
      <c r="A762">
        <v>760</v>
      </c>
      <c r="B762" t="s">
        <v>1655</v>
      </c>
      <c r="C762" s="4" t="s">
        <v>1656</v>
      </c>
      <c r="D762" s="4">
        <v>1450000000</v>
      </c>
      <c r="E762" t="s">
        <v>11</v>
      </c>
      <c r="F762" s="1">
        <v>48138</v>
      </c>
      <c r="G762">
        <v>8.1795000000000009</v>
      </c>
      <c r="H762" t="s">
        <v>13</v>
      </c>
      <c r="I762" t="s">
        <v>2631</v>
      </c>
      <c r="J762">
        <v>450</v>
      </c>
      <c r="L762" t="s">
        <v>1168</v>
      </c>
      <c r="M762" t="s">
        <v>10</v>
      </c>
      <c r="N762" t="s">
        <v>16</v>
      </c>
      <c r="O762" t="s">
        <v>3203</v>
      </c>
      <c r="P762" t="s">
        <v>2629</v>
      </c>
      <c r="Q762" t="s">
        <v>3204</v>
      </c>
      <c r="R762" t="s">
        <v>1657</v>
      </c>
      <c r="S762">
        <v>3000000</v>
      </c>
      <c r="T762">
        <v>14</v>
      </c>
      <c r="V762" t="s">
        <v>227</v>
      </c>
      <c r="W762" t="s">
        <v>1658</v>
      </c>
      <c r="X762" t="str">
        <f t="shared" si="11"/>
        <v>BL525344@TRAC Corp</v>
      </c>
      <c r="Y762" t="str">
        <f>_xlfn.IFNA(_xll.BDP(X762,"INTERVAL_SUM", "MARKET_DATA_OVERRIDE=px_volume", "CALC_INTERVAL=5D"), "")</f>
        <v>#N/A N/A</v>
      </c>
      <c r="Z762" cm="1">
        <f t="array" ref="Z762">_xll.BDP(B762, "CF_ACT_CASH_PAID_FOR_INT_DEBT")</f>
        <v>40.524999999999999</v>
      </c>
      <c r="AA762" t="str" cm="1">
        <f t="array" ref="AA762">_xll.BDP(B762, "TYPE_OF_BOND")</f>
        <v>#N/A Field Not Applicable</v>
      </c>
    </row>
    <row r="763" spans="1:27" x14ac:dyDescent="0.25">
      <c r="A763">
        <v>761</v>
      </c>
      <c r="B763" t="s">
        <v>1659</v>
      </c>
      <c r="C763" s="4" t="s">
        <v>1656</v>
      </c>
      <c r="D763" s="4">
        <v>360000000</v>
      </c>
      <c r="E763" t="s">
        <v>11</v>
      </c>
      <c r="F763" s="1">
        <v>48138</v>
      </c>
      <c r="G763">
        <v>7.2350000000000003</v>
      </c>
      <c r="H763" t="s">
        <v>13</v>
      </c>
      <c r="I763" t="s">
        <v>2636</v>
      </c>
      <c r="J763">
        <v>475</v>
      </c>
      <c r="L763" t="s">
        <v>1171</v>
      </c>
      <c r="M763" t="s">
        <v>1148</v>
      </c>
      <c r="N763" t="s">
        <v>16</v>
      </c>
      <c r="O763" t="s">
        <v>3203</v>
      </c>
      <c r="P763" t="s">
        <v>2629</v>
      </c>
      <c r="Q763" t="s">
        <v>3205</v>
      </c>
      <c r="R763" t="s">
        <v>1660</v>
      </c>
      <c r="S763">
        <v>2000000</v>
      </c>
      <c r="T763">
        <v>11</v>
      </c>
      <c r="V763" t="s">
        <v>227</v>
      </c>
      <c r="W763" t="s">
        <v>1658</v>
      </c>
      <c r="X763" t="str">
        <f t="shared" si="11"/>
        <v>BL525343@TRAC Corp</v>
      </c>
      <c r="Y763" t="str">
        <f>_xlfn.IFNA(_xll.BDP(X763,"INTERVAL_SUM", "MARKET_DATA_OVERRIDE=px_volume", "CALC_INTERVAL=5D"), "")</f>
        <v>#N/A N/A</v>
      </c>
      <c r="Z763" t="str" cm="1">
        <f t="array" ref="Z763">_xll.BDP(B763, "CF_ACT_CASH_PAID_FOR_INT_DEBT")</f>
        <v>#N/A N/A</v>
      </c>
      <c r="AA763" t="str" cm="1">
        <f t="array" ref="AA763">_xll.BDP(B763, "TYPE_OF_BOND")</f>
        <v>#N/A Field Not Applicable</v>
      </c>
    </row>
    <row r="764" spans="1:27" x14ac:dyDescent="0.25">
      <c r="A764">
        <v>762</v>
      </c>
      <c r="B764" t="s">
        <v>1661</v>
      </c>
      <c r="C764" s="4" t="s">
        <v>1656</v>
      </c>
      <c r="D764" s="4">
        <v>199000000</v>
      </c>
      <c r="E764" t="s">
        <v>11</v>
      </c>
      <c r="F764" s="1">
        <v>47632</v>
      </c>
      <c r="H764" t="s">
        <v>13</v>
      </c>
      <c r="I764" t="s">
        <v>2683</v>
      </c>
      <c r="L764" t="s">
        <v>1168</v>
      </c>
      <c r="M764" t="s">
        <v>10</v>
      </c>
      <c r="N764" t="s">
        <v>16</v>
      </c>
      <c r="O764" t="s">
        <v>3203</v>
      </c>
      <c r="P764" t="s">
        <v>2629</v>
      </c>
      <c r="Q764" t="s">
        <v>3204</v>
      </c>
      <c r="R764" t="s">
        <v>1662</v>
      </c>
      <c r="V764" t="s">
        <v>226</v>
      </c>
      <c r="W764" t="s">
        <v>1658</v>
      </c>
      <c r="X764" t="str">
        <f t="shared" si="11"/>
        <v>BL285247@TRAC Corp</v>
      </c>
      <c r="Y764" t="str">
        <f>_xlfn.IFNA(_xll.BDP(X764,"INTERVAL_SUM", "MARKET_DATA_OVERRIDE=px_volume", "CALC_INTERVAL=5D"), "")</f>
        <v>#N/A N/A</v>
      </c>
      <c r="Z764" cm="1">
        <f t="array" ref="Z764">_xll.BDP(B764, "CF_ACT_CASH_PAID_FOR_INT_DEBT")</f>
        <v>40.524999999999999</v>
      </c>
      <c r="AA764" t="str" cm="1">
        <f t="array" ref="AA764">_xll.BDP(B764, "TYPE_OF_BOND")</f>
        <v>#N/A Field Not Applicable</v>
      </c>
    </row>
    <row r="765" spans="1:27" x14ac:dyDescent="0.25">
      <c r="A765">
        <v>763</v>
      </c>
      <c r="B765" t="s">
        <v>1663</v>
      </c>
      <c r="C765" s="4" t="s">
        <v>1656</v>
      </c>
      <c r="D765" s="4">
        <v>240000000</v>
      </c>
      <c r="E765" t="s">
        <v>33</v>
      </c>
      <c r="F765" s="1">
        <v>46314</v>
      </c>
      <c r="G765">
        <v>10.938599999999999</v>
      </c>
      <c r="H765" t="s">
        <v>13</v>
      </c>
      <c r="I765" t="s">
        <v>2635</v>
      </c>
      <c r="J765">
        <v>700</v>
      </c>
      <c r="L765" t="s">
        <v>1168</v>
      </c>
      <c r="M765" t="s">
        <v>10</v>
      </c>
      <c r="N765" t="s">
        <v>16</v>
      </c>
      <c r="O765" t="s">
        <v>3203</v>
      </c>
      <c r="P765" t="s">
        <v>2629</v>
      </c>
      <c r="Q765" t="s">
        <v>3204</v>
      </c>
      <c r="R765" t="s">
        <v>1664</v>
      </c>
      <c r="S765">
        <v>3250007.61701045</v>
      </c>
      <c r="T765">
        <v>4</v>
      </c>
      <c r="V765" t="s">
        <v>227</v>
      </c>
      <c r="W765" t="s">
        <v>1658</v>
      </c>
      <c r="X765" t="str">
        <f t="shared" si="11"/>
        <v>BL281234@TRAC Corp</v>
      </c>
      <c r="Y765" t="str">
        <f>_xlfn.IFNA(_xll.BDP(X765,"INTERVAL_SUM", "MARKET_DATA_OVERRIDE=px_volume", "CALC_INTERVAL=5D"), "")</f>
        <v>#N/A N/A</v>
      </c>
      <c r="Z765" cm="1">
        <f t="array" ref="Z765">_xll.BDP(B765, "CF_ACT_CASH_PAID_FOR_INT_DEBT")</f>
        <v>40.524999999999999</v>
      </c>
      <c r="AA765" t="str" cm="1">
        <f t="array" ref="AA765">_xll.BDP(B765, "TYPE_OF_BOND")</f>
        <v>#N/A Field Not Applicable</v>
      </c>
    </row>
    <row r="766" spans="1:27" x14ac:dyDescent="0.25">
      <c r="A766">
        <v>764</v>
      </c>
      <c r="B766" t="s">
        <v>3492</v>
      </c>
      <c r="C766" s="4" t="s">
        <v>3493</v>
      </c>
      <c r="D766" s="4">
        <v>1444875000</v>
      </c>
      <c r="E766" t="s">
        <v>11</v>
      </c>
      <c r="F766" s="1">
        <v>47025</v>
      </c>
      <c r="G766">
        <v>7.4249999999999998</v>
      </c>
      <c r="H766" t="s">
        <v>13</v>
      </c>
      <c r="I766" t="s">
        <v>2635</v>
      </c>
      <c r="J766">
        <v>350</v>
      </c>
      <c r="L766" t="s">
        <v>1168</v>
      </c>
      <c r="M766" t="s">
        <v>10</v>
      </c>
      <c r="N766" t="s">
        <v>15</v>
      </c>
      <c r="O766" t="s">
        <v>3110</v>
      </c>
      <c r="P766" t="s">
        <v>2637</v>
      </c>
      <c r="Q766" t="s">
        <v>3123</v>
      </c>
      <c r="R766" t="s">
        <v>3494</v>
      </c>
      <c r="S766">
        <v>3000000</v>
      </c>
      <c r="T766">
        <v>12</v>
      </c>
      <c r="V766" t="s">
        <v>227</v>
      </c>
      <c r="W766" t="s">
        <v>3495</v>
      </c>
      <c r="X766" t="str">
        <f t="shared" si="11"/>
        <v>BL370768@TRAC Corp</v>
      </c>
      <c r="Y766" t="str">
        <f>_xlfn.IFNA(_xll.BDP(X766,"INTERVAL_SUM", "MARKET_DATA_OVERRIDE=px_volume", "CALC_INTERVAL=5D"), "")</f>
        <v>#N/A N/A</v>
      </c>
      <c r="Z766" t="str" cm="1">
        <f t="array" ref="Z766">_xll.BDP(B766, "CF_ACT_CASH_PAID_FOR_INT_DEBT")</f>
        <v>#N/A N/A</v>
      </c>
      <c r="AA766" t="str" cm="1">
        <f t="array" ref="AA766">_xll.BDP(B766, "TYPE_OF_BOND")</f>
        <v>#N/A Field Not Applicable</v>
      </c>
    </row>
    <row r="767" spans="1:27" x14ac:dyDescent="0.25">
      <c r="A767">
        <v>765</v>
      </c>
      <c r="B767" t="s">
        <v>1204</v>
      </c>
      <c r="C767" s="4" t="s">
        <v>1205</v>
      </c>
      <c r="D767" s="4">
        <v>925000000</v>
      </c>
      <c r="E767" s="1" t="s">
        <v>17</v>
      </c>
      <c r="F767" s="1">
        <v>47150</v>
      </c>
      <c r="G767">
        <v>8.25</v>
      </c>
      <c r="H767" t="s">
        <v>9</v>
      </c>
      <c r="L767" t="s">
        <v>1168</v>
      </c>
      <c r="M767" t="s">
        <v>10</v>
      </c>
      <c r="N767" t="s">
        <v>537</v>
      </c>
      <c r="O767" t="s">
        <v>3116</v>
      </c>
      <c r="P767" t="s">
        <v>2702</v>
      </c>
      <c r="Q767" t="s">
        <v>3117</v>
      </c>
      <c r="R767" t="s">
        <v>1206</v>
      </c>
      <c r="S767">
        <v>9466694.4259641692</v>
      </c>
      <c r="T767">
        <v>34</v>
      </c>
      <c r="U767" t="s">
        <v>1169</v>
      </c>
      <c r="W767" t="s">
        <v>1160</v>
      </c>
      <c r="X767" t="str">
        <f t="shared" si="11"/>
        <v>ZF376477@TRAC Corp</v>
      </c>
      <c r="Y767">
        <f>_xlfn.IFNA(_xll.BDP(X767,"INTERVAL_SUM", "MARKET_DATA_OVERRIDE=px_volume", "CALC_INTERVAL=5D"), "")</f>
        <v>29607</v>
      </c>
      <c r="Z767" t="str" cm="1">
        <f t="array" ref="Z767">_xll.BDP(B767, "CF_ACT_CASH_PAID_FOR_INT_DEBT")</f>
        <v>#N/A N/A</v>
      </c>
      <c r="AA767" t="str" cm="1">
        <f t="array" ref="AA767">_xll.BDP(B767, "TYPE_OF_BOND")</f>
        <v>#N/A Field Not Applicable</v>
      </c>
    </row>
    <row r="768" spans="1:27" x14ac:dyDescent="0.25">
      <c r="A768">
        <v>766</v>
      </c>
      <c r="B768" t="s">
        <v>1207</v>
      </c>
      <c r="C768" s="4" t="s">
        <v>1205</v>
      </c>
      <c r="D768" s="4">
        <v>500000000</v>
      </c>
      <c r="E768" s="1" t="s">
        <v>17</v>
      </c>
      <c r="F768" s="1">
        <v>47284</v>
      </c>
      <c r="G768">
        <v>8.5</v>
      </c>
      <c r="H768" t="s">
        <v>9</v>
      </c>
      <c r="L768" t="s">
        <v>1168</v>
      </c>
      <c r="M768" t="s">
        <v>10</v>
      </c>
      <c r="N768" t="s">
        <v>537</v>
      </c>
      <c r="O768" t="s">
        <v>3116</v>
      </c>
      <c r="P768" t="s">
        <v>2702</v>
      </c>
      <c r="Q768" t="s">
        <v>3117</v>
      </c>
      <c r="R768" t="s">
        <v>1208</v>
      </c>
      <c r="S768">
        <v>7395436.2121397899</v>
      </c>
      <c r="T768">
        <v>32</v>
      </c>
      <c r="U768" t="s">
        <v>1169</v>
      </c>
      <c r="W768" t="s">
        <v>1160</v>
      </c>
      <c r="X768" t="str">
        <f t="shared" si="11"/>
        <v>YX506208@TRAC Corp</v>
      </c>
      <c r="Y768">
        <f>_xlfn.IFNA(_xll.BDP(X768,"INTERVAL_SUM", "MARKET_DATA_OVERRIDE=px_volume", "CALC_INTERVAL=5D"), "")</f>
        <v>4668</v>
      </c>
      <c r="Z768" t="str" cm="1">
        <f t="array" ref="Z768">_xll.BDP(B768, "CF_ACT_CASH_PAID_FOR_INT_DEBT")</f>
        <v>#N/A N/A</v>
      </c>
      <c r="AA768" t="str" cm="1">
        <f t="array" ref="AA768">_xll.BDP(B768, "TYPE_OF_BOND")</f>
        <v>#N/A Field Not Applicable</v>
      </c>
    </row>
    <row r="769" spans="1:27" x14ac:dyDescent="0.25">
      <c r="A769">
        <v>767</v>
      </c>
      <c r="B769" t="s">
        <v>1209</v>
      </c>
      <c r="C769" s="4" t="s">
        <v>1205</v>
      </c>
      <c r="D769" s="4">
        <v>1100000000</v>
      </c>
      <c r="E769" s="1" t="s">
        <v>12</v>
      </c>
      <c r="F769" s="1">
        <v>47793</v>
      </c>
      <c r="G769">
        <v>7.5</v>
      </c>
      <c r="H769" t="s">
        <v>9</v>
      </c>
      <c r="L769" t="s">
        <v>1168</v>
      </c>
      <c r="M769" t="s">
        <v>10</v>
      </c>
      <c r="N769" t="s">
        <v>537</v>
      </c>
      <c r="O769" t="s">
        <v>3116</v>
      </c>
      <c r="P769" t="s">
        <v>2702</v>
      </c>
      <c r="Q769" t="s">
        <v>3117</v>
      </c>
      <c r="R769" t="s">
        <v>1210</v>
      </c>
      <c r="S769">
        <v>9329049.6092481893</v>
      </c>
      <c r="T769">
        <v>42</v>
      </c>
      <c r="U769" t="s">
        <v>1169</v>
      </c>
      <c r="W769" t="s">
        <v>1160</v>
      </c>
      <c r="X769" t="str">
        <f t="shared" si="11"/>
        <v>YX506207@TRAC Corp</v>
      </c>
      <c r="Y769">
        <f>_xlfn.IFNA(_xll.BDP(X769,"INTERVAL_SUM", "MARKET_DATA_OVERRIDE=px_volume", "CALC_INTERVAL=5D"), "")</f>
        <v>30286</v>
      </c>
      <c r="Z769" t="str" cm="1">
        <f t="array" ref="Z769">_xll.BDP(B769, "CF_ACT_CASH_PAID_FOR_INT_DEBT")</f>
        <v>#N/A N/A</v>
      </c>
      <c r="AA769" t="str" cm="1">
        <f t="array" ref="AA769">_xll.BDP(B769, "TYPE_OF_BOND")</f>
        <v>#N/A Field Not Applicable</v>
      </c>
    </row>
    <row r="770" spans="1:27" x14ac:dyDescent="0.25">
      <c r="A770">
        <v>768</v>
      </c>
      <c r="B770" t="s">
        <v>1211</v>
      </c>
      <c r="C770" s="4" t="s">
        <v>1205</v>
      </c>
      <c r="D770" s="4">
        <v>550000000</v>
      </c>
      <c r="E770" s="1" t="s">
        <v>12</v>
      </c>
      <c r="F770" s="1">
        <v>48396</v>
      </c>
      <c r="G770">
        <v>6.75</v>
      </c>
      <c r="H770" t="s">
        <v>9</v>
      </c>
      <c r="L770" t="s">
        <v>1168</v>
      </c>
      <c r="M770" t="s">
        <v>10</v>
      </c>
      <c r="N770" t="s">
        <v>537</v>
      </c>
      <c r="O770" t="s">
        <v>3116</v>
      </c>
      <c r="P770" t="s">
        <v>2702</v>
      </c>
      <c r="Q770" t="s">
        <v>3117</v>
      </c>
      <c r="R770" t="s">
        <v>1212</v>
      </c>
      <c r="S770">
        <v>6532757.4350249898</v>
      </c>
      <c r="T770">
        <v>30</v>
      </c>
      <c r="U770" t="s">
        <v>1169</v>
      </c>
      <c r="W770" t="s">
        <v>1160</v>
      </c>
      <c r="X770" t="str">
        <f t="shared" si="11"/>
        <v>YN174324@TRAC Corp</v>
      </c>
      <c r="Y770">
        <f>_xlfn.IFNA(_xll.BDP(X770,"INTERVAL_SUM", "MARKET_DATA_OVERRIDE=px_volume", "CALC_INTERVAL=5D"), "")</f>
        <v>35068</v>
      </c>
      <c r="Z770" t="str" cm="1">
        <f t="array" ref="Z770">_xll.BDP(B770, "CF_ACT_CASH_PAID_FOR_INT_DEBT")</f>
        <v>#N/A N/A</v>
      </c>
      <c r="AA770" t="str" cm="1">
        <f t="array" ref="AA770">_xll.BDP(B770, "TYPE_OF_BOND")</f>
        <v>#N/A Field Not Applicable</v>
      </c>
    </row>
    <row r="771" spans="1:27" x14ac:dyDescent="0.25">
      <c r="A771">
        <v>769</v>
      </c>
      <c r="B771" t="s">
        <v>1213</v>
      </c>
      <c r="C771" s="4" t="s">
        <v>1205</v>
      </c>
      <c r="D771" s="4">
        <v>500000000</v>
      </c>
      <c r="E771" s="1" t="s">
        <v>17</v>
      </c>
      <c r="F771" s="1">
        <v>47331</v>
      </c>
      <c r="G771">
        <v>6</v>
      </c>
      <c r="H771" t="s">
        <v>9</v>
      </c>
      <c r="L771" t="s">
        <v>1168</v>
      </c>
      <c r="M771" t="s">
        <v>10</v>
      </c>
      <c r="N771" t="s">
        <v>537</v>
      </c>
      <c r="O771" t="s">
        <v>3116</v>
      </c>
      <c r="P771" t="s">
        <v>2702</v>
      </c>
      <c r="Q771" t="s">
        <v>3117</v>
      </c>
      <c r="R771" t="s">
        <v>1214</v>
      </c>
      <c r="S771">
        <v>8357963.7712278301</v>
      </c>
      <c r="T771">
        <v>29</v>
      </c>
      <c r="U771" t="s">
        <v>1169</v>
      </c>
      <c r="W771" t="s">
        <v>1160</v>
      </c>
      <c r="X771" t="str">
        <f t="shared" ref="X771:X834" si="12">SUBSTITUTE(B771," Corp","@TRAC Corp")</f>
        <v>BQ726694@TRAC Corp</v>
      </c>
      <c r="Y771">
        <f>_xlfn.IFNA(_xll.BDP(X771,"INTERVAL_SUM", "MARKET_DATA_OVERRIDE=px_volume", "CALC_INTERVAL=5D"), "")</f>
        <v>11049</v>
      </c>
      <c r="Z771" t="str" cm="1">
        <f t="array" ref="Z771">_xll.BDP(B771, "CF_ACT_CASH_PAID_FOR_INT_DEBT")</f>
        <v>#N/A N/A</v>
      </c>
      <c r="AA771" t="str" cm="1">
        <f t="array" ref="AA771">_xll.BDP(B771, "TYPE_OF_BOND")</f>
        <v>#N/A Field Not Applicable</v>
      </c>
    </row>
    <row r="772" spans="1:27" x14ac:dyDescent="0.25">
      <c r="A772">
        <v>770</v>
      </c>
      <c r="B772" t="s">
        <v>1215</v>
      </c>
      <c r="C772" s="4" t="s">
        <v>1205</v>
      </c>
      <c r="D772" s="4">
        <v>700000000</v>
      </c>
      <c r="E772" s="1" t="s">
        <v>12</v>
      </c>
      <c r="F772" s="1">
        <v>47164</v>
      </c>
      <c r="G772">
        <v>4.25</v>
      </c>
      <c r="H772" t="s">
        <v>9</v>
      </c>
      <c r="L772" t="s">
        <v>1168</v>
      </c>
      <c r="M772" t="s">
        <v>10</v>
      </c>
      <c r="N772" t="s">
        <v>537</v>
      </c>
      <c r="O772" t="s">
        <v>3116</v>
      </c>
      <c r="P772" t="s">
        <v>2702</v>
      </c>
      <c r="Q772" t="s">
        <v>3117</v>
      </c>
      <c r="R772" t="s">
        <v>1216</v>
      </c>
      <c r="S772">
        <v>7470644.0870377496</v>
      </c>
      <c r="T772">
        <v>41</v>
      </c>
      <c r="U772" t="s">
        <v>1169</v>
      </c>
      <c r="W772" t="s">
        <v>1160</v>
      </c>
      <c r="X772" t="str">
        <f t="shared" si="12"/>
        <v>BN832333@TRAC Corp</v>
      </c>
      <c r="Y772">
        <f>_xlfn.IFNA(_xll.BDP(X772,"INTERVAL_SUM", "MARKET_DATA_OVERRIDE=px_volume", "CALC_INTERVAL=5D"), "")</f>
        <v>13386</v>
      </c>
      <c r="Z772" t="str" cm="1">
        <f t="array" ref="Z772">_xll.BDP(B772, "CF_ACT_CASH_PAID_FOR_INT_DEBT")</f>
        <v>#N/A N/A</v>
      </c>
      <c r="AA772" t="str" cm="1">
        <f t="array" ref="AA772">_xll.BDP(B772, "TYPE_OF_BOND")</f>
        <v>#N/A Field Not Applicable</v>
      </c>
    </row>
    <row r="773" spans="1:27" x14ac:dyDescent="0.25">
      <c r="A773">
        <v>771</v>
      </c>
      <c r="B773" t="s">
        <v>1217</v>
      </c>
      <c r="C773" s="4" t="s">
        <v>1205</v>
      </c>
      <c r="D773" s="4">
        <v>166974.46</v>
      </c>
      <c r="E773" s="1" t="s">
        <v>11</v>
      </c>
      <c r="F773" s="1">
        <v>48548</v>
      </c>
      <c r="G773">
        <v>6.8939000000000004</v>
      </c>
      <c r="H773" t="s">
        <v>13</v>
      </c>
      <c r="I773" t="s">
        <v>2631</v>
      </c>
      <c r="J773">
        <v>325</v>
      </c>
      <c r="L773" t="s">
        <v>1168</v>
      </c>
      <c r="N773" t="s">
        <v>537</v>
      </c>
      <c r="O773" t="s">
        <v>3116</v>
      </c>
      <c r="R773" t="s">
        <v>1218</v>
      </c>
      <c r="V773" t="s">
        <v>227</v>
      </c>
      <c r="W773" t="s">
        <v>1160</v>
      </c>
      <c r="X773" t="str">
        <f t="shared" si="12"/>
        <v>BL519887@TRAC Corp</v>
      </c>
      <c r="Y773" t="str">
        <f>_xlfn.IFNA(_xll.BDP(X773,"INTERVAL_SUM", "MARKET_DATA_OVERRIDE=px_volume", "CALC_INTERVAL=5D"), "")</f>
        <v>#N/A N/A</v>
      </c>
      <c r="Z773" t="str" cm="1">
        <f t="array" ref="Z773">_xll.BDP(B773, "CF_ACT_CASH_PAID_FOR_INT_DEBT")</f>
        <v>#N/A N/A</v>
      </c>
      <c r="AA773" t="str" cm="1">
        <f t="array" ref="AA773">_xll.BDP(B773, "TYPE_OF_BOND")</f>
        <v>#N/A Field Not Applicable</v>
      </c>
    </row>
    <row r="774" spans="1:27" x14ac:dyDescent="0.25">
      <c r="A774">
        <v>772</v>
      </c>
      <c r="B774" t="s">
        <v>1219</v>
      </c>
      <c r="C774" s="4" t="s">
        <v>1205</v>
      </c>
      <c r="D774" s="4">
        <v>1777500000</v>
      </c>
      <c r="E774" s="1" t="s">
        <v>11</v>
      </c>
      <c r="F774" s="1">
        <v>48386</v>
      </c>
      <c r="G774">
        <v>6.9295</v>
      </c>
      <c r="H774" t="s">
        <v>13</v>
      </c>
      <c r="I774" t="s">
        <v>2631</v>
      </c>
      <c r="J774">
        <v>325</v>
      </c>
      <c r="L774" t="s">
        <v>1168</v>
      </c>
      <c r="M774" t="s">
        <v>10</v>
      </c>
      <c r="N774" t="s">
        <v>537</v>
      </c>
      <c r="O774" t="s">
        <v>3116</v>
      </c>
      <c r="P774" t="s">
        <v>2702</v>
      </c>
      <c r="Q774" t="s">
        <v>3117</v>
      </c>
      <c r="R774" t="s">
        <v>1220</v>
      </c>
      <c r="S774">
        <v>5000000</v>
      </c>
      <c r="T774">
        <v>9</v>
      </c>
      <c r="V774" t="s">
        <v>227</v>
      </c>
      <c r="W774" t="s">
        <v>1160</v>
      </c>
      <c r="X774" t="str">
        <f t="shared" si="12"/>
        <v>BL511765@TRAC Corp</v>
      </c>
      <c r="Y774" t="str">
        <f>_xlfn.IFNA(_xll.BDP(X774,"INTERVAL_SUM", "MARKET_DATA_OVERRIDE=px_volume", "CALC_INTERVAL=5D"), "")</f>
        <v>#N/A N/A</v>
      </c>
      <c r="Z774" t="str" cm="1">
        <f t="array" ref="Z774">_xll.BDP(B774, "CF_ACT_CASH_PAID_FOR_INT_DEBT")</f>
        <v>#N/A N/A</v>
      </c>
      <c r="AA774" t="str" cm="1">
        <f t="array" ref="AA774">_xll.BDP(B774, "TYPE_OF_BOND")</f>
        <v>#N/A Field Not Applicable</v>
      </c>
    </row>
    <row r="775" spans="1:27" x14ac:dyDescent="0.25">
      <c r="A775">
        <v>773</v>
      </c>
      <c r="B775" t="s">
        <v>1221</v>
      </c>
      <c r="C775" s="4" t="s">
        <v>1205</v>
      </c>
      <c r="D775" s="4">
        <v>4422740000</v>
      </c>
      <c r="E775" s="1" t="s">
        <v>11</v>
      </c>
      <c r="F775" s="1">
        <v>47793</v>
      </c>
      <c r="G775">
        <v>6.6795</v>
      </c>
      <c r="H775" t="s">
        <v>13</v>
      </c>
      <c r="I775" t="s">
        <v>2631</v>
      </c>
      <c r="J775">
        <v>300</v>
      </c>
      <c r="L775" t="s">
        <v>1168</v>
      </c>
      <c r="M775" t="s">
        <v>10</v>
      </c>
      <c r="N775" t="s">
        <v>537</v>
      </c>
      <c r="O775" t="s">
        <v>3116</v>
      </c>
      <c r="P775" t="s">
        <v>2702</v>
      </c>
      <c r="Q775" t="s">
        <v>3117</v>
      </c>
      <c r="R775" t="s">
        <v>1222</v>
      </c>
      <c r="S775">
        <v>5000000</v>
      </c>
      <c r="T775">
        <v>12</v>
      </c>
      <c r="V775" t="s">
        <v>227</v>
      </c>
      <c r="W775" t="s">
        <v>1160</v>
      </c>
      <c r="X775" t="str">
        <f t="shared" si="12"/>
        <v>BL487190@TRAC Corp</v>
      </c>
      <c r="Y775" t="str">
        <f>_xlfn.IFNA(_xll.BDP(X775,"INTERVAL_SUM", "MARKET_DATA_OVERRIDE=px_volume", "CALC_INTERVAL=5D"), "")</f>
        <v>#N/A N/A</v>
      </c>
      <c r="Z775" t="str" cm="1">
        <f t="array" ref="Z775">_xll.BDP(B775, "CF_ACT_CASH_PAID_FOR_INT_DEBT")</f>
        <v>#N/A N/A</v>
      </c>
      <c r="AA775" t="str" cm="1">
        <f t="array" ref="AA775">_xll.BDP(B775, "TYPE_OF_BOND")</f>
        <v>#N/A Field Not Applicable</v>
      </c>
    </row>
    <row r="776" spans="1:27" x14ac:dyDescent="0.25">
      <c r="A776">
        <v>774</v>
      </c>
      <c r="B776" t="s">
        <v>1223</v>
      </c>
      <c r="C776" s="4" t="s">
        <v>1205</v>
      </c>
      <c r="D776" s="4">
        <v>65000000</v>
      </c>
      <c r="E776" s="1" t="s">
        <v>11</v>
      </c>
      <c r="F776" s="1">
        <v>47632</v>
      </c>
      <c r="G776">
        <v>6.6439000000000004</v>
      </c>
      <c r="H776" t="s">
        <v>13</v>
      </c>
      <c r="I776" t="s">
        <v>2631</v>
      </c>
      <c r="J776">
        <v>300</v>
      </c>
      <c r="L776" t="s">
        <v>1168</v>
      </c>
      <c r="M776" t="s">
        <v>10</v>
      </c>
      <c r="N776" t="s">
        <v>537</v>
      </c>
      <c r="O776" t="s">
        <v>3116</v>
      </c>
      <c r="P776" t="s">
        <v>2702</v>
      </c>
      <c r="Q776" t="s">
        <v>3117</v>
      </c>
      <c r="R776" t="s">
        <v>1224</v>
      </c>
      <c r="V776" t="s">
        <v>226</v>
      </c>
      <c r="W776" t="s">
        <v>1160</v>
      </c>
      <c r="X776" t="str">
        <f t="shared" si="12"/>
        <v>BL172433@TRAC Corp</v>
      </c>
      <c r="Y776" t="str">
        <f>_xlfn.IFNA(_xll.BDP(X776,"INTERVAL_SUM", "MARKET_DATA_OVERRIDE=px_volume", "CALC_INTERVAL=5D"), "")</f>
        <v>#N/A N/A</v>
      </c>
      <c r="Z776" t="str" cm="1">
        <f t="array" ref="Z776">_xll.BDP(B776, "CF_ACT_CASH_PAID_FOR_INT_DEBT")</f>
        <v>#N/A N/A</v>
      </c>
      <c r="AA776" t="str" cm="1">
        <f t="array" ref="AA776">_xll.BDP(B776, "TYPE_OF_BOND")</f>
        <v>#N/A Field Not Applicable</v>
      </c>
    </row>
    <row r="777" spans="1:27" x14ac:dyDescent="0.25">
      <c r="A777">
        <v>775</v>
      </c>
      <c r="B777" t="s">
        <v>1005</v>
      </c>
      <c r="C777" s="4" t="s">
        <v>1006</v>
      </c>
      <c r="D777" s="4">
        <v>485344000</v>
      </c>
      <c r="E777" s="1" t="s">
        <v>17</v>
      </c>
      <c r="F777" s="1">
        <v>47543</v>
      </c>
      <c r="G777">
        <v>5.5</v>
      </c>
      <c r="H777" t="s">
        <v>9</v>
      </c>
      <c r="L777" t="s">
        <v>1168</v>
      </c>
      <c r="M777" t="s">
        <v>10</v>
      </c>
      <c r="N777" t="s">
        <v>16</v>
      </c>
      <c r="O777" t="s">
        <v>3135</v>
      </c>
      <c r="P777" t="s">
        <v>2629</v>
      </c>
      <c r="Q777" t="s">
        <v>3136</v>
      </c>
      <c r="R777" t="s">
        <v>1007</v>
      </c>
      <c r="S777">
        <v>11734266.837414799</v>
      </c>
      <c r="T777">
        <v>27</v>
      </c>
      <c r="U777" t="s">
        <v>1169</v>
      </c>
      <c r="W777" t="s">
        <v>1008</v>
      </c>
      <c r="X777" t="str">
        <f t="shared" si="12"/>
        <v>ZQ691388@TRAC Corp</v>
      </c>
      <c r="Y777">
        <f>_xlfn.IFNA(_xll.BDP(X777,"INTERVAL_SUM", "MARKET_DATA_OVERRIDE=px_volume", "CALC_INTERVAL=5D"), "")</f>
        <v>2390</v>
      </c>
      <c r="Z777" t="str" cm="1">
        <f t="array" ref="Z777">_xll.BDP(B777, "CF_ACT_CASH_PAID_FOR_INT_DEBT")</f>
        <v>#N/A N/A</v>
      </c>
      <c r="AA777" t="str" cm="1">
        <f t="array" ref="AA777">_xll.BDP(B777, "TYPE_OF_BOND")</f>
        <v>#N/A Field Not Applicable</v>
      </c>
    </row>
    <row r="778" spans="1:27" x14ac:dyDescent="0.25">
      <c r="A778">
        <v>776</v>
      </c>
      <c r="B778" t="s">
        <v>1009</v>
      </c>
      <c r="C778" s="4" t="s">
        <v>1006</v>
      </c>
      <c r="D778" s="4">
        <v>432000000</v>
      </c>
      <c r="E778" s="1" t="s">
        <v>33</v>
      </c>
      <c r="F778" s="1">
        <v>48625</v>
      </c>
      <c r="G778">
        <v>9.75</v>
      </c>
      <c r="H778" t="s">
        <v>9</v>
      </c>
      <c r="L778" t="s">
        <v>1168</v>
      </c>
      <c r="M778" t="s">
        <v>10</v>
      </c>
      <c r="N778" t="s">
        <v>16</v>
      </c>
      <c r="O778" t="s">
        <v>3135</v>
      </c>
      <c r="P778" t="s">
        <v>2629</v>
      </c>
      <c r="Q778" t="s">
        <v>3136</v>
      </c>
      <c r="R778" t="s">
        <v>1010</v>
      </c>
      <c r="S778">
        <v>10423785.4257026</v>
      </c>
      <c r="T778">
        <v>29</v>
      </c>
      <c r="U778" t="s">
        <v>1169</v>
      </c>
      <c r="W778" t="s">
        <v>1008</v>
      </c>
      <c r="X778" t="str">
        <f t="shared" si="12"/>
        <v>YS728027@TRAC Corp</v>
      </c>
      <c r="Y778">
        <f>_xlfn.IFNA(_xll.BDP(X778,"INTERVAL_SUM", "MARKET_DATA_OVERRIDE=px_volume", "CALC_INTERVAL=5D"), "")</f>
        <v>1695</v>
      </c>
      <c r="Z778" t="str" cm="1">
        <f t="array" ref="Z778">_xll.BDP(B778, "CF_ACT_CASH_PAID_FOR_INT_DEBT")</f>
        <v>#N/A N/A</v>
      </c>
      <c r="AA778" t="str" cm="1">
        <f t="array" ref="AA778">_xll.BDP(B778, "TYPE_OF_BOND")</f>
        <v>#N/A Field Not Applicable</v>
      </c>
    </row>
    <row r="779" spans="1:27" x14ac:dyDescent="0.25">
      <c r="A779">
        <v>777</v>
      </c>
      <c r="B779" t="s">
        <v>1011</v>
      </c>
      <c r="C779" s="4" t="s">
        <v>1006</v>
      </c>
      <c r="D779" s="4">
        <v>255226000</v>
      </c>
      <c r="E779" s="1" t="s">
        <v>11</v>
      </c>
      <c r="F779" s="1">
        <v>48579</v>
      </c>
      <c r="G779">
        <v>4.375</v>
      </c>
      <c r="H779" t="s">
        <v>9</v>
      </c>
      <c r="L779" t="s">
        <v>1168</v>
      </c>
      <c r="M779" t="s">
        <v>10</v>
      </c>
      <c r="N779" t="s">
        <v>16</v>
      </c>
      <c r="O779" t="s">
        <v>3135</v>
      </c>
      <c r="P779" t="s">
        <v>2629</v>
      </c>
      <c r="Q779" t="s">
        <v>3136</v>
      </c>
      <c r="R779" t="s">
        <v>1012</v>
      </c>
      <c r="S779">
        <v>1914579.6556869</v>
      </c>
      <c r="T779">
        <v>18</v>
      </c>
      <c r="U779" t="s">
        <v>1169</v>
      </c>
      <c r="W779" t="s">
        <v>1008</v>
      </c>
      <c r="X779" t="str">
        <f t="shared" si="12"/>
        <v>YR430204@TRAC Corp</v>
      </c>
      <c r="Y779">
        <f>_xlfn.IFNA(_xll.BDP(X779,"INTERVAL_SUM", "MARKET_DATA_OVERRIDE=px_volume", "CALC_INTERVAL=5D"), "")</f>
        <v>4485</v>
      </c>
      <c r="Z779" t="str" cm="1">
        <f t="array" ref="Z779">_xll.BDP(B779, "CF_ACT_CASH_PAID_FOR_INT_DEBT")</f>
        <v>#N/A N/A</v>
      </c>
      <c r="AA779" t="str" cm="1">
        <f t="array" ref="AA779">_xll.BDP(B779, "TYPE_OF_BOND")</f>
        <v>#N/A Field Not Applicable</v>
      </c>
    </row>
    <row r="780" spans="1:27" x14ac:dyDescent="0.25">
      <c r="A780">
        <v>778</v>
      </c>
      <c r="B780" t="s">
        <v>1013</v>
      </c>
      <c r="C780" s="4" t="s">
        <v>1006</v>
      </c>
      <c r="D780" s="4">
        <v>1430000000</v>
      </c>
      <c r="E780" s="1" t="s">
        <v>11</v>
      </c>
      <c r="F780" s="1">
        <v>48625</v>
      </c>
      <c r="G780">
        <v>8.125</v>
      </c>
      <c r="H780" t="s">
        <v>9</v>
      </c>
      <c r="L780" t="s">
        <v>1168</v>
      </c>
      <c r="M780" t="s">
        <v>10</v>
      </c>
      <c r="N780" t="s">
        <v>16</v>
      </c>
      <c r="O780" t="s">
        <v>3135</v>
      </c>
      <c r="P780" t="s">
        <v>2629</v>
      </c>
      <c r="Q780" t="s">
        <v>3136</v>
      </c>
      <c r="R780" t="s">
        <v>1014</v>
      </c>
      <c r="S780">
        <v>9594784.7283602394</v>
      </c>
      <c r="T780">
        <v>52</v>
      </c>
      <c r="U780" t="s">
        <v>1169</v>
      </c>
      <c r="W780" t="s">
        <v>1008</v>
      </c>
      <c r="X780" t="str">
        <f t="shared" si="12"/>
        <v>YR009268@TRAC Corp</v>
      </c>
      <c r="Y780">
        <f>_xlfn.IFNA(_xll.BDP(X780,"INTERVAL_SUM", "MARKET_DATA_OVERRIDE=px_volume", "CALC_INTERVAL=5D"), "")</f>
        <v>22497</v>
      </c>
      <c r="Z780" t="str" cm="1">
        <f t="array" ref="Z780">_xll.BDP(B780, "CF_ACT_CASH_PAID_FOR_INT_DEBT")</f>
        <v>#N/A N/A</v>
      </c>
      <c r="AA780" t="str" cm="1">
        <f t="array" ref="AA780">_xll.BDP(B780, "TYPE_OF_BOND")</f>
        <v>#N/A Field Not Applicable</v>
      </c>
    </row>
    <row r="781" spans="1:27" x14ac:dyDescent="0.25">
      <c r="A781">
        <v>779</v>
      </c>
      <c r="B781" t="s">
        <v>1015</v>
      </c>
      <c r="C781" s="4" t="s">
        <v>1006</v>
      </c>
      <c r="D781" s="4">
        <v>4664000</v>
      </c>
      <c r="E781" s="1" t="s">
        <v>11</v>
      </c>
      <c r="F781" s="1">
        <v>47818</v>
      </c>
      <c r="G781">
        <v>4.125</v>
      </c>
      <c r="H781" t="s">
        <v>9</v>
      </c>
      <c r="L781" t="s">
        <v>1168</v>
      </c>
      <c r="M781" t="s">
        <v>10</v>
      </c>
      <c r="N781" t="s">
        <v>16</v>
      </c>
      <c r="O781" t="s">
        <v>3135</v>
      </c>
      <c r="P781" t="s">
        <v>2629</v>
      </c>
      <c r="Q781" t="s">
        <v>3136</v>
      </c>
      <c r="R781" t="s">
        <v>1016</v>
      </c>
      <c r="S781">
        <v>-9997</v>
      </c>
      <c r="U781" t="s">
        <v>1169</v>
      </c>
      <c r="W781" t="s">
        <v>1008</v>
      </c>
      <c r="X781" t="str">
        <f t="shared" si="12"/>
        <v>BM662133@TRAC Corp</v>
      </c>
      <c r="Y781" t="str">
        <f>_xlfn.IFNA(_xll.BDP(X781,"INTERVAL_SUM", "MARKET_DATA_OVERRIDE=px_volume", "CALC_INTERVAL=5D"), "")</f>
        <v>#N/A N/A</v>
      </c>
      <c r="Z781" t="str" cm="1">
        <f t="array" ref="Z781">_xll.BDP(B781, "CF_ACT_CASH_PAID_FOR_INT_DEBT")</f>
        <v>#N/A N/A</v>
      </c>
      <c r="AA781" t="str" cm="1">
        <f t="array" ref="AA781">_xll.BDP(B781, "TYPE_OF_BOND")</f>
        <v>#N/A Field Not Applicable</v>
      </c>
    </row>
    <row r="782" spans="1:27" x14ac:dyDescent="0.25">
      <c r="A782">
        <v>780</v>
      </c>
      <c r="B782" t="s">
        <v>1017</v>
      </c>
      <c r="C782" s="4" t="s">
        <v>1006</v>
      </c>
      <c r="D782" s="4">
        <v>702481206.63</v>
      </c>
      <c r="E782" s="1" t="s">
        <v>11</v>
      </c>
      <c r="F782" s="1">
        <v>47483</v>
      </c>
      <c r="G782">
        <v>7.0898000000000003</v>
      </c>
      <c r="H782" t="s">
        <v>13</v>
      </c>
      <c r="I782" t="s">
        <v>2631</v>
      </c>
      <c r="J782">
        <v>330</v>
      </c>
      <c r="L782" t="s">
        <v>1168</v>
      </c>
      <c r="M782" t="s">
        <v>10</v>
      </c>
      <c r="N782" t="s">
        <v>16</v>
      </c>
      <c r="O782" t="s">
        <v>3135</v>
      </c>
      <c r="P782" t="s">
        <v>2629</v>
      </c>
      <c r="Q782" t="s">
        <v>3136</v>
      </c>
      <c r="R782" t="s">
        <v>1018</v>
      </c>
      <c r="S782">
        <v>2000000</v>
      </c>
      <c r="T782">
        <v>11</v>
      </c>
      <c r="V782" t="s">
        <v>227</v>
      </c>
      <c r="W782" t="s">
        <v>1008</v>
      </c>
      <c r="X782" t="str">
        <f t="shared" si="12"/>
        <v>BL499031@TRAC Corp</v>
      </c>
      <c r="Y782" t="str">
        <f>_xlfn.IFNA(_xll.BDP(X782,"INTERVAL_SUM", "MARKET_DATA_OVERRIDE=px_volume", "CALC_INTERVAL=5D"), "")</f>
        <v>#N/A N/A</v>
      </c>
      <c r="Z782" t="str" cm="1">
        <f t="array" ref="Z782">_xll.BDP(B782, "CF_ACT_CASH_PAID_FOR_INT_DEBT")</f>
        <v>#N/A N/A</v>
      </c>
      <c r="AA782" t="str" cm="1">
        <f t="array" ref="AA782">_xll.BDP(B782, "TYPE_OF_BOND")</f>
        <v>#N/A Field Not Applicable</v>
      </c>
    </row>
    <row r="783" spans="1:27" x14ac:dyDescent="0.25">
      <c r="A783">
        <v>781</v>
      </c>
      <c r="B783" t="s">
        <v>1019</v>
      </c>
      <c r="C783" s="4" t="s">
        <v>1006</v>
      </c>
      <c r="D783" s="4">
        <v>722109375</v>
      </c>
      <c r="E783" s="1" t="s">
        <v>11</v>
      </c>
      <c r="F783" s="1">
        <v>47848</v>
      </c>
      <c r="G783">
        <v>7.8753000000000002</v>
      </c>
      <c r="H783" t="s">
        <v>13</v>
      </c>
      <c r="I783" t="s">
        <v>2631</v>
      </c>
      <c r="J783">
        <v>410</v>
      </c>
      <c r="L783" t="s">
        <v>1168</v>
      </c>
      <c r="M783" t="s">
        <v>10</v>
      </c>
      <c r="N783" t="s">
        <v>16</v>
      </c>
      <c r="O783" t="s">
        <v>3135</v>
      </c>
      <c r="P783" t="s">
        <v>2629</v>
      </c>
      <c r="Q783" t="s">
        <v>3136</v>
      </c>
      <c r="R783" t="s">
        <v>1020</v>
      </c>
      <c r="S783">
        <v>2000000</v>
      </c>
      <c r="T783">
        <v>10</v>
      </c>
      <c r="V783" t="s">
        <v>227</v>
      </c>
      <c r="W783" t="s">
        <v>1008</v>
      </c>
      <c r="X783" t="str">
        <f t="shared" si="12"/>
        <v>BL499030@TRAC Corp</v>
      </c>
      <c r="Y783" t="str">
        <f>_xlfn.IFNA(_xll.BDP(X783,"INTERVAL_SUM", "MARKET_DATA_OVERRIDE=px_volume", "CALC_INTERVAL=5D"), "")</f>
        <v>#N/A N/A</v>
      </c>
      <c r="Z783" t="str" cm="1">
        <f t="array" ref="Z783">_xll.BDP(B783, "CF_ACT_CASH_PAID_FOR_INT_DEBT")</f>
        <v>#N/A N/A</v>
      </c>
      <c r="AA783" t="str" cm="1">
        <f t="array" ref="AA783">_xll.BDP(B783, "TYPE_OF_BOND")</f>
        <v>#N/A Field Not Applicable</v>
      </c>
    </row>
    <row r="784" spans="1:27" x14ac:dyDescent="0.25">
      <c r="A784">
        <v>782</v>
      </c>
      <c r="B784" t="s">
        <v>1021</v>
      </c>
      <c r="C784" s="4" t="s">
        <v>1006</v>
      </c>
      <c r="D784" s="4">
        <v>2726.63</v>
      </c>
      <c r="E784" s="1" t="s">
        <v>11</v>
      </c>
      <c r="F784" s="1">
        <v>46846</v>
      </c>
      <c r="G784">
        <v>6.7611999999999997</v>
      </c>
      <c r="H784" t="s">
        <v>13</v>
      </c>
      <c r="I784" t="s">
        <v>2631</v>
      </c>
      <c r="J784">
        <v>300</v>
      </c>
      <c r="L784" t="s">
        <v>1168</v>
      </c>
      <c r="M784" t="s">
        <v>10</v>
      </c>
      <c r="N784" t="s">
        <v>16</v>
      </c>
      <c r="O784" t="s">
        <v>3135</v>
      </c>
      <c r="P784" t="s">
        <v>2629</v>
      </c>
      <c r="Q784" t="s">
        <v>3136</v>
      </c>
      <c r="R784" t="s">
        <v>1022</v>
      </c>
      <c r="V784" t="s">
        <v>227</v>
      </c>
      <c r="W784" t="s">
        <v>1008</v>
      </c>
      <c r="X784" t="str">
        <f t="shared" si="12"/>
        <v>BL358017@TRAC Corp</v>
      </c>
      <c r="Y784" t="str">
        <f>_xlfn.IFNA(_xll.BDP(X784,"INTERVAL_SUM", "MARKET_DATA_OVERRIDE=px_volume", "CALC_INTERVAL=5D"), "")</f>
        <v>#N/A N/A</v>
      </c>
      <c r="Z784" t="str" cm="1">
        <f t="array" ref="Z784">_xll.BDP(B784, "CF_ACT_CASH_PAID_FOR_INT_DEBT")</f>
        <v>#N/A N/A</v>
      </c>
      <c r="AA784" t="str" cm="1">
        <f t="array" ref="AA784">_xll.BDP(B784, "TYPE_OF_BOND")</f>
        <v>#N/A Field Not Applicable</v>
      </c>
    </row>
    <row r="785" spans="1:27" x14ac:dyDescent="0.25">
      <c r="A785">
        <v>783</v>
      </c>
      <c r="B785" t="s">
        <v>3496</v>
      </c>
      <c r="C785" s="4" t="s">
        <v>3497</v>
      </c>
      <c r="D785" s="4">
        <v>375000000</v>
      </c>
      <c r="E785" s="1" t="s">
        <v>11</v>
      </c>
      <c r="F785" s="1">
        <v>46850</v>
      </c>
      <c r="G785">
        <v>11.752599999999999</v>
      </c>
      <c r="H785" t="s">
        <v>13</v>
      </c>
      <c r="I785" t="s">
        <v>2631</v>
      </c>
      <c r="J785">
        <v>800</v>
      </c>
      <c r="L785" t="s">
        <v>1168</v>
      </c>
      <c r="M785" t="s">
        <v>10</v>
      </c>
      <c r="N785" t="s">
        <v>16</v>
      </c>
      <c r="O785" t="s">
        <v>3135</v>
      </c>
      <c r="P785" t="s">
        <v>2629</v>
      </c>
      <c r="Q785" t="s">
        <v>3498</v>
      </c>
      <c r="R785" t="s">
        <v>3499</v>
      </c>
      <c r="S785">
        <v>5000000</v>
      </c>
      <c r="T785">
        <v>6</v>
      </c>
      <c r="V785" t="s">
        <v>227</v>
      </c>
      <c r="W785" t="s">
        <v>2800</v>
      </c>
      <c r="X785" t="str">
        <f t="shared" si="12"/>
        <v>BL428444@TRAC Corp</v>
      </c>
      <c r="Y785" t="str">
        <f>_xlfn.IFNA(_xll.BDP(X785,"INTERVAL_SUM", "MARKET_DATA_OVERRIDE=px_volume", "CALC_INTERVAL=5D"), "")</f>
        <v>#N/A N/A</v>
      </c>
      <c r="Z785" cm="1">
        <f t="array" ref="Z785">_xll.BDP(B785, "CF_ACT_CASH_PAID_FOR_INT_DEBT")</f>
        <v>40.290999999999997</v>
      </c>
      <c r="AA785" t="str" cm="1">
        <f t="array" ref="AA785">_xll.BDP(B785, "TYPE_OF_BOND")</f>
        <v>#N/A Field Not Applicable</v>
      </c>
    </row>
    <row r="786" spans="1:27" x14ac:dyDescent="0.25">
      <c r="A786">
        <v>784</v>
      </c>
      <c r="B786" t="s">
        <v>3500</v>
      </c>
      <c r="C786" s="4" t="s">
        <v>3497</v>
      </c>
      <c r="D786" s="4">
        <v>390000000</v>
      </c>
      <c r="E786" t="s">
        <v>33</v>
      </c>
      <c r="F786" s="1">
        <v>47581</v>
      </c>
      <c r="G786">
        <v>12.167400000000001</v>
      </c>
      <c r="H786" t="s">
        <v>13</v>
      </c>
      <c r="I786" t="s">
        <v>2631</v>
      </c>
      <c r="J786">
        <v>850</v>
      </c>
      <c r="L786" t="s">
        <v>1168</v>
      </c>
      <c r="M786" t="s">
        <v>10</v>
      </c>
      <c r="N786" t="s">
        <v>16</v>
      </c>
      <c r="O786" t="s">
        <v>3135</v>
      </c>
      <c r="P786" t="s">
        <v>2629</v>
      </c>
      <c r="Q786" t="s">
        <v>3498</v>
      </c>
      <c r="R786" t="s">
        <v>3501</v>
      </c>
      <c r="S786">
        <v>3000000</v>
      </c>
      <c r="T786">
        <v>2</v>
      </c>
      <c r="V786" t="s">
        <v>227</v>
      </c>
      <c r="W786" t="s">
        <v>2800</v>
      </c>
      <c r="X786" t="str">
        <f t="shared" si="12"/>
        <v>BL388094@TRAC Corp</v>
      </c>
      <c r="Y786" t="str">
        <f>_xlfn.IFNA(_xll.BDP(X786,"INTERVAL_SUM", "MARKET_DATA_OVERRIDE=px_volume", "CALC_INTERVAL=5D"), "")</f>
        <v>#N/A N/A</v>
      </c>
      <c r="Z786" cm="1">
        <f t="array" ref="Z786">_xll.BDP(B786, "CF_ACT_CASH_PAID_FOR_INT_DEBT")</f>
        <v>40.290999999999997</v>
      </c>
      <c r="AA786" t="str" cm="1">
        <f t="array" ref="AA786">_xll.BDP(B786, "TYPE_OF_BOND")</f>
        <v>#N/A Field Not Applicable</v>
      </c>
    </row>
    <row r="787" spans="1:27" x14ac:dyDescent="0.25">
      <c r="A787">
        <v>785</v>
      </c>
      <c r="B787" t="s">
        <v>3502</v>
      </c>
      <c r="C787" s="4" t="s">
        <v>3497</v>
      </c>
      <c r="D787" s="4">
        <v>1420800000</v>
      </c>
      <c r="E787" t="s">
        <v>11</v>
      </c>
      <c r="F787" s="1">
        <v>47217</v>
      </c>
      <c r="G787">
        <v>9.0174000000000003</v>
      </c>
      <c r="H787" t="s">
        <v>13</v>
      </c>
      <c r="I787" t="s">
        <v>2631</v>
      </c>
      <c r="J787">
        <v>525</v>
      </c>
      <c r="L787" t="s">
        <v>1168</v>
      </c>
      <c r="M787" t="s">
        <v>10</v>
      </c>
      <c r="N787" t="s">
        <v>16</v>
      </c>
      <c r="O787" t="s">
        <v>3135</v>
      </c>
      <c r="P787" t="s">
        <v>2629</v>
      </c>
      <c r="Q787" t="s">
        <v>3498</v>
      </c>
      <c r="R787" t="s">
        <v>3499</v>
      </c>
      <c r="S787">
        <v>5000000</v>
      </c>
      <c r="T787">
        <v>9</v>
      </c>
      <c r="V787" t="s">
        <v>227</v>
      </c>
      <c r="W787" t="s">
        <v>2800</v>
      </c>
      <c r="X787" t="str">
        <f t="shared" si="12"/>
        <v>BL387996@TRAC Corp</v>
      </c>
      <c r="Y787" t="str">
        <f>_xlfn.IFNA(_xll.BDP(X787,"INTERVAL_SUM", "MARKET_DATA_OVERRIDE=px_volume", "CALC_INTERVAL=5D"), "")</f>
        <v>#N/A N/A</v>
      </c>
      <c r="Z787" cm="1">
        <f t="array" ref="Z787">_xll.BDP(B787, "CF_ACT_CASH_PAID_FOR_INT_DEBT")</f>
        <v>40.290999999999997</v>
      </c>
      <c r="AA787" t="str" cm="1">
        <f t="array" ref="AA787">_xll.BDP(B787, "TYPE_OF_BOND")</f>
        <v>#N/A Field Not Applicable</v>
      </c>
    </row>
    <row r="788" spans="1:27" x14ac:dyDescent="0.25">
      <c r="A788">
        <v>786</v>
      </c>
      <c r="B788" t="s">
        <v>1665</v>
      </c>
      <c r="C788" s="4" t="s">
        <v>1666</v>
      </c>
      <c r="D788" s="4">
        <v>925301.25</v>
      </c>
      <c r="E788" t="s">
        <v>80</v>
      </c>
      <c r="F788" s="1">
        <v>47507</v>
      </c>
      <c r="G788">
        <v>9.7688000000000006</v>
      </c>
      <c r="H788" t="s">
        <v>13</v>
      </c>
      <c r="I788" t="s">
        <v>2631</v>
      </c>
      <c r="J788">
        <v>600</v>
      </c>
      <c r="L788" t="s">
        <v>1168</v>
      </c>
      <c r="M788" t="s">
        <v>10</v>
      </c>
      <c r="N788" t="s">
        <v>1149</v>
      </c>
      <c r="O788" t="s">
        <v>3206</v>
      </c>
      <c r="P788" t="s">
        <v>2684</v>
      </c>
      <c r="Q788" t="s">
        <v>3207</v>
      </c>
      <c r="R788" t="s">
        <v>1667</v>
      </c>
      <c r="V788" t="s">
        <v>256</v>
      </c>
      <c r="W788" t="s">
        <v>1668</v>
      </c>
      <c r="X788" t="str">
        <f t="shared" si="12"/>
        <v>BL516284@TRAC Corp</v>
      </c>
      <c r="Y788" t="str">
        <f>_xlfn.IFNA(_xll.BDP(X788,"INTERVAL_SUM", "MARKET_DATA_OVERRIDE=px_volume", "CALC_INTERVAL=5D"), "")</f>
        <v>#N/A N/A</v>
      </c>
      <c r="Z788" t="str" cm="1">
        <f t="array" ref="Z788">_xll.BDP(B788, "CF_ACT_CASH_PAID_FOR_INT_DEBT")</f>
        <v>#N/A N/A</v>
      </c>
      <c r="AA788" t="str" cm="1">
        <f t="array" ref="AA788">_xll.BDP(B788, "TYPE_OF_BOND")</f>
        <v>#N/A Field Not Applicable</v>
      </c>
    </row>
    <row r="789" spans="1:27" x14ac:dyDescent="0.25">
      <c r="A789">
        <v>787</v>
      </c>
      <c r="B789" t="s">
        <v>1669</v>
      </c>
      <c r="C789" s="4" t="s">
        <v>1666</v>
      </c>
      <c r="D789" s="4">
        <v>633810877.36000001</v>
      </c>
      <c r="E789" t="s">
        <v>80</v>
      </c>
      <c r="F789" s="1">
        <v>47507</v>
      </c>
      <c r="G789">
        <v>9.7795000000000005</v>
      </c>
      <c r="H789" t="s">
        <v>13</v>
      </c>
      <c r="I789" t="s">
        <v>2631</v>
      </c>
      <c r="J789">
        <v>600</v>
      </c>
      <c r="L789" t="s">
        <v>1168</v>
      </c>
      <c r="M789" t="s">
        <v>10</v>
      </c>
      <c r="N789" t="s">
        <v>1149</v>
      </c>
      <c r="O789" t="s">
        <v>3206</v>
      </c>
      <c r="P789" t="s">
        <v>2684</v>
      </c>
      <c r="Q789" t="s">
        <v>3207</v>
      </c>
      <c r="R789" t="s">
        <v>1667</v>
      </c>
      <c r="S789">
        <v>3212407.0008849199</v>
      </c>
      <c r="T789">
        <v>2</v>
      </c>
      <c r="V789" t="s">
        <v>256</v>
      </c>
      <c r="W789" t="s">
        <v>1668</v>
      </c>
      <c r="X789" t="str">
        <f t="shared" si="12"/>
        <v>BL507120@TRAC Corp</v>
      </c>
      <c r="Y789" t="str">
        <f>_xlfn.IFNA(_xll.BDP(X789,"INTERVAL_SUM", "MARKET_DATA_OVERRIDE=px_volume", "CALC_INTERVAL=5D"), "")</f>
        <v>#N/A N/A</v>
      </c>
      <c r="Z789" t="str" cm="1">
        <f t="array" ref="Z789">_xll.BDP(B789, "CF_ACT_CASH_PAID_FOR_INT_DEBT")</f>
        <v>#N/A N/A</v>
      </c>
      <c r="AA789" t="str" cm="1">
        <f t="array" ref="AA789">_xll.BDP(B789, "TYPE_OF_BOND")</f>
        <v>#N/A Field Not Applicable</v>
      </c>
    </row>
    <row r="790" spans="1:27" x14ac:dyDescent="0.25">
      <c r="A790">
        <v>788</v>
      </c>
      <c r="B790" t="s">
        <v>1670</v>
      </c>
      <c r="C790" s="4" t="s">
        <v>1666</v>
      </c>
      <c r="D790" s="4">
        <v>1401567470.25</v>
      </c>
      <c r="E790" t="s">
        <v>80</v>
      </c>
      <c r="F790" s="1">
        <v>47142</v>
      </c>
      <c r="G790">
        <v>7.0994999999999999</v>
      </c>
      <c r="H790" t="s">
        <v>13</v>
      </c>
      <c r="I790" t="s">
        <v>2635</v>
      </c>
      <c r="J790">
        <v>325</v>
      </c>
      <c r="L790" t="s">
        <v>1168</v>
      </c>
      <c r="M790" t="s">
        <v>10</v>
      </c>
      <c r="N790" t="s">
        <v>1149</v>
      </c>
      <c r="O790" t="s">
        <v>3206</v>
      </c>
      <c r="P790" t="s">
        <v>2684</v>
      </c>
      <c r="Q790" t="s">
        <v>3207</v>
      </c>
      <c r="R790" t="s">
        <v>1671</v>
      </c>
      <c r="S790">
        <v>10000000</v>
      </c>
      <c r="T790">
        <v>7</v>
      </c>
      <c r="V790" t="s">
        <v>227</v>
      </c>
      <c r="W790" t="s">
        <v>1668</v>
      </c>
      <c r="X790" t="str">
        <f t="shared" si="12"/>
        <v>BL507119@TRAC Corp</v>
      </c>
      <c r="Y790" t="str">
        <f>_xlfn.IFNA(_xll.BDP(X790,"INTERVAL_SUM", "MARKET_DATA_OVERRIDE=px_volume", "CALC_INTERVAL=5D"), "")</f>
        <v>#N/A N/A</v>
      </c>
      <c r="Z790" t="str" cm="1">
        <f t="array" ref="Z790">_xll.BDP(B790, "CF_ACT_CASH_PAID_FOR_INT_DEBT")</f>
        <v>#N/A N/A</v>
      </c>
      <c r="AA790" t="str" cm="1">
        <f t="array" ref="AA790">_xll.BDP(B790, "TYPE_OF_BOND")</f>
        <v>#N/A Field Not Applicable</v>
      </c>
    </row>
    <row r="791" spans="1:27" x14ac:dyDescent="0.25">
      <c r="A791">
        <v>789</v>
      </c>
      <c r="B791" t="s">
        <v>1672</v>
      </c>
      <c r="C791" s="4" t="s">
        <v>1666</v>
      </c>
      <c r="D791" s="4">
        <v>518710225.35000002</v>
      </c>
      <c r="E791" t="s">
        <v>80</v>
      </c>
      <c r="F791" s="1">
        <v>47142</v>
      </c>
      <c r="G791">
        <v>9.1687999999999992</v>
      </c>
      <c r="H791" t="s">
        <v>13</v>
      </c>
      <c r="I791" t="s">
        <v>2631</v>
      </c>
      <c r="J791">
        <v>550</v>
      </c>
      <c r="L791" t="s">
        <v>1168</v>
      </c>
      <c r="M791" t="s">
        <v>10</v>
      </c>
      <c r="N791" t="s">
        <v>1149</v>
      </c>
      <c r="O791" t="s">
        <v>3206</v>
      </c>
      <c r="P791" t="s">
        <v>2684</v>
      </c>
      <c r="Q791" t="s">
        <v>3207</v>
      </c>
      <c r="R791" t="s">
        <v>1671</v>
      </c>
      <c r="S791">
        <v>5000000</v>
      </c>
      <c r="T791">
        <v>17</v>
      </c>
      <c r="V791" t="s">
        <v>227</v>
      </c>
      <c r="W791" t="s">
        <v>1668</v>
      </c>
      <c r="X791" t="str">
        <f t="shared" si="12"/>
        <v>BL507118@TRAC Corp</v>
      </c>
      <c r="Y791" t="str">
        <f>_xlfn.IFNA(_xll.BDP(X791,"INTERVAL_SUM", "MARKET_DATA_OVERRIDE=px_volume", "CALC_INTERVAL=5D"), "")</f>
        <v>#N/A N/A</v>
      </c>
      <c r="Z791" t="str" cm="1">
        <f t="array" ref="Z791">_xll.BDP(B791, "CF_ACT_CASH_PAID_FOR_INT_DEBT")</f>
        <v>#N/A N/A</v>
      </c>
      <c r="AA791" t="str" cm="1">
        <f t="array" ref="AA791">_xll.BDP(B791, "TYPE_OF_BOND")</f>
        <v>#N/A Field Not Applicable</v>
      </c>
    </row>
    <row r="792" spans="1:27" x14ac:dyDescent="0.25">
      <c r="A792">
        <v>790</v>
      </c>
      <c r="B792" t="s">
        <v>1673</v>
      </c>
      <c r="C792" s="4" t="s">
        <v>1666</v>
      </c>
      <c r="D792" s="4">
        <v>72374519.150000006</v>
      </c>
      <c r="E792" t="s">
        <v>33</v>
      </c>
      <c r="F792" s="1">
        <v>47507</v>
      </c>
      <c r="G792">
        <v>9.8495000000000008</v>
      </c>
      <c r="H792" t="s">
        <v>13</v>
      </c>
      <c r="I792" t="s">
        <v>2635</v>
      </c>
      <c r="J792">
        <v>600</v>
      </c>
      <c r="L792" t="s">
        <v>1168</v>
      </c>
      <c r="M792" t="s">
        <v>10</v>
      </c>
      <c r="N792" t="s">
        <v>1149</v>
      </c>
      <c r="O792" t="s">
        <v>3206</v>
      </c>
      <c r="P792" t="s">
        <v>2684</v>
      </c>
      <c r="Q792" t="s">
        <v>3207</v>
      </c>
      <c r="R792" t="s">
        <v>1674</v>
      </c>
      <c r="S792">
        <v>3327437.49863749</v>
      </c>
      <c r="T792">
        <v>1</v>
      </c>
      <c r="V792" t="s">
        <v>227</v>
      </c>
      <c r="W792" t="s">
        <v>1668</v>
      </c>
      <c r="X792" t="str">
        <f t="shared" si="12"/>
        <v>BL383585@TRAC Corp</v>
      </c>
      <c r="Y792" t="str">
        <f>_xlfn.IFNA(_xll.BDP(X792,"INTERVAL_SUM", "MARKET_DATA_OVERRIDE=px_volume", "CALC_INTERVAL=5D"), "")</f>
        <v>#N/A N/A</v>
      </c>
      <c r="Z792" t="str" cm="1">
        <f t="array" ref="Z792">_xll.BDP(B792, "CF_ACT_CASH_PAID_FOR_INT_DEBT")</f>
        <v>#N/A N/A</v>
      </c>
      <c r="AA792" t="str" cm="1">
        <f t="array" ref="AA792">_xll.BDP(B792, "TYPE_OF_BOND")</f>
        <v>#N/A Field Not Applicable</v>
      </c>
    </row>
    <row r="793" spans="1:27" x14ac:dyDescent="0.25">
      <c r="A793">
        <v>791</v>
      </c>
      <c r="B793" t="s">
        <v>1675</v>
      </c>
      <c r="C793" s="4" t="s">
        <v>1676</v>
      </c>
      <c r="D793" s="4">
        <v>166663393.19999999</v>
      </c>
      <c r="E793" t="s">
        <v>17</v>
      </c>
      <c r="F793" s="1">
        <v>46185</v>
      </c>
      <c r="H793" t="s">
        <v>34</v>
      </c>
      <c r="I793" t="s">
        <v>2686</v>
      </c>
      <c r="L793" t="s">
        <v>1677</v>
      </c>
      <c r="M793" t="s">
        <v>1678</v>
      </c>
      <c r="N793" t="s">
        <v>36</v>
      </c>
      <c r="O793" t="s">
        <v>2654</v>
      </c>
      <c r="P793" t="s">
        <v>2654</v>
      </c>
      <c r="Q793" t="s">
        <v>2654</v>
      </c>
      <c r="R793" t="s">
        <v>1679</v>
      </c>
      <c r="S793">
        <v>-9997</v>
      </c>
      <c r="U793" t="s">
        <v>1680</v>
      </c>
      <c r="W793" t="s">
        <v>1681</v>
      </c>
      <c r="X793" t="str">
        <f t="shared" si="12"/>
        <v>YW054263@TRAC Corp</v>
      </c>
      <c r="Y793" t="str">
        <f>_xlfn.IFNA(_xll.BDP(X793,"INTERVAL_SUM", "MARKET_DATA_OVERRIDE=px_volume", "CALC_INTERVAL=5D"), "")</f>
        <v>#N/A N/A</v>
      </c>
      <c r="Z793" cm="1">
        <f t="array" ref="Z793">_xll.BDP(B793, "CF_ACT_CASH_PAID_FOR_INT_DEBT")</f>
        <v>1486.732</v>
      </c>
      <c r="AA793" t="str" cm="1">
        <f t="array" ref="AA793">_xll.BDP(B793, "TYPE_OF_BOND")</f>
        <v>#N/A Field Not Applicable</v>
      </c>
    </row>
    <row r="794" spans="1:27" x14ac:dyDescent="0.25">
      <c r="A794">
        <v>792</v>
      </c>
      <c r="B794" t="s">
        <v>1682</v>
      </c>
      <c r="C794" s="4" t="s">
        <v>1676</v>
      </c>
      <c r="D794" s="4">
        <v>172440118.51300001</v>
      </c>
      <c r="E794" t="s">
        <v>17</v>
      </c>
      <c r="F794" s="1">
        <v>48395</v>
      </c>
      <c r="G794">
        <v>7.5</v>
      </c>
      <c r="H794" t="s">
        <v>34</v>
      </c>
      <c r="L794" t="s">
        <v>1168</v>
      </c>
      <c r="M794" t="s">
        <v>10</v>
      </c>
      <c r="N794" t="s">
        <v>36</v>
      </c>
      <c r="O794" t="s">
        <v>2654</v>
      </c>
      <c r="P794" t="s">
        <v>2654</v>
      </c>
      <c r="Q794" t="s">
        <v>2654</v>
      </c>
      <c r="R794" t="s">
        <v>1683</v>
      </c>
      <c r="S794">
        <v>-9997</v>
      </c>
      <c r="W794" t="s">
        <v>1681</v>
      </c>
      <c r="X794" t="str">
        <f t="shared" si="12"/>
        <v>YR945323@TRAC Corp</v>
      </c>
      <c r="Y794" t="str">
        <f>_xlfn.IFNA(_xll.BDP(X794,"INTERVAL_SUM", "MARKET_DATA_OVERRIDE=px_volume", "CALC_INTERVAL=5D"), "")</f>
        <v>#N/A N/A</v>
      </c>
      <c r="Z794" cm="1">
        <f t="array" ref="Z794">_xll.BDP(B794, "CF_ACT_CASH_PAID_FOR_INT_DEBT")</f>
        <v>1486.732</v>
      </c>
      <c r="AA794" t="str" cm="1">
        <f t="array" ref="AA794">_xll.BDP(B794, "TYPE_OF_BOND")</f>
        <v>Toggle</v>
      </c>
    </row>
    <row r="795" spans="1:27" x14ac:dyDescent="0.25">
      <c r="A795">
        <v>793</v>
      </c>
      <c r="B795" t="s">
        <v>1684</v>
      </c>
      <c r="C795" s="4" t="s">
        <v>1676</v>
      </c>
      <c r="D795" s="4">
        <v>1375000000</v>
      </c>
      <c r="E795" t="s">
        <v>11</v>
      </c>
      <c r="F795" s="1">
        <v>47894</v>
      </c>
      <c r="G795">
        <v>9.875</v>
      </c>
      <c r="H795" t="s">
        <v>9</v>
      </c>
      <c r="L795" t="s">
        <v>1168</v>
      </c>
      <c r="M795" t="s">
        <v>10</v>
      </c>
      <c r="N795" t="s">
        <v>36</v>
      </c>
      <c r="O795" t="s">
        <v>2654</v>
      </c>
      <c r="P795" t="s">
        <v>2654</v>
      </c>
      <c r="Q795" t="s">
        <v>2654</v>
      </c>
      <c r="R795" t="s">
        <v>1685</v>
      </c>
      <c r="S795">
        <v>8227803.0572343897</v>
      </c>
      <c r="T795">
        <v>26</v>
      </c>
      <c r="U795" t="s">
        <v>1169</v>
      </c>
      <c r="W795" t="s">
        <v>1681</v>
      </c>
      <c r="X795" t="str">
        <f t="shared" si="12"/>
        <v>YI499382@TRAC Corp</v>
      </c>
      <c r="Y795">
        <f>_xlfn.IFNA(_xll.BDP(X795,"INTERVAL_SUM", "MARKET_DATA_OVERRIDE=px_volume", "CALC_INTERVAL=5D"), "")</f>
        <v>1200</v>
      </c>
      <c r="Z795" cm="1">
        <f t="array" ref="Z795">_xll.BDP(B795, "CF_ACT_CASH_PAID_FOR_INT_DEBT")</f>
        <v>1486.732</v>
      </c>
      <c r="AA795" t="str" cm="1">
        <f t="array" ref="AA795">_xll.BDP(B795, "TYPE_OF_BOND")</f>
        <v>#N/A Field Not Applicable</v>
      </c>
    </row>
    <row r="796" spans="1:27" x14ac:dyDescent="0.25">
      <c r="A796">
        <v>794</v>
      </c>
      <c r="B796" t="s">
        <v>1686</v>
      </c>
      <c r="C796" s="4" t="s">
        <v>1676</v>
      </c>
      <c r="D796" s="4">
        <v>1202997000</v>
      </c>
      <c r="E796" t="s">
        <v>12</v>
      </c>
      <c r="F796" s="1">
        <v>47052</v>
      </c>
      <c r="G796">
        <v>12.25</v>
      </c>
      <c r="H796" t="s">
        <v>34</v>
      </c>
      <c r="L796" t="s">
        <v>1677</v>
      </c>
      <c r="M796" t="s">
        <v>1678</v>
      </c>
      <c r="N796" t="s">
        <v>36</v>
      </c>
      <c r="O796" t="s">
        <v>2654</v>
      </c>
      <c r="P796" t="s">
        <v>2654</v>
      </c>
      <c r="Q796" t="s">
        <v>2654</v>
      </c>
      <c r="R796" t="s">
        <v>1687</v>
      </c>
      <c r="S796">
        <v>-9997</v>
      </c>
      <c r="U796">
        <v>11</v>
      </c>
      <c r="W796" t="s">
        <v>1681</v>
      </c>
      <c r="X796" t="str">
        <f t="shared" si="12"/>
        <v>BM430276@TRAC Corp</v>
      </c>
      <c r="Y796" t="str">
        <f>_xlfn.IFNA(_xll.BDP(X796,"INTERVAL_SUM", "MARKET_DATA_OVERRIDE=px_volume", "CALC_INTERVAL=5D"), "")</f>
        <v>#N/A N/A</v>
      </c>
      <c r="Z796" cm="1">
        <f t="array" ref="Z796">_xll.BDP(B796, "CF_ACT_CASH_PAID_FOR_INT_DEBT")</f>
        <v>1486.732</v>
      </c>
      <c r="AA796" t="str" cm="1">
        <f t="array" ref="AA796">_xll.BDP(B796, "TYPE_OF_BOND")</f>
        <v>Convertible</v>
      </c>
    </row>
    <row r="797" spans="1:27" x14ac:dyDescent="0.25">
      <c r="A797">
        <v>795</v>
      </c>
      <c r="B797" t="s">
        <v>1688</v>
      </c>
      <c r="C797" s="4" t="s">
        <v>1676</v>
      </c>
      <c r="D797" s="4">
        <v>150166875.40000001</v>
      </c>
      <c r="E797" t="s">
        <v>17</v>
      </c>
      <c r="F797" s="1">
        <v>47107</v>
      </c>
      <c r="H797" t="s">
        <v>34</v>
      </c>
      <c r="I797" t="s">
        <v>2686</v>
      </c>
      <c r="L797" t="s">
        <v>1677</v>
      </c>
      <c r="M797" t="s">
        <v>1678</v>
      </c>
      <c r="N797" t="s">
        <v>36</v>
      </c>
      <c r="O797" t="s">
        <v>2654</v>
      </c>
      <c r="P797" t="s">
        <v>2654</v>
      </c>
      <c r="Q797" t="s">
        <v>2654</v>
      </c>
      <c r="R797" t="s">
        <v>1689</v>
      </c>
      <c r="S797">
        <v>-9997</v>
      </c>
      <c r="U797" t="s">
        <v>1690</v>
      </c>
      <c r="W797" t="s">
        <v>1681</v>
      </c>
      <c r="X797" t="str">
        <f t="shared" si="12"/>
        <v>AW428028@TRAC Corp</v>
      </c>
      <c r="Y797" t="str">
        <f>_xlfn.IFNA(_xll.BDP(X797,"INTERVAL_SUM", "MARKET_DATA_OVERRIDE=px_volume", "CALC_INTERVAL=5D"), "")</f>
        <v>#N/A N/A</v>
      </c>
      <c r="Z797" cm="1">
        <f t="array" ref="Z797">_xll.BDP(B797, "CF_ACT_CASH_PAID_FOR_INT_DEBT")</f>
        <v>1486.732</v>
      </c>
      <c r="AA797" t="str" cm="1">
        <f t="array" ref="AA797">_xll.BDP(B797, "TYPE_OF_BOND")</f>
        <v>#N/A Field Not Applicable</v>
      </c>
    </row>
    <row r="798" spans="1:27" x14ac:dyDescent="0.25">
      <c r="A798">
        <v>796</v>
      </c>
      <c r="B798" t="s">
        <v>1691</v>
      </c>
      <c r="C798" s="4" t="s">
        <v>1676</v>
      </c>
      <c r="D798" s="4">
        <v>328706380.5</v>
      </c>
      <c r="E798" t="s">
        <v>17</v>
      </c>
      <c r="F798" s="1">
        <v>47107</v>
      </c>
      <c r="H798" t="s">
        <v>34</v>
      </c>
      <c r="I798" t="s">
        <v>2686</v>
      </c>
      <c r="L798" t="s">
        <v>1677</v>
      </c>
      <c r="M798" t="s">
        <v>1678</v>
      </c>
      <c r="N798" t="s">
        <v>36</v>
      </c>
      <c r="O798" t="s">
        <v>2654</v>
      </c>
      <c r="P798" t="s">
        <v>2654</v>
      </c>
      <c r="Q798" t="s">
        <v>2654</v>
      </c>
      <c r="R798" t="s">
        <v>1689</v>
      </c>
      <c r="S798">
        <v>-9997</v>
      </c>
      <c r="U798">
        <v>19</v>
      </c>
      <c r="W798" t="s">
        <v>1681</v>
      </c>
      <c r="X798" t="str">
        <f t="shared" si="12"/>
        <v>AT306949@TRAC Corp</v>
      </c>
      <c r="Y798" t="str">
        <f>_xlfn.IFNA(_xll.BDP(X798,"INTERVAL_SUM", "MARKET_DATA_OVERRIDE=px_volume", "CALC_INTERVAL=5D"), "")</f>
        <v>#N/A N/A</v>
      </c>
      <c r="Z798" cm="1">
        <f t="array" ref="Z798">_xll.BDP(B798, "CF_ACT_CASH_PAID_FOR_INT_DEBT")</f>
        <v>1486.732</v>
      </c>
      <c r="AA798" t="str" cm="1">
        <f t="array" ref="AA798">_xll.BDP(B798, "TYPE_OF_BOND")</f>
        <v>#N/A Field Not Applicable</v>
      </c>
    </row>
    <row r="799" spans="1:27" x14ac:dyDescent="0.25">
      <c r="A799">
        <v>797</v>
      </c>
      <c r="B799" t="s">
        <v>1692</v>
      </c>
      <c r="C799" s="4" t="s">
        <v>1693</v>
      </c>
      <c r="D799" s="4">
        <v>433440000</v>
      </c>
      <c r="E799" t="s">
        <v>11</v>
      </c>
      <c r="F799" s="1">
        <v>47576</v>
      </c>
      <c r="G799">
        <v>9.1640999999999995</v>
      </c>
      <c r="H799" t="s">
        <v>13</v>
      </c>
      <c r="I799" t="s">
        <v>2631</v>
      </c>
      <c r="J799">
        <v>550</v>
      </c>
      <c r="L799" t="s">
        <v>1168</v>
      </c>
      <c r="M799" t="s">
        <v>1501</v>
      </c>
      <c r="N799" t="s">
        <v>460</v>
      </c>
      <c r="O799" t="s">
        <v>2655</v>
      </c>
      <c r="P799" t="s">
        <v>2655</v>
      </c>
      <c r="Q799" t="s">
        <v>3139</v>
      </c>
      <c r="R799" t="s">
        <v>1694</v>
      </c>
      <c r="S799">
        <v>3393355.9679528298</v>
      </c>
      <c r="T799">
        <v>6</v>
      </c>
      <c r="V799" t="s">
        <v>227</v>
      </c>
      <c r="W799" t="s">
        <v>1695</v>
      </c>
      <c r="X799" t="str">
        <f t="shared" si="12"/>
        <v>BL424556@TRAC Corp</v>
      </c>
      <c r="Y799" t="str">
        <f>_xlfn.IFNA(_xll.BDP(X799,"INTERVAL_SUM", "MARKET_DATA_OVERRIDE=px_volume", "CALC_INTERVAL=5D"), "")</f>
        <v>#N/A N/A</v>
      </c>
      <c r="Z799" t="str" cm="1">
        <f t="array" ref="Z799">_xll.BDP(B799, "CF_ACT_CASH_PAID_FOR_INT_DEBT")</f>
        <v>#N/A N/A</v>
      </c>
      <c r="AA799" t="str" cm="1">
        <f t="array" ref="AA799">_xll.BDP(B799, "TYPE_OF_BOND")</f>
        <v>#N/A Field Not Applicable</v>
      </c>
    </row>
    <row r="800" spans="1:27" x14ac:dyDescent="0.25">
      <c r="A800">
        <v>798</v>
      </c>
      <c r="B800" t="s">
        <v>1696</v>
      </c>
      <c r="C800" s="4" t="s">
        <v>1693</v>
      </c>
      <c r="D800" s="4">
        <v>1365539175</v>
      </c>
      <c r="E800" t="s">
        <v>11</v>
      </c>
      <c r="F800" s="1">
        <v>47576</v>
      </c>
      <c r="G800">
        <v>9.1639999999999997</v>
      </c>
      <c r="H800" t="s">
        <v>13</v>
      </c>
      <c r="I800" t="s">
        <v>2635</v>
      </c>
      <c r="J800">
        <v>550</v>
      </c>
      <c r="L800" t="s">
        <v>1168</v>
      </c>
      <c r="M800" t="s">
        <v>1501</v>
      </c>
      <c r="N800" t="s">
        <v>460</v>
      </c>
      <c r="O800" t="s">
        <v>2655</v>
      </c>
      <c r="P800" t="s">
        <v>2655</v>
      </c>
      <c r="Q800" t="s">
        <v>3139</v>
      </c>
      <c r="R800" t="s">
        <v>1697</v>
      </c>
      <c r="S800">
        <v>3000000</v>
      </c>
      <c r="T800">
        <v>7</v>
      </c>
      <c r="V800" t="s">
        <v>227</v>
      </c>
      <c r="W800" t="s">
        <v>1695</v>
      </c>
      <c r="X800" t="str">
        <f t="shared" si="12"/>
        <v>BL424555@TRAC Corp</v>
      </c>
      <c r="Y800" t="str">
        <f>_xlfn.IFNA(_xll.BDP(X800,"INTERVAL_SUM", "MARKET_DATA_OVERRIDE=px_volume", "CALC_INTERVAL=5D"), "")</f>
        <v>#N/A N/A</v>
      </c>
      <c r="Z800" t="str" cm="1">
        <f t="array" ref="Z800">_xll.BDP(B800, "CF_ACT_CASH_PAID_FOR_INT_DEBT")</f>
        <v>#N/A N/A</v>
      </c>
      <c r="AA800" t="str" cm="1">
        <f t="array" ref="AA800">_xll.BDP(B800, "TYPE_OF_BOND")</f>
        <v>#N/A Field Not Applicable</v>
      </c>
    </row>
    <row r="801" spans="1:27" x14ac:dyDescent="0.25">
      <c r="A801">
        <v>799</v>
      </c>
      <c r="B801" t="s">
        <v>1698</v>
      </c>
      <c r="C801" s="4" t="s">
        <v>1693</v>
      </c>
      <c r="D801" s="4">
        <v>1150000000</v>
      </c>
      <c r="E801" t="s">
        <v>11</v>
      </c>
      <c r="F801" s="1">
        <v>47576</v>
      </c>
      <c r="G801">
        <v>7.8209999999999997</v>
      </c>
      <c r="H801" t="s">
        <v>13</v>
      </c>
      <c r="I801" t="s">
        <v>2636</v>
      </c>
      <c r="J801">
        <v>550</v>
      </c>
      <c r="L801" t="s">
        <v>1171</v>
      </c>
      <c r="M801" t="s">
        <v>1501</v>
      </c>
      <c r="N801" t="s">
        <v>460</v>
      </c>
      <c r="O801" t="s">
        <v>2655</v>
      </c>
      <c r="P801" t="s">
        <v>2655</v>
      </c>
      <c r="Q801" t="s">
        <v>3139</v>
      </c>
      <c r="R801" t="s">
        <v>1699</v>
      </c>
      <c r="S801">
        <v>2000000</v>
      </c>
      <c r="T801">
        <v>13</v>
      </c>
      <c r="V801" t="s">
        <v>227</v>
      </c>
      <c r="W801" t="s">
        <v>1695</v>
      </c>
      <c r="X801" t="str">
        <f t="shared" si="12"/>
        <v>BL424553@TRAC Corp</v>
      </c>
      <c r="Y801" t="str">
        <f>_xlfn.IFNA(_xll.BDP(X801,"INTERVAL_SUM", "MARKET_DATA_OVERRIDE=px_volume", "CALC_INTERVAL=5D"), "")</f>
        <v>#N/A N/A</v>
      </c>
      <c r="Z801" t="str" cm="1">
        <f t="array" ref="Z801">_xll.BDP(B801, "CF_ACT_CASH_PAID_FOR_INT_DEBT")</f>
        <v>#N/A N/A</v>
      </c>
      <c r="AA801" t="str" cm="1">
        <f t="array" ref="AA801">_xll.BDP(B801, "TYPE_OF_BOND")</f>
        <v>#N/A Field Not Applicable</v>
      </c>
    </row>
    <row r="802" spans="1:27" x14ac:dyDescent="0.25">
      <c r="A802">
        <v>800</v>
      </c>
      <c r="B802" t="s">
        <v>1700</v>
      </c>
      <c r="C802" s="4" t="s">
        <v>1701</v>
      </c>
      <c r="D802" s="4">
        <v>57000000</v>
      </c>
      <c r="E802" t="s">
        <v>11</v>
      </c>
      <c r="F802" s="1">
        <v>46588</v>
      </c>
      <c r="G802">
        <v>7.9939</v>
      </c>
      <c r="H802" t="s">
        <v>13</v>
      </c>
      <c r="I802" t="s">
        <v>2631</v>
      </c>
      <c r="J802">
        <v>425</v>
      </c>
      <c r="L802" t="s">
        <v>1168</v>
      </c>
      <c r="M802" t="s">
        <v>10</v>
      </c>
      <c r="N802" t="s">
        <v>15</v>
      </c>
      <c r="O802" t="s">
        <v>3110</v>
      </c>
      <c r="P802" t="s">
        <v>2637</v>
      </c>
      <c r="Q802" t="s">
        <v>3111</v>
      </c>
      <c r="R802" t="s">
        <v>1702</v>
      </c>
      <c r="V802" t="s">
        <v>226</v>
      </c>
      <c r="W802" t="s">
        <v>1703</v>
      </c>
      <c r="X802" t="str">
        <f t="shared" si="12"/>
        <v>BL398125@TRAC Corp</v>
      </c>
      <c r="Y802" t="str">
        <f>_xlfn.IFNA(_xll.BDP(X802,"INTERVAL_SUM", "MARKET_DATA_OVERRIDE=px_volume", "CALC_INTERVAL=5D"), "")</f>
        <v>#N/A N/A</v>
      </c>
      <c r="Z802" t="str" cm="1">
        <f t="array" ref="Z802">_xll.BDP(B802, "CF_ACT_CASH_PAID_FOR_INT_DEBT")</f>
        <v>#N/A N/A</v>
      </c>
      <c r="AA802" t="str" cm="1">
        <f t="array" ref="AA802">_xll.BDP(B802, "TYPE_OF_BOND")</f>
        <v>#N/A Field Not Applicable</v>
      </c>
    </row>
    <row r="803" spans="1:27" x14ac:dyDescent="0.25">
      <c r="A803">
        <v>801</v>
      </c>
      <c r="B803" t="s">
        <v>1704</v>
      </c>
      <c r="C803" s="4" t="s">
        <v>1701</v>
      </c>
      <c r="D803" s="4">
        <v>348000000</v>
      </c>
      <c r="E803" t="s">
        <v>33</v>
      </c>
      <c r="F803" s="1">
        <v>47684</v>
      </c>
      <c r="H803" t="s">
        <v>13</v>
      </c>
      <c r="L803" t="s">
        <v>1168</v>
      </c>
      <c r="M803" t="s">
        <v>10</v>
      </c>
      <c r="N803" t="s">
        <v>15</v>
      </c>
      <c r="O803" t="s">
        <v>3110</v>
      </c>
      <c r="P803" t="s">
        <v>2637</v>
      </c>
      <c r="Q803" t="s">
        <v>3111</v>
      </c>
      <c r="R803" t="s">
        <v>1705</v>
      </c>
      <c r="V803" t="s">
        <v>227</v>
      </c>
      <c r="W803" t="s">
        <v>1703</v>
      </c>
      <c r="X803" t="str">
        <f t="shared" si="12"/>
        <v>BL392748@TRAC Corp</v>
      </c>
      <c r="Y803" t="str">
        <f>_xlfn.IFNA(_xll.BDP(X803,"INTERVAL_SUM", "MARKET_DATA_OVERRIDE=px_volume", "CALC_INTERVAL=5D"), "")</f>
        <v>#N/A N/A</v>
      </c>
      <c r="Z803" t="str" cm="1">
        <f t="array" ref="Z803">_xll.BDP(B803, "CF_ACT_CASH_PAID_FOR_INT_DEBT")</f>
        <v>#N/A N/A</v>
      </c>
      <c r="AA803" t="str" cm="1">
        <f t="array" ref="AA803">_xll.BDP(B803, "TYPE_OF_BOND")</f>
        <v>#N/A Field Not Applicable</v>
      </c>
    </row>
    <row r="804" spans="1:27" x14ac:dyDescent="0.25">
      <c r="A804">
        <v>802</v>
      </c>
      <c r="B804" t="s">
        <v>1706</v>
      </c>
      <c r="C804" s="4" t="s">
        <v>1701</v>
      </c>
      <c r="D804" s="4">
        <v>1346000000</v>
      </c>
      <c r="E804" t="s">
        <v>11</v>
      </c>
      <c r="F804" s="1">
        <v>47319</v>
      </c>
      <c r="G804">
        <v>8.9918999999999993</v>
      </c>
      <c r="H804" t="s">
        <v>13</v>
      </c>
      <c r="I804" t="s">
        <v>2635</v>
      </c>
      <c r="J804">
        <v>525</v>
      </c>
      <c r="L804" t="s">
        <v>1168</v>
      </c>
      <c r="M804" t="s">
        <v>10</v>
      </c>
      <c r="N804" t="s">
        <v>15</v>
      </c>
      <c r="O804" t="s">
        <v>3110</v>
      </c>
      <c r="P804" t="s">
        <v>2637</v>
      </c>
      <c r="Q804" t="s">
        <v>3111</v>
      </c>
      <c r="R804" t="s">
        <v>1707</v>
      </c>
      <c r="S804">
        <v>2000000</v>
      </c>
      <c r="T804">
        <v>4</v>
      </c>
      <c r="V804" t="s">
        <v>227</v>
      </c>
      <c r="W804" t="s">
        <v>1703</v>
      </c>
      <c r="X804" t="str">
        <f t="shared" si="12"/>
        <v>BL392630@TRAC Corp</v>
      </c>
      <c r="Y804" t="str">
        <f>_xlfn.IFNA(_xll.BDP(X804,"INTERVAL_SUM", "MARKET_DATA_OVERRIDE=px_volume", "CALC_INTERVAL=5D"), "")</f>
        <v>#N/A N/A</v>
      </c>
      <c r="Z804" t="str" cm="1">
        <f t="array" ref="Z804">_xll.BDP(B804, "CF_ACT_CASH_PAID_FOR_INT_DEBT")</f>
        <v>#N/A N/A</v>
      </c>
      <c r="AA804" t="str" cm="1">
        <f t="array" ref="AA804">_xll.BDP(B804, "TYPE_OF_BOND")</f>
        <v>#N/A Field Not Applicable</v>
      </c>
    </row>
    <row r="805" spans="1:27" x14ac:dyDescent="0.25">
      <c r="A805">
        <v>803</v>
      </c>
      <c r="B805" t="s">
        <v>1718</v>
      </c>
      <c r="C805" s="4" t="s">
        <v>1719</v>
      </c>
      <c r="D805" s="4">
        <v>1000000000</v>
      </c>
      <c r="E805" t="s">
        <v>11</v>
      </c>
      <c r="F805" s="1">
        <v>46993</v>
      </c>
      <c r="G805">
        <v>5.9619999999999997</v>
      </c>
      <c r="H805" t="s">
        <v>13</v>
      </c>
      <c r="I805" t="s">
        <v>2638</v>
      </c>
      <c r="J805">
        <v>375</v>
      </c>
      <c r="L805" t="s">
        <v>1171</v>
      </c>
      <c r="M805" t="s">
        <v>35</v>
      </c>
      <c r="N805" t="s">
        <v>15</v>
      </c>
      <c r="O805" t="s">
        <v>3110</v>
      </c>
      <c r="P805" t="s">
        <v>2634</v>
      </c>
      <c r="Q805" t="s">
        <v>3114</v>
      </c>
      <c r="R805" t="s">
        <v>1720</v>
      </c>
      <c r="S805">
        <v>2000000</v>
      </c>
      <c r="T805">
        <v>3</v>
      </c>
      <c r="V805" t="s">
        <v>227</v>
      </c>
      <c r="W805" t="s">
        <v>1721</v>
      </c>
      <c r="X805" t="str">
        <f t="shared" si="12"/>
        <v>BL367647@TRAC Corp</v>
      </c>
      <c r="Y805" t="str">
        <f>_xlfn.IFNA(_xll.BDP(X805,"INTERVAL_SUM", "MARKET_DATA_OVERRIDE=px_volume", "CALC_INTERVAL=5D"), "")</f>
        <v>#N/A N/A</v>
      </c>
      <c r="Z805" t="str" cm="1">
        <f t="array" ref="Z805">_xll.BDP(B805, "CF_ACT_CASH_PAID_FOR_INT_DEBT")</f>
        <v>#N/A N/A</v>
      </c>
      <c r="AA805" t="str" cm="1">
        <f t="array" ref="AA805">_xll.BDP(B805, "TYPE_OF_BOND")</f>
        <v>#N/A Field Not Applicable</v>
      </c>
    </row>
    <row r="806" spans="1:27" x14ac:dyDescent="0.25">
      <c r="A806">
        <v>804</v>
      </c>
      <c r="B806" t="s">
        <v>1722</v>
      </c>
      <c r="C806" s="4" t="s">
        <v>1719</v>
      </c>
      <c r="D806" s="4">
        <v>1333500000</v>
      </c>
      <c r="E806" t="s">
        <v>11</v>
      </c>
      <c r="F806" s="1">
        <v>46993</v>
      </c>
      <c r="G806">
        <v>7.5438999999999998</v>
      </c>
      <c r="H806" t="s">
        <v>13</v>
      </c>
      <c r="I806" t="s">
        <v>2631</v>
      </c>
      <c r="J806">
        <v>375</v>
      </c>
      <c r="L806" t="s">
        <v>1168</v>
      </c>
      <c r="M806" t="s">
        <v>10</v>
      </c>
      <c r="N806" t="s">
        <v>15</v>
      </c>
      <c r="O806" t="s">
        <v>3110</v>
      </c>
      <c r="P806" t="s">
        <v>2634</v>
      </c>
      <c r="Q806" t="s">
        <v>3114</v>
      </c>
      <c r="R806" t="s">
        <v>1723</v>
      </c>
      <c r="S806">
        <v>3000000</v>
      </c>
      <c r="T806">
        <v>10</v>
      </c>
      <c r="V806" t="s">
        <v>227</v>
      </c>
      <c r="W806" t="s">
        <v>1721</v>
      </c>
      <c r="X806" t="str">
        <f t="shared" si="12"/>
        <v>BL367645@TRAC Corp</v>
      </c>
      <c r="Y806" t="str">
        <f>_xlfn.IFNA(_xll.BDP(X806,"INTERVAL_SUM", "MARKET_DATA_OVERRIDE=px_volume", "CALC_INTERVAL=5D"), "")</f>
        <v>#N/A N/A</v>
      </c>
      <c r="Z806" cm="1">
        <f t="array" ref="Z806">_xll.BDP(B806, "CF_ACT_CASH_PAID_FOR_INT_DEBT")</f>
        <v>80.016000000000005</v>
      </c>
      <c r="AA806" t="str" cm="1">
        <f t="array" ref="AA806">_xll.BDP(B806, "TYPE_OF_BOND")</f>
        <v>#N/A Field Not Applicable</v>
      </c>
    </row>
    <row r="807" spans="1:27" x14ac:dyDescent="0.25">
      <c r="A807">
        <v>805</v>
      </c>
      <c r="B807" t="s">
        <v>1724</v>
      </c>
      <c r="C807" s="4" t="s">
        <v>1725</v>
      </c>
      <c r="D807" s="4">
        <v>87230000</v>
      </c>
      <c r="E807" t="s">
        <v>33</v>
      </c>
      <c r="F807" s="1">
        <v>46934</v>
      </c>
      <c r="G807">
        <v>8.7322000000000006</v>
      </c>
      <c r="H807" t="s">
        <v>13</v>
      </c>
      <c r="I807" t="s">
        <v>2635</v>
      </c>
      <c r="J807">
        <v>500</v>
      </c>
      <c r="L807" t="s">
        <v>1168</v>
      </c>
      <c r="M807" t="s">
        <v>10</v>
      </c>
      <c r="N807" t="s">
        <v>14</v>
      </c>
      <c r="O807" t="s">
        <v>3120</v>
      </c>
      <c r="R807" t="s">
        <v>1726</v>
      </c>
      <c r="V807" t="s">
        <v>227</v>
      </c>
      <c r="W807" t="s">
        <v>1727</v>
      </c>
      <c r="X807" t="str">
        <f t="shared" si="12"/>
        <v>BL518149@TRAC Corp</v>
      </c>
      <c r="Y807" t="str">
        <f>_xlfn.IFNA(_xll.BDP(X807,"INTERVAL_SUM", "MARKET_DATA_OVERRIDE=px_volume", "CALC_INTERVAL=5D"), "")</f>
        <v>#N/A N/A</v>
      </c>
      <c r="Z807" t="str" cm="1">
        <f t="array" ref="Z807">_xll.BDP(B807, "CF_ACT_CASH_PAID_FOR_INT_DEBT")</f>
        <v>#N/A N/A</v>
      </c>
      <c r="AA807" t="str" cm="1">
        <f t="array" ref="AA807">_xll.BDP(B807, "TYPE_OF_BOND")</f>
        <v>#N/A Field Not Applicable</v>
      </c>
    </row>
    <row r="808" spans="1:27" x14ac:dyDescent="0.25">
      <c r="A808">
        <v>806</v>
      </c>
      <c r="B808" t="s">
        <v>1728</v>
      </c>
      <c r="C808" s="4" t="s">
        <v>1725</v>
      </c>
      <c r="D808" s="4">
        <v>1325593272.1300001</v>
      </c>
      <c r="E808" t="s">
        <v>80</v>
      </c>
      <c r="F808" s="1">
        <v>46934</v>
      </c>
      <c r="G808">
        <v>8.6525999999999996</v>
      </c>
      <c r="H808" t="s">
        <v>13</v>
      </c>
      <c r="I808" t="s">
        <v>2631</v>
      </c>
      <c r="J808">
        <v>500</v>
      </c>
      <c r="L808" t="s">
        <v>1168</v>
      </c>
      <c r="M808" t="s">
        <v>10</v>
      </c>
      <c r="N808" t="s">
        <v>14</v>
      </c>
      <c r="O808" t="s">
        <v>3120</v>
      </c>
      <c r="P808" t="s">
        <v>2650</v>
      </c>
      <c r="Q808" t="s">
        <v>3208</v>
      </c>
      <c r="R808" t="s">
        <v>1729</v>
      </c>
      <c r="S808">
        <v>3000000</v>
      </c>
      <c r="T808">
        <v>6</v>
      </c>
      <c r="V808" t="s">
        <v>256</v>
      </c>
      <c r="W808" t="s">
        <v>1727</v>
      </c>
      <c r="X808" t="str">
        <f t="shared" si="12"/>
        <v>BL505703@TRAC Corp</v>
      </c>
      <c r="Y808" t="str">
        <f>_xlfn.IFNA(_xll.BDP(X808,"INTERVAL_SUM", "MARKET_DATA_OVERRIDE=px_volume", "CALC_INTERVAL=5D"), "")</f>
        <v>#N/A N/A</v>
      </c>
      <c r="Z808" t="str" cm="1">
        <f t="array" ref="Z808">_xll.BDP(B808, "CF_ACT_CASH_PAID_FOR_INT_DEBT")</f>
        <v>#N/A N/A</v>
      </c>
      <c r="AA808" t="str" cm="1">
        <f t="array" ref="AA808">_xll.BDP(B808, "TYPE_OF_BOND")</f>
        <v>#N/A Field Not Applicable</v>
      </c>
    </row>
    <row r="809" spans="1:27" x14ac:dyDescent="0.25">
      <c r="A809">
        <v>807</v>
      </c>
      <c r="B809" t="s">
        <v>1730</v>
      </c>
      <c r="C809" s="4" t="s">
        <v>1725</v>
      </c>
      <c r="D809" s="4">
        <v>415662519.00999999</v>
      </c>
      <c r="E809" t="s">
        <v>80</v>
      </c>
      <c r="F809" s="1">
        <v>46934</v>
      </c>
      <c r="G809">
        <v>8.6525999999999996</v>
      </c>
      <c r="H809" t="s">
        <v>13</v>
      </c>
      <c r="I809" t="s">
        <v>2631</v>
      </c>
      <c r="J809">
        <v>500</v>
      </c>
      <c r="L809" t="s">
        <v>1168</v>
      </c>
      <c r="M809" t="s">
        <v>10</v>
      </c>
      <c r="N809" t="s">
        <v>14</v>
      </c>
      <c r="O809" t="s">
        <v>3120</v>
      </c>
      <c r="P809" t="s">
        <v>2650</v>
      </c>
      <c r="Q809" t="s">
        <v>3208</v>
      </c>
      <c r="R809" t="s">
        <v>1731</v>
      </c>
      <c r="V809" t="s">
        <v>227</v>
      </c>
      <c r="W809" t="s">
        <v>1727</v>
      </c>
      <c r="X809" t="str">
        <f t="shared" si="12"/>
        <v>BL505702@TRAC Corp</v>
      </c>
      <c r="Y809" t="str">
        <f>_xlfn.IFNA(_xll.BDP(X809,"INTERVAL_SUM", "MARKET_DATA_OVERRIDE=px_volume", "CALC_INTERVAL=5D"), "")</f>
        <v>#N/A N/A</v>
      </c>
      <c r="Z809" t="str" cm="1">
        <f t="array" ref="Z809">_xll.BDP(B809, "CF_ACT_CASH_PAID_FOR_INT_DEBT")</f>
        <v>#N/A N/A</v>
      </c>
      <c r="AA809" t="str" cm="1">
        <f t="array" ref="AA809">_xll.BDP(B809, "TYPE_OF_BOND")</f>
        <v>#N/A Field Not Applicable</v>
      </c>
    </row>
    <row r="810" spans="1:27" x14ac:dyDescent="0.25">
      <c r="A810">
        <v>808</v>
      </c>
      <c r="B810" t="s">
        <v>1023</v>
      </c>
      <c r="C810" s="4" t="s">
        <v>1024</v>
      </c>
      <c r="D810" s="4">
        <v>213050000</v>
      </c>
      <c r="E810" t="s">
        <v>17</v>
      </c>
      <c r="F810" s="1">
        <v>46675</v>
      </c>
      <c r="G810">
        <v>6.5</v>
      </c>
      <c r="H810" t="s">
        <v>9</v>
      </c>
      <c r="L810" t="s">
        <v>1168</v>
      </c>
      <c r="M810" t="s">
        <v>19</v>
      </c>
      <c r="N810" t="s">
        <v>16</v>
      </c>
      <c r="O810" t="s">
        <v>3157</v>
      </c>
      <c r="P810" t="s">
        <v>2644</v>
      </c>
      <c r="Q810" t="s">
        <v>3209</v>
      </c>
      <c r="R810" t="s">
        <v>1025</v>
      </c>
      <c r="S810">
        <v>7316511.1790003702</v>
      </c>
      <c r="T810">
        <v>9</v>
      </c>
      <c r="U810" t="s">
        <v>1169</v>
      </c>
      <c r="W810" t="s">
        <v>1026</v>
      </c>
      <c r="X810" t="str">
        <f t="shared" si="12"/>
        <v>ZR831272@TRAC Corp</v>
      </c>
      <c r="Y810">
        <f>_xlfn.IFNA(_xll.BDP(X810,"INTERVAL_SUM", "MARKET_DATA_OVERRIDE=px_volume", "CALC_INTERVAL=5D"), "")</f>
        <v>34</v>
      </c>
      <c r="Z810" cm="1">
        <f t="array" ref="Z810">_xll.BDP(B810, "CF_ACT_CASH_PAID_FOR_INT_DEBT")</f>
        <v>184.78700000000001</v>
      </c>
      <c r="AA810" t="str" cm="1">
        <f t="array" ref="AA810">_xll.BDP(B810, "TYPE_OF_BOND")</f>
        <v>#N/A Field Not Applicable</v>
      </c>
    </row>
    <row r="811" spans="1:27" x14ac:dyDescent="0.25">
      <c r="A811">
        <v>809</v>
      </c>
      <c r="B811" t="s">
        <v>1027</v>
      </c>
      <c r="C811" s="4" t="s">
        <v>1024</v>
      </c>
      <c r="D811" s="4">
        <v>224995000</v>
      </c>
      <c r="E811" t="s">
        <v>11</v>
      </c>
      <c r="F811" s="1">
        <v>46539</v>
      </c>
      <c r="G811">
        <v>4.875</v>
      </c>
      <c r="H811" t="s">
        <v>9</v>
      </c>
      <c r="L811" t="s">
        <v>1168</v>
      </c>
      <c r="M811" t="s">
        <v>19</v>
      </c>
      <c r="N811" t="s">
        <v>16</v>
      </c>
      <c r="O811" t="s">
        <v>3157</v>
      </c>
      <c r="P811" t="s">
        <v>2644</v>
      </c>
      <c r="Q811" t="s">
        <v>3209</v>
      </c>
      <c r="R811" t="s">
        <v>1028</v>
      </c>
      <c r="S811">
        <v>3775143.2834552801</v>
      </c>
      <c r="T811">
        <v>21</v>
      </c>
      <c r="U811" t="s">
        <v>1169</v>
      </c>
      <c r="W811" t="s">
        <v>1026</v>
      </c>
      <c r="X811" t="str">
        <f t="shared" si="12"/>
        <v>ZQ674011@TRAC Corp</v>
      </c>
      <c r="Y811">
        <f>_xlfn.IFNA(_xll.BDP(X811,"INTERVAL_SUM", "MARKET_DATA_OVERRIDE=px_volume", "CALC_INTERVAL=5D"), "")</f>
        <v>200</v>
      </c>
      <c r="Z811" cm="1">
        <f t="array" ref="Z811">_xll.BDP(B811, "CF_ACT_CASH_PAID_FOR_INT_DEBT")</f>
        <v>184.78700000000001</v>
      </c>
      <c r="AA811" t="str" cm="1">
        <f t="array" ref="AA811">_xll.BDP(B811, "TYPE_OF_BOND")</f>
        <v>#N/A Field Not Applicable</v>
      </c>
    </row>
    <row r="812" spans="1:27" x14ac:dyDescent="0.25">
      <c r="A812">
        <v>810</v>
      </c>
      <c r="B812" t="s">
        <v>1029</v>
      </c>
      <c r="C812" s="4" t="s">
        <v>1024</v>
      </c>
      <c r="D812" s="4">
        <v>387047000</v>
      </c>
      <c r="E812" t="s">
        <v>11</v>
      </c>
      <c r="F812" s="1">
        <v>46362</v>
      </c>
      <c r="G812">
        <v>5.625</v>
      </c>
      <c r="H812" t="s">
        <v>9</v>
      </c>
      <c r="L812" t="s">
        <v>1168</v>
      </c>
      <c r="M812" t="s">
        <v>19</v>
      </c>
      <c r="N812" t="s">
        <v>16</v>
      </c>
      <c r="O812" t="s">
        <v>3157</v>
      </c>
      <c r="P812" t="s">
        <v>2644</v>
      </c>
      <c r="Q812" t="s">
        <v>3209</v>
      </c>
      <c r="R812" t="s">
        <v>1030</v>
      </c>
      <c r="S812">
        <v>11594954.9316276</v>
      </c>
      <c r="T812">
        <v>28</v>
      </c>
      <c r="U812" t="s">
        <v>1169</v>
      </c>
      <c r="W812" t="s">
        <v>1026</v>
      </c>
      <c r="X812" t="str">
        <f t="shared" si="12"/>
        <v>BP074751@TRAC Corp</v>
      </c>
      <c r="Y812">
        <f>_xlfn.IFNA(_xll.BDP(X812,"INTERVAL_SUM", "MARKET_DATA_OVERRIDE=px_volume", "CALC_INTERVAL=5D"), "")</f>
        <v>9280</v>
      </c>
      <c r="Z812" cm="1">
        <f t="array" ref="Z812">_xll.BDP(B812, "CF_ACT_CASH_PAID_FOR_INT_DEBT")</f>
        <v>184.78700000000001</v>
      </c>
      <c r="AA812" t="str" cm="1">
        <f t="array" ref="AA812">_xll.BDP(B812, "TYPE_OF_BOND")</f>
        <v>#N/A Field Not Applicable</v>
      </c>
    </row>
    <row r="813" spans="1:27" x14ac:dyDescent="0.25">
      <c r="A813">
        <v>811</v>
      </c>
      <c r="B813" t="s">
        <v>1031</v>
      </c>
      <c r="C813" s="4" t="s">
        <v>1024</v>
      </c>
      <c r="D813" s="4">
        <v>1320500000</v>
      </c>
      <c r="E813" t="s">
        <v>11</v>
      </c>
      <c r="F813" s="1">
        <v>46363</v>
      </c>
      <c r="G813">
        <v>6.4020999999999999</v>
      </c>
      <c r="H813" t="s">
        <v>13</v>
      </c>
      <c r="I813" t="s">
        <v>2635</v>
      </c>
      <c r="J813">
        <v>275</v>
      </c>
      <c r="L813" t="s">
        <v>1168</v>
      </c>
      <c r="M813" t="s">
        <v>10</v>
      </c>
      <c r="N813" t="s">
        <v>16</v>
      </c>
      <c r="O813" t="s">
        <v>3157</v>
      </c>
      <c r="P813" t="s">
        <v>2644</v>
      </c>
      <c r="Q813" t="s">
        <v>3209</v>
      </c>
      <c r="R813" t="s">
        <v>1032</v>
      </c>
      <c r="S813">
        <v>5000000</v>
      </c>
      <c r="T813">
        <v>13</v>
      </c>
      <c r="V813" t="s">
        <v>227</v>
      </c>
      <c r="W813" t="s">
        <v>1026</v>
      </c>
      <c r="X813" t="str">
        <f t="shared" si="12"/>
        <v>BL321912@TRAC Corp</v>
      </c>
      <c r="Y813" t="str">
        <f>_xlfn.IFNA(_xll.BDP(X813,"INTERVAL_SUM", "MARKET_DATA_OVERRIDE=px_volume", "CALC_INTERVAL=5D"), "")</f>
        <v>#N/A N/A</v>
      </c>
      <c r="Z813" cm="1">
        <f t="array" ref="Z813">_xll.BDP(B813, "CF_ACT_CASH_PAID_FOR_INT_DEBT")</f>
        <v>184.78700000000001</v>
      </c>
      <c r="AA813" t="str" cm="1">
        <f t="array" ref="AA813">_xll.BDP(B813, "TYPE_OF_BOND")</f>
        <v>#N/A Field Not Applicable</v>
      </c>
    </row>
    <row r="814" spans="1:27" x14ac:dyDescent="0.25">
      <c r="A814">
        <v>812</v>
      </c>
      <c r="B814" t="s">
        <v>2025</v>
      </c>
      <c r="C814" s="4" t="s">
        <v>2026</v>
      </c>
      <c r="D814" s="4">
        <v>475000000</v>
      </c>
      <c r="E814" t="s">
        <v>33</v>
      </c>
      <c r="F814" s="1">
        <v>47331</v>
      </c>
      <c r="G814">
        <v>10.875</v>
      </c>
      <c r="H814" t="s">
        <v>9</v>
      </c>
      <c r="L814" t="s">
        <v>1168</v>
      </c>
      <c r="M814" t="s">
        <v>10</v>
      </c>
      <c r="N814" t="s">
        <v>36</v>
      </c>
      <c r="O814" t="s">
        <v>3113</v>
      </c>
      <c r="P814" t="s">
        <v>2639</v>
      </c>
      <c r="Q814" t="s">
        <v>3229</v>
      </c>
      <c r="R814" t="s">
        <v>2027</v>
      </c>
      <c r="S814">
        <v>13051685.203383001</v>
      </c>
      <c r="T814">
        <v>44</v>
      </c>
      <c r="U814" t="s">
        <v>1169</v>
      </c>
      <c r="W814" t="s">
        <v>2028</v>
      </c>
      <c r="X814" t="str">
        <f t="shared" si="12"/>
        <v>YW776220@TRAC Corp</v>
      </c>
      <c r="Y814">
        <f>_xlfn.IFNA(_xll.BDP(X814,"INTERVAL_SUM", "MARKET_DATA_OVERRIDE=px_volume", "CALC_INTERVAL=5D"), "")</f>
        <v>10478</v>
      </c>
      <c r="Z814" cm="1">
        <f t="array" ref="Z814">_xll.BDP(B814, "CF_ACT_CASH_PAID_FOR_INT_DEBT")</f>
        <v>114.4</v>
      </c>
      <c r="AA814" t="str" cm="1">
        <f t="array" ref="AA814">_xll.BDP(B814, "TYPE_OF_BOND")</f>
        <v>#N/A Field Not Applicable</v>
      </c>
    </row>
    <row r="815" spans="1:27" x14ac:dyDescent="0.25">
      <c r="A815">
        <v>813</v>
      </c>
      <c r="B815" t="s">
        <v>2029</v>
      </c>
      <c r="C815" s="4" t="s">
        <v>2026</v>
      </c>
      <c r="D815" s="4">
        <v>1050000000</v>
      </c>
      <c r="E815" t="s">
        <v>12</v>
      </c>
      <c r="F815" s="1">
        <v>47331</v>
      </c>
      <c r="G815">
        <v>9.5</v>
      </c>
      <c r="H815" t="s">
        <v>9</v>
      </c>
      <c r="L815" t="s">
        <v>1168</v>
      </c>
      <c r="M815" t="s">
        <v>10</v>
      </c>
      <c r="N815" t="s">
        <v>36</v>
      </c>
      <c r="O815" t="s">
        <v>3113</v>
      </c>
      <c r="P815" t="s">
        <v>2639</v>
      </c>
      <c r="Q815" t="s">
        <v>3229</v>
      </c>
      <c r="R815" t="s">
        <v>2030</v>
      </c>
      <c r="S815">
        <v>10172898.0202456</v>
      </c>
      <c r="T815">
        <v>45</v>
      </c>
      <c r="U815" t="s">
        <v>1169</v>
      </c>
      <c r="W815" t="s">
        <v>2028</v>
      </c>
      <c r="X815" t="str">
        <f t="shared" si="12"/>
        <v>YW486216@TRAC Corp</v>
      </c>
      <c r="Y815">
        <f>_xlfn.IFNA(_xll.BDP(X815,"INTERVAL_SUM", "MARKET_DATA_OVERRIDE=px_volume", "CALC_INTERVAL=5D"), "")</f>
        <v>7125</v>
      </c>
      <c r="Z815" cm="1">
        <f t="array" ref="Z815">_xll.BDP(B815, "CF_ACT_CASH_PAID_FOR_INT_DEBT")</f>
        <v>114.4</v>
      </c>
      <c r="AA815" t="str" cm="1">
        <f t="array" ref="AA815">_xll.BDP(B815, "TYPE_OF_BOND")</f>
        <v>#N/A Field Not Applicable</v>
      </c>
    </row>
    <row r="816" spans="1:27" x14ac:dyDescent="0.25">
      <c r="A816">
        <v>814</v>
      </c>
      <c r="B816" t="s">
        <v>2031</v>
      </c>
      <c r="C816" s="4" t="s">
        <v>2026</v>
      </c>
      <c r="D816" s="4">
        <v>217259000</v>
      </c>
      <c r="E816" t="s">
        <v>1161</v>
      </c>
      <c r="F816" s="1"/>
      <c r="G816">
        <v>12</v>
      </c>
      <c r="H816" t="s">
        <v>9</v>
      </c>
      <c r="L816" t="s">
        <v>1168</v>
      </c>
      <c r="M816" t="s">
        <v>10</v>
      </c>
      <c r="N816" t="s">
        <v>36</v>
      </c>
      <c r="O816" t="s">
        <v>3113</v>
      </c>
      <c r="P816" t="s">
        <v>2639</v>
      </c>
      <c r="Q816" t="s">
        <v>3229</v>
      </c>
      <c r="R816" t="s">
        <v>2032</v>
      </c>
      <c r="S816">
        <v>2114723.4689145898</v>
      </c>
      <c r="T816">
        <v>10</v>
      </c>
      <c r="U816" t="s">
        <v>1169</v>
      </c>
      <c r="W816" t="s">
        <v>2028</v>
      </c>
      <c r="X816" t="str">
        <f t="shared" si="12"/>
        <v>YS941973@TRAC Corp</v>
      </c>
      <c r="Y816" t="str">
        <f>_xlfn.IFNA(_xll.BDP(X816,"INTERVAL_SUM", "MARKET_DATA_OVERRIDE=px_volume", "CALC_INTERVAL=5D"), "")</f>
        <v>#N/A N/A</v>
      </c>
      <c r="Z816" t="str" cm="1">
        <f t="array" ref="Z816">_xll.BDP(B816, "CF_ACT_CASH_PAID_FOR_INT_DEBT")</f>
        <v>#N/A N/A</v>
      </c>
      <c r="AA816" t="str" cm="1">
        <f t="array" ref="AA816">_xll.BDP(B816, "TYPE_OF_BOND")</f>
        <v>#N/A Field Not Applicable</v>
      </c>
    </row>
    <row r="817" spans="1:27" x14ac:dyDescent="0.25">
      <c r="A817">
        <v>815</v>
      </c>
      <c r="B817" t="s">
        <v>2033</v>
      </c>
      <c r="C817" s="4" t="s">
        <v>2026</v>
      </c>
      <c r="D817" s="4">
        <v>59716046</v>
      </c>
      <c r="E817" t="s">
        <v>17</v>
      </c>
      <c r="F817" s="1">
        <v>47223</v>
      </c>
      <c r="G817">
        <v>6.625</v>
      </c>
      <c r="H817" t="s">
        <v>9</v>
      </c>
      <c r="L817" t="s">
        <v>1168</v>
      </c>
      <c r="M817" t="s">
        <v>10</v>
      </c>
      <c r="N817" t="s">
        <v>36</v>
      </c>
      <c r="O817" t="s">
        <v>3113</v>
      </c>
      <c r="P817" t="s">
        <v>2639</v>
      </c>
      <c r="Q817" t="s">
        <v>3229</v>
      </c>
      <c r="R817" t="s">
        <v>2034</v>
      </c>
      <c r="S817">
        <v>3079547.42275745</v>
      </c>
      <c r="T817">
        <v>12</v>
      </c>
      <c r="W817" t="s">
        <v>2028</v>
      </c>
      <c r="X817" t="str">
        <f t="shared" si="12"/>
        <v>EC124035@TRAC Corp</v>
      </c>
      <c r="Y817">
        <f>_xlfn.IFNA(_xll.BDP(X817,"INTERVAL_SUM", "MARKET_DATA_OVERRIDE=px_volume", "CALC_INTERVAL=5D"), "")</f>
        <v>428</v>
      </c>
      <c r="Z817" cm="1">
        <f t="array" ref="Z817">_xll.BDP(B817, "CF_ACT_CASH_PAID_FOR_INT_DEBT")</f>
        <v>114.4</v>
      </c>
      <c r="AA817" t="str" cm="1">
        <f t="array" ref="AA817">_xll.BDP(B817, "TYPE_OF_BOND")</f>
        <v>#N/A Field Not Applicable</v>
      </c>
    </row>
    <row r="818" spans="1:27" x14ac:dyDescent="0.25">
      <c r="A818">
        <v>816</v>
      </c>
      <c r="B818" t="s">
        <v>2035</v>
      </c>
      <c r="C818" s="4" t="s">
        <v>2026</v>
      </c>
      <c r="D818" s="4">
        <v>28354000</v>
      </c>
      <c r="E818" t="s">
        <v>17</v>
      </c>
      <c r="F818" s="1">
        <v>47953</v>
      </c>
      <c r="G818">
        <v>8.82</v>
      </c>
      <c r="H818" t="s">
        <v>9</v>
      </c>
      <c r="L818" t="s">
        <v>1168</v>
      </c>
      <c r="M818" t="s">
        <v>10</v>
      </c>
      <c r="N818" t="s">
        <v>36</v>
      </c>
      <c r="O818" t="s">
        <v>3113</v>
      </c>
      <c r="P818" t="s">
        <v>2639</v>
      </c>
      <c r="Q818" t="s">
        <v>3229</v>
      </c>
      <c r="R818" t="s">
        <v>2036</v>
      </c>
      <c r="S818">
        <v>1555561.8271224599</v>
      </c>
      <c r="T818">
        <v>5</v>
      </c>
      <c r="W818" t="s">
        <v>2028</v>
      </c>
      <c r="X818" t="str">
        <f t="shared" si="12"/>
        <v>EC002661@TRAC Corp</v>
      </c>
      <c r="Y818">
        <f>_xlfn.IFNA(_xll.BDP(X818,"INTERVAL_SUM", "MARKET_DATA_OVERRIDE=px_volume", "CALC_INTERVAL=5D"), "")</f>
        <v>518</v>
      </c>
      <c r="Z818" cm="1">
        <f t="array" ref="Z818">_xll.BDP(B818, "CF_ACT_CASH_PAID_FOR_INT_DEBT")</f>
        <v>114.4</v>
      </c>
      <c r="AA818" t="str" cm="1">
        <f t="array" ref="AA818">_xll.BDP(B818, "TYPE_OF_BOND")</f>
        <v>#N/A Field Not Applicable</v>
      </c>
    </row>
    <row r="819" spans="1:27" x14ac:dyDescent="0.25">
      <c r="A819">
        <v>817</v>
      </c>
      <c r="B819" t="s">
        <v>3566</v>
      </c>
      <c r="C819" s="4" t="s">
        <v>2026</v>
      </c>
      <c r="D819" s="4">
        <v>419775000</v>
      </c>
      <c r="E819" t="s">
        <v>1161</v>
      </c>
      <c r="F819" s="1"/>
      <c r="G819">
        <v>13</v>
      </c>
      <c r="H819" t="s">
        <v>9</v>
      </c>
      <c r="L819" t="s">
        <v>1168</v>
      </c>
      <c r="M819" t="s">
        <v>10</v>
      </c>
      <c r="N819" t="s">
        <v>36</v>
      </c>
      <c r="O819" t="s">
        <v>3113</v>
      </c>
      <c r="P819" t="s">
        <v>2639</v>
      </c>
      <c r="Q819" t="s">
        <v>3229</v>
      </c>
      <c r="R819" t="s">
        <v>3567</v>
      </c>
      <c r="S819">
        <v>6413094.5518353004</v>
      </c>
      <c r="T819">
        <v>23</v>
      </c>
      <c r="U819" t="s">
        <v>1169</v>
      </c>
      <c r="W819" t="s">
        <v>2028</v>
      </c>
      <c r="X819" t="str">
        <f t="shared" si="12"/>
        <v>DM584437@TRAC Corp</v>
      </c>
      <c r="Y819">
        <f>_xlfn.IFNA(_xll.BDP(X819,"INTERVAL_SUM", "MARKET_DATA_OVERRIDE=px_volume", "CALC_INTERVAL=5D"), "")</f>
        <v>3000</v>
      </c>
      <c r="Z819" t="str" cm="1">
        <f t="array" ref="Z819">_xll.BDP(B819, "CF_ACT_CASH_PAID_FOR_INT_DEBT")</f>
        <v>#N/A N/A</v>
      </c>
      <c r="AA819" t="str" cm="1">
        <f t="array" ref="AA819">_xll.BDP(B819, "TYPE_OF_BOND")</f>
        <v>#N/A Field Not Applicable</v>
      </c>
    </row>
    <row r="820" spans="1:27" x14ac:dyDescent="0.25">
      <c r="A820">
        <v>818</v>
      </c>
      <c r="B820" t="s">
        <v>2037</v>
      </c>
      <c r="C820" s="4" t="s">
        <v>2026</v>
      </c>
      <c r="D820" s="4">
        <v>900000000</v>
      </c>
      <c r="E820" t="s">
        <v>17</v>
      </c>
      <c r="F820" s="1">
        <v>48000</v>
      </c>
      <c r="G820">
        <v>11</v>
      </c>
      <c r="H820" t="s">
        <v>64</v>
      </c>
      <c r="K820">
        <v>11</v>
      </c>
      <c r="L820" t="s">
        <v>1168</v>
      </c>
      <c r="M820" t="s">
        <v>10</v>
      </c>
      <c r="N820" t="s">
        <v>36</v>
      </c>
      <c r="O820" t="s">
        <v>3113</v>
      </c>
      <c r="P820" t="s">
        <v>2639</v>
      </c>
      <c r="Q820" t="s">
        <v>3229</v>
      </c>
      <c r="R820" t="s">
        <v>2038</v>
      </c>
      <c r="S820">
        <v>4357879.42403311</v>
      </c>
      <c r="T820">
        <v>32</v>
      </c>
      <c r="U820" t="s">
        <v>1169</v>
      </c>
      <c r="W820" t="s">
        <v>2028</v>
      </c>
      <c r="X820" t="str">
        <f t="shared" si="12"/>
        <v>DK870221@TRAC Corp</v>
      </c>
      <c r="Y820">
        <f>_xlfn.IFNA(_xll.BDP(X820,"INTERVAL_SUM", "MARKET_DATA_OVERRIDE=px_volume", "CALC_INTERVAL=5D"), "")</f>
        <v>20347</v>
      </c>
      <c r="Z820" cm="1">
        <f t="array" ref="Z820">_xll.BDP(B820, "CF_ACT_CASH_PAID_FOR_INT_DEBT")</f>
        <v>114.4</v>
      </c>
      <c r="AA820" t="str" cm="1">
        <f t="array" ref="AA820">_xll.BDP(B820, "TYPE_OF_BOND")</f>
        <v>Toggle</v>
      </c>
    </row>
    <row r="821" spans="1:27" x14ac:dyDescent="0.25">
      <c r="A821">
        <v>819</v>
      </c>
      <c r="B821" t="s">
        <v>2039</v>
      </c>
      <c r="C821" s="4" t="s">
        <v>2026</v>
      </c>
      <c r="D821" s="4">
        <v>812433940</v>
      </c>
      <c r="E821" t="s">
        <v>17</v>
      </c>
      <c r="F821" s="1">
        <v>48136</v>
      </c>
      <c r="G821">
        <v>10</v>
      </c>
      <c r="H821" t="s">
        <v>64</v>
      </c>
      <c r="K821">
        <v>10</v>
      </c>
      <c r="L821" t="s">
        <v>1168</v>
      </c>
      <c r="M821" t="s">
        <v>10</v>
      </c>
      <c r="N821" t="s">
        <v>36</v>
      </c>
      <c r="O821" t="s">
        <v>3113</v>
      </c>
      <c r="P821" t="s">
        <v>2639</v>
      </c>
      <c r="Q821" t="s">
        <v>3229</v>
      </c>
      <c r="R821" t="s">
        <v>2040</v>
      </c>
      <c r="S821">
        <v>12497051.2238132</v>
      </c>
      <c r="T821">
        <v>67</v>
      </c>
      <c r="U821" t="s">
        <v>1169</v>
      </c>
      <c r="W821" t="s">
        <v>2028</v>
      </c>
      <c r="X821" t="str">
        <f t="shared" si="12"/>
        <v>BU789817@TRAC Corp</v>
      </c>
      <c r="Y821" t="str">
        <f>_xlfn.IFNA(_xll.BDP(X821,"INTERVAL_SUM", "MARKET_DATA_OVERRIDE=px_volume", "CALC_INTERVAL=5D"), "")</f>
        <v>#N/A N/A</v>
      </c>
      <c r="Z821" t="str" cm="1">
        <f t="array" ref="Z821">_xll.BDP(B821, "CF_ACT_CASH_PAID_FOR_INT_DEBT")</f>
        <v>#N/A N/A</v>
      </c>
      <c r="AA821" t="str" cm="1">
        <f t="array" ref="AA821">_xll.BDP(B821, "TYPE_OF_BOND")</f>
        <v>Toggle</v>
      </c>
    </row>
    <row r="822" spans="1:27" x14ac:dyDescent="0.25">
      <c r="A822">
        <v>820</v>
      </c>
      <c r="B822" t="s">
        <v>2041</v>
      </c>
      <c r="C822" s="4" t="s">
        <v>2026</v>
      </c>
      <c r="D822" s="4">
        <v>935000</v>
      </c>
      <c r="E822" t="s">
        <v>17</v>
      </c>
      <c r="F822" s="1">
        <v>47223</v>
      </c>
      <c r="G822">
        <v>8.5</v>
      </c>
      <c r="H822" t="s">
        <v>9</v>
      </c>
      <c r="L822" t="s">
        <v>1168</v>
      </c>
      <c r="M822" t="s">
        <v>10</v>
      </c>
      <c r="N822" t="s">
        <v>36</v>
      </c>
      <c r="O822" t="s">
        <v>3113</v>
      </c>
      <c r="P822" t="s">
        <v>2639</v>
      </c>
      <c r="Q822" t="s">
        <v>3229</v>
      </c>
      <c r="R822" t="s">
        <v>2042</v>
      </c>
      <c r="S822">
        <v>-9997</v>
      </c>
      <c r="U822" t="s">
        <v>1169</v>
      </c>
      <c r="W822" t="s">
        <v>2028</v>
      </c>
      <c r="X822" t="str">
        <f t="shared" si="12"/>
        <v>BG960832@TRAC Corp</v>
      </c>
      <c r="Y822" t="str">
        <f>_xlfn.IFNA(_xll.BDP(X822,"INTERVAL_SUM", "MARKET_DATA_OVERRIDE=px_volume", "CALC_INTERVAL=5D"), "")</f>
        <v>#N/A N/A</v>
      </c>
      <c r="Z822" cm="1">
        <f t="array" ref="Z822">_xll.BDP(B822, "CF_ACT_CASH_PAID_FOR_INT_DEBT")</f>
        <v>114.4</v>
      </c>
      <c r="AA822" t="str" cm="1">
        <f t="array" ref="AA822">_xll.BDP(B822, "TYPE_OF_BOND")</f>
        <v>#N/A Field Not Applicable</v>
      </c>
    </row>
    <row r="823" spans="1:27" x14ac:dyDescent="0.25">
      <c r="A823">
        <v>821</v>
      </c>
      <c r="B823" t="s">
        <v>2043</v>
      </c>
      <c r="C823" s="4" t="s">
        <v>2026</v>
      </c>
      <c r="D823" s="4">
        <v>638625000</v>
      </c>
      <c r="E823" t="s">
        <v>11</v>
      </c>
      <c r="F823" s="1">
        <v>47338</v>
      </c>
      <c r="G823">
        <v>8.4169</v>
      </c>
      <c r="H823" t="s">
        <v>13</v>
      </c>
      <c r="I823" t="s">
        <v>2631</v>
      </c>
      <c r="J823">
        <v>475</v>
      </c>
      <c r="L823" t="s">
        <v>1168</v>
      </c>
      <c r="M823" t="s">
        <v>10</v>
      </c>
      <c r="N823" t="s">
        <v>36</v>
      </c>
      <c r="O823" t="s">
        <v>3113</v>
      </c>
      <c r="P823" t="s">
        <v>2639</v>
      </c>
      <c r="Q823" t="s">
        <v>3229</v>
      </c>
      <c r="R823" t="s">
        <v>2044</v>
      </c>
      <c r="S823">
        <v>3515204.143534</v>
      </c>
      <c r="T823">
        <v>11</v>
      </c>
      <c r="V823" t="s">
        <v>227</v>
      </c>
      <c r="W823" t="s">
        <v>2028</v>
      </c>
      <c r="X823" t="str">
        <f t="shared" si="12"/>
        <v>BL472973@TRAC Corp</v>
      </c>
      <c r="Y823" t="str">
        <f>_xlfn.IFNA(_xll.BDP(X823,"INTERVAL_SUM", "MARKET_DATA_OVERRIDE=px_volume", "CALC_INTERVAL=5D"), "")</f>
        <v>#N/A N/A</v>
      </c>
      <c r="Z823" cm="1">
        <f t="array" ref="Z823">_xll.BDP(B823, "CF_ACT_CASH_PAID_FOR_INT_DEBT")</f>
        <v>114.4</v>
      </c>
      <c r="AA823" t="str" cm="1">
        <f t="array" ref="AA823">_xll.BDP(B823, "TYPE_OF_BOND")</f>
        <v>#N/A Field Not Applicable</v>
      </c>
    </row>
    <row r="824" spans="1:27" x14ac:dyDescent="0.25">
      <c r="A824">
        <v>822</v>
      </c>
      <c r="B824" t="s">
        <v>1732</v>
      </c>
      <c r="C824" s="4" t="s">
        <v>1733</v>
      </c>
      <c r="D824" s="4">
        <v>1305750000</v>
      </c>
      <c r="E824" t="s">
        <v>11</v>
      </c>
      <c r="F824" s="1">
        <v>46815</v>
      </c>
      <c r="G824">
        <v>7.5141</v>
      </c>
      <c r="H824" t="s">
        <v>13</v>
      </c>
      <c r="I824" t="s">
        <v>2631</v>
      </c>
      <c r="J824">
        <v>375</v>
      </c>
      <c r="L824" t="s">
        <v>1168</v>
      </c>
      <c r="M824" t="s">
        <v>10</v>
      </c>
      <c r="N824" t="s">
        <v>333</v>
      </c>
      <c r="O824" t="s">
        <v>3210</v>
      </c>
      <c r="P824" t="s">
        <v>2666</v>
      </c>
      <c r="Q824" t="s">
        <v>3211</v>
      </c>
      <c r="R824" t="s">
        <v>1734</v>
      </c>
      <c r="S824">
        <v>5000000</v>
      </c>
      <c r="T824">
        <v>11</v>
      </c>
      <c r="V824" t="s">
        <v>227</v>
      </c>
      <c r="W824" t="s">
        <v>1735</v>
      </c>
      <c r="X824" t="str">
        <f t="shared" si="12"/>
        <v>BL355611@TRAC Corp</v>
      </c>
      <c r="Y824" t="str">
        <f>_xlfn.IFNA(_xll.BDP(X824,"INTERVAL_SUM", "MARKET_DATA_OVERRIDE=px_volume", "CALC_INTERVAL=5D"), "")</f>
        <v>#N/A N/A</v>
      </c>
      <c r="Z824" t="str" cm="1">
        <f t="array" ref="Z824">_xll.BDP(B824, "CF_ACT_CASH_PAID_FOR_INT_DEBT")</f>
        <v>#N/A N/A</v>
      </c>
      <c r="AA824" t="str" cm="1">
        <f t="array" ref="AA824">_xll.BDP(B824, "TYPE_OF_BOND")</f>
        <v>#N/A Field Not Applicable</v>
      </c>
    </row>
    <row r="825" spans="1:27" x14ac:dyDescent="0.25">
      <c r="A825">
        <v>823</v>
      </c>
      <c r="B825" t="s">
        <v>1736</v>
      </c>
      <c r="C825" s="4" t="s">
        <v>1737</v>
      </c>
      <c r="D825" s="4">
        <v>270000000</v>
      </c>
      <c r="E825" t="s">
        <v>33</v>
      </c>
      <c r="F825" s="1">
        <v>47105</v>
      </c>
      <c r="G825">
        <v>9.4269999999999996</v>
      </c>
      <c r="H825" t="s">
        <v>13</v>
      </c>
      <c r="I825" t="s">
        <v>2635</v>
      </c>
      <c r="J825">
        <v>575</v>
      </c>
      <c r="L825" t="s">
        <v>1168</v>
      </c>
      <c r="M825" t="s">
        <v>10</v>
      </c>
      <c r="N825" t="s">
        <v>15</v>
      </c>
      <c r="O825" t="s">
        <v>3110</v>
      </c>
      <c r="P825" t="s">
        <v>2637</v>
      </c>
      <c r="Q825" t="s">
        <v>3111</v>
      </c>
      <c r="R825" t="s">
        <v>1738</v>
      </c>
      <c r="S825">
        <v>2798284.5533443601</v>
      </c>
      <c r="T825">
        <v>5</v>
      </c>
      <c r="V825" t="s">
        <v>227</v>
      </c>
      <c r="W825" t="s">
        <v>1739</v>
      </c>
      <c r="X825" t="str">
        <f t="shared" si="12"/>
        <v>BL487338@TRAC Corp</v>
      </c>
      <c r="Y825" t="str">
        <f>_xlfn.IFNA(_xll.BDP(X825,"INTERVAL_SUM", "MARKET_DATA_OVERRIDE=px_volume", "CALC_INTERVAL=5D"), "")</f>
        <v>#N/A N/A</v>
      </c>
      <c r="Z825" t="str" cm="1">
        <f t="array" ref="Z825">_xll.BDP(B825, "CF_ACT_CASH_PAID_FOR_INT_DEBT")</f>
        <v>#N/A N/A</v>
      </c>
      <c r="AA825" t="str" cm="1">
        <f t="array" ref="AA825">_xll.BDP(B825, "TYPE_OF_BOND")</f>
        <v>#N/A Field Not Applicable</v>
      </c>
    </row>
    <row r="826" spans="1:27" x14ac:dyDescent="0.25">
      <c r="A826">
        <v>824</v>
      </c>
      <c r="B826" t="s">
        <v>1740</v>
      </c>
      <c r="C826" s="4" t="s">
        <v>1737</v>
      </c>
      <c r="D826" s="4">
        <v>1302608725.5204899</v>
      </c>
      <c r="E826" t="s">
        <v>11</v>
      </c>
      <c r="F826" s="1">
        <v>46738</v>
      </c>
      <c r="G826">
        <v>7.1769999999999996</v>
      </c>
      <c r="H826" t="s">
        <v>13</v>
      </c>
      <c r="I826" t="s">
        <v>2635</v>
      </c>
      <c r="J826">
        <v>350</v>
      </c>
      <c r="L826" t="s">
        <v>1168</v>
      </c>
      <c r="M826" t="s">
        <v>10</v>
      </c>
      <c r="N826" t="s">
        <v>15</v>
      </c>
      <c r="O826" t="s">
        <v>3110</v>
      </c>
      <c r="P826" t="s">
        <v>2637</v>
      </c>
      <c r="Q826" t="s">
        <v>3111</v>
      </c>
      <c r="R826" t="s">
        <v>1741</v>
      </c>
      <c r="S826">
        <v>2000000</v>
      </c>
      <c r="T826">
        <v>6</v>
      </c>
      <c r="V826" t="s">
        <v>227</v>
      </c>
      <c r="W826" t="s">
        <v>1739</v>
      </c>
      <c r="X826" t="str">
        <f t="shared" si="12"/>
        <v>BL487257@TRAC Corp</v>
      </c>
      <c r="Y826" t="str">
        <f>_xlfn.IFNA(_xll.BDP(X826,"INTERVAL_SUM", "MARKET_DATA_OVERRIDE=px_volume", "CALC_INTERVAL=5D"), "")</f>
        <v>#N/A N/A</v>
      </c>
      <c r="Z826" t="str" cm="1">
        <f t="array" ref="Z826">_xll.BDP(B826, "CF_ACT_CASH_PAID_FOR_INT_DEBT")</f>
        <v>#N/A N/A</v>
      </c>
      <c r="AA826" t="str" cm="1">
        <f t="array" ref="AA826">_xll.BDP(B826, "TYPE_OF_BOND")</f>
        <v>#N/A Field Not Applicable</v>
      </c>
    </row>
    <row r="827" spans="1:27" x14ac:dyDescent="0.25">
      <c r="A827">
        <v>825</v>
      </c>
      <c r="B827" t="s">
        <v>1775</v>
      </c>
      <c r="C827" s="4" t="s">
        <v>1776</v>
      </c>
      <c r="D827" s="4">
        <v>3903740</v>
      </c>
      <c r="E827" t="s">
        <v>11</v>
      </c>
      <c r="F827" s="1">
        <v>47907</v>
      </c>
      <c r="G827">
        <v>9</v>
      </c>
      <c r="H827" t="s">
        <v>9</v>
      </c>
      <c r="L827" t="s">
        <v>1168</v>
      </c>
      <c r="M827" t="s">
        <v>10</v>
      </c>
      <c r="N827" t="s">
        <v>460</v>
      </c>
      <c r="O827" t="s">
        <v>2655</v>
      </c>
      <c r="P827" t="s">
        <v>2655</v>
      </c>
      <c r="Q827" t="s">
        <v>3139</v>
      </c>
      <c r="R827" t="s">
        <v>1777</v>
      </c>
      <c r="S827">
        <v>-9997</v>
      </c>
      <c r="U827" t="s">
        <v>1169</v>
      </c>
      <c r="W827" t="s">
        <v>1778</v>
      </c>
      <c r="X827" t="str">
        <f t="shared" si="12"/>
        <v>YI870023@TRAC Corp</v>
      </c>
      <c r="Y827" t="str">
        <f>_xlfn.IFNA(_xll.BDP(X827,"INTERVAL_SUM", "MARKET_DATA_OVERRIDE=px_volume", "CALC_INTERVAL=5D"), "")</f>
        <v>#N/A N/A</v>
      </c>
      <c r="Z827" t="str" cm="1">
        <f t="array" ref="Z827">_xll.BDP(B827, "CF_ACT_CASH_PAID_FOR_INT_DEBT")</f>
        <v>#N/A N/A</v>
      </c>
      <c r="AA827" t="str" cm="1">
        <f t="array" ref="AA827">_xll.BDP(B827, "TYPE_OF_BOND")</f>
        <v>#N/A Field Not Applicable</v>
      </c>
    </row>
    <row r="828" spans="1:27" x14ac:dyDescent="0.25">
      <c r="A828">
        <v>826</v>
      </c>
      <c r="B828" t="s">
        <v>1779</v>
      </c>
      <c r="C828" s="4" t="s">
        <v>1776</v>
      </c>
      <c r="D828" s="4">
        <v>93646823</v>
      </c>
      <c r="E828" t="s">
        <v>11</v>
      </c>
      <c r="F828" s="1">
        <v>47907</v>
      </c>
      <c r="G828">
        <v>9</v>
      </c>
      <c r="H828" t="s">
        <v>9</v>
      </c>
      <c r="L828" t="s">
        <v>1168</v>
      </c>
      <c r="M828" t="s">
        <v>10</v>
      </c>
      <c r="N828" t="s">
        <v>460</v>
      </c>
      <c r="O828" t="s">
        <v>2655</v>
      </c>
      <c r="P828" t="s">
        <v>2655</v>
      </c>
      <c r="Q828" t="s">
        <v>3139</v>
      </c>
      <c r="R828" t="s">
        <v>1777</v>
      </c>
      <c r="S828">
        <v>2701111.5027810801</v>
      </c>
      <c r="T828">
        <v>4</v>
      </c>
      <c r="U828" t="s">
        <v>1170</v>
      </c>
      <c r="W828" t="s">
        <v>1778</v>
      </c>
      <c r="X828" t="str">
        <f t="shared" si="12"/>
        <v>DF493343@TRAC Corp</v>
      </c>
      <c r="Y828">
        <f>_xlfn.IFNA(_xll.BDP(X828,"INTERVAL_SUM", "MARKET_DATA_OVERRIDE=px_volume", "CALC_INTERVAL=5D"), "")</f>
        <v>697</v>
      </c>
      <c r="Z828" t="str" cm="1">
        <f t="array" ref="Z828">_xll.BDP(B828, "CF_ACT_CASH_PAID_FOR_INT_DEBT")</f>
        <v>#N/A N/A</v>
      </c>
      <c r="AA828" t="str" cm="1">
        <f t="array" ref="AA828">_xll.BDP(B828, "TYPE_OF_BOND")</f>
        <v>#N/A Field Not Applicable</v>
      </c>
    </row>
    <row r="829" spans="1:27" x14ac:dyDescent="0.25">
      <c r="A829">
        <v>827</v>
      </c>
      <c r="B829" t="s">
        <v>1780</v>
      </c>
      <c r="C829" s="4" t="s">
        <v>1776</v>
      </c>
      <c r="D829" s="4">
        <v>23089000</v>
      </c>
      <c r="E829" t="s">
        <v>17</v>
      </c>
      <c r="F829" s="1">
        <v>47529</v>
      </c>
      <c r="G829">
        <v>9</v>
      </c>
      <c r="H829" t="s">
        <v>9</v>
      </c>
      <c r="L829" t="s">
        <v>1168</v>
      </c>
      <c r="M829" t="s">
        <v>10</v>
      </c>
      <c r="N829" t="s">
        <v>460</v>
      </c>
      <c r="O829" t="s">
        <v>2655</v>
      </c>
      <c r="P829" t="s">
        <v>2655</v>
      </c>
      <c r="Q829" t="s">
        <v>3139</v>
      </c>
      <c r="R829" t="s">
        <v>1781</v>
      </c>
      <c r="S829">
        <v>824201.40030261397</v>
      </c>
      <c r="T829">
        <v>4</v>
      </c>
      <c r="U829" t="s">
        <v>1169</v>
      </c>
      <c r="W829" t="s">
        <v>1778</v>
      </c>
      <c r="X829" t="str">
        <f t="shared" si="12"/>
        <v>BT917725@TRAC Corp</v>
      </c>
      <c r="Y829" t="str">
        <f>_xlfn.IFNA(_xll.BDP(X829,"INTERVAL_SUM", "MARKET_DATA_OVERRIDE=px_volume", "CALC_INTERVAL=5D"), "")</f>
        <v>#N/A N/A</v>
      </c>
      <c r="Z829" t="str" cm="1">
        <f t="array" ref="Z829">_xll.BDP(B829, "CF_ACT_CASH_PAID_FOR_INT_DEBT")</f>
        <v>#N/A N/A</v>
      </c>
      <c r="AA829" t="str" cm="1">
        <f t="array" ref="AA829">_xll.BDP(B829, "TYPE_OF_BOND")</f>
        <v>#N/A Field Not Applicable</v>
      </c>
    </row>
    <row r="830" spans="1:27" x14ac:dyDescent="0.25">
      <c r="A830">
        <v>828</v>
      </c>
      <c r="B830" t="s">
        <v>1782</v>
      </c>
      <c r="C830" s="4" t="s">
        <v>1776</v>
      </c>
      <c r="D830" s="4">
        <v>905480725</v>
      </c>
      <c r="E830" t="s">
        <v>11</v>
      </c>
      <c r="F830" s="1">
        <v>47603</v>
      </c>
      <c r="G830">
        <v>9.9295000000000009</v>
      </c>
      <c r="H830" t="s">
        <v>13</v>
      </c>
      <c r="I830" t="s">
        <v>2631</v>
      </c>
      <c r="J830">
        <v>625</v>
      </c>
      <c r="L830" t="s">
        <v>1168</v>
      </c>
      <c r="M830" t="s">
        <v>10</v>
      </c>
      <c r="N830" t="s">
        <v>460</v>
      </c>
      <c r="O830" t="s">
        <v>2655</v>
      </c>
      <c r="P830" t="s">
        <v>2655</v>
      </c>
      <c r="Q830" t="s">
        <v>3139</v>
      </c>
      <c r="R830" t="s">
        <v>1783</v>
      </c>
      <c r="T830">
        <v>21</v>
      </c>
      <c r="V830" t="s">
        <v>227</v>
      </c>
      <c r="W830" t="s">
        <v>1778</v>
      </c>
      <c r="X830" t="str">
        <f t="shared" si="12"/>
        <v>BL557306@TRAC Corp</v>
      </c>
      <c r="Y830" t="str">
        <f>_xlfn.IFNA(_xll.BDP(X830,"INTERVAL_SUM", "MARKET_DATA_OVERRIDE=px_volume", "CALC_INTERVAL=5D"), "")</f>
        <v>#N/A N/A</v>
      </c>
      <c r="Z830" t="str" cm="1">
        <f t="array" ref="Z830">_xll.BDP(B830, "CF_ACT_CASH_PAID_FOR_INT_DEBT")</f>
        <v>#N/A N/A</v>
      </c>
      <c r="AA830" t="str" cm="1">
        <f t="array" ref="AA830">_xll.BDP(B830, "TYPE_OF_BOND")</f>
        <v>#N/A Field Not Applicable</v>
      </c>
    </row>
    <row r="831" spans="1:27" x14ac:dyDescent="0.25">
      <c r="A831">
        <v>829</v>
      </c>
      <c r="B831" t="s">
        <v>1784</v>
      </c>
      <c r="C831" s="4" t="s">
        <v>1776</v>
      </c>
      <c r="D831" s="4">
        <v>1302528351</v>
      </c>
      <c r="E831" t="s">
        <v>11</v>
      </c>
      <c r="F831" s="1">
        <v>47603</v>
      </c>
      <c r="G831">
        <v>7.9295</v>
      </c>
      <c r="H831" t="s">
        <v>13</v>
      </c>
      <c r="I831" t="s">
        <v>2631</v>
      </c>
      <c r="J831">
        <v>425</v>
      </c>
      <c r="L831" t="s">
        <v>1168</v>
      </c>
      <c r="M831" t="s">
        <v>10</v>
      </c>
      <c r="N831" t="s">
        <v>460</v>
      </c>
      <c r="O831" t="s">
        <v>2655</v>
      </c>
      <c r="P831" t="s">
        <v>2655</v>
      </c>
      <c r="Q831" t="s">
        <v>3139</v>
      </c>
      <c r="R831" t="s">
        <v>1785</v>
      </c>
      <c r="S831">
        <v>2000000</v>
      </c>
      <c r="T831">
        <v>13</v>
      </c>
      <c r="V831" t="s">
        <v>227</v>
      </c>
      <c r="W831" t="s">
        <v>1778</v>
      </c>
      <c r="X831" t="str">
        <f t="shared" si="12"/>
        <v>BL557304@TRAC Corp</v>
      </c>
      <c r="Y831" t="str">
        <f>_xlfn.IFNA(_xll.BDP(X831,"INTERVAL_SUM", "MARKET_DATA_OVERRIDE=px_volume", "CALC_INTERVAL=5D"), "")</f>
        <v>#N/A N/A</v>
      </c>
      <c r="Z831" t="str" cm="1">
        <f t="array" ref="Z831">_xll.BDP(B831, "CF_ACT_CASH_PAID_FOR_INT_DEBT")</f>
        <v>#N/A N/A</v>
      </c>
      <c r="AA831" t="str" cm="1">
        <f t="array" ref="AA831">_xll.BDP(B831, "TYPE_OF_BOND")</f>
        <v>#N/A Field Not Applicable</v>
      </c>
    </row>
    <row r="832" spans="1:27" x14ac:dyDescent="0.25">
      <c r="A832">
        <v>830</v>
      </c>
      <c r="B832" t="s">
        <v>1786</v>
      </c>
      <c r="C832" s="4" t="s">
        <v>1776</v>
      </c>
      <c r="D832" s="4">
        <v>175284000</v>
      </c>
      <c r="E832" t="s">
        <v>11</v>
      </c>
      <c r="F832" s="1">
        <v>47603</v>
      </c>
      <c r="G832">
        <v>9.1795000000000009</v>
      </c>
      <c r="H832" t="s">
        <v>13</v>
      </c>
      <c r="I832" t="s">
        <v>2631</v>
      </c>
      <c r="J832">
        <v>550</v>
      </c>
      <c r="L832" t="s">
        <v>1168</v>
      </c>
      <c r="M832" t="s">
        <v>10</v>
      </c>
      <c r="N832" t="s">
        <v>460</v>
      </c>
      <c r="O832" t="s">
        <v>2655</v>
      </c>
      <c r="P832" t="s">
        <v>2655</v>
      </c>
      <c r="Q832" t="s">
        <v>3139</v>
      </c>
      <c r="R832" t="s">
        <v>1787</v>
      </c>
      <c r="S832">
        <v>2000000</v>
      </c>
      <c r="T832">
        <v>4</v>
      </c>
      <c r="V832" t="s">
        <v>227</v>
      </c>
      <c r="W832" t="s">
        <v>1778</v>
      </c>
      <c r="X832" t="str">
        <f t="shared" si="12"/>
        <v>BL557303@TRAC Corp</v>
      </c>
      <c r="Y832" t="str">
        <f>_xlfn.IFNA(_xll.BDP(X832,"INTERVAL_SUM", "MARKET_DATA_OVERRIDE=px_volume", "CALC_INTERVAL=5D"), "")</f>
        <v>#N/A N/A</v>
      </c>
      <c r="Z832" t="str" cm="1">
        <f t="array" ref="Z832">_xll.BDP(B832, "CF_ACT_CASH_PAID_FOR_INT_DEBT")</f>
        <v>#N/A N/A</v>
      </c>
      <c r="AA832" t="str" cm="1">
        <f t="array" ref="AA832">_xll.BDP(B832, "TYPE_OF_BOND")</f>
        <v>#N/A Field Not Applicable</v>
      </c>
    </row>
    <row r="833" spans="1:27" x14ac:dyDescent="0.25">
      <c r="A833">
        <v>831</v>
      </c>
      <c r="B833" t="s">
        <v>1788</v>
      </c>
      <c r="C833" s="4" t="s">
        <v>1776</v>
      </c>
      <c r="D833" s="4">
        <v>517240275.69</v>
      </c>
      <c r="E833" t="s">
        <v>11</v>
      </c>
      <c r="F833" s="1">
        <v>47603</v>
      </c>
      <c r="G833">
        <v>7.9295</v>
      </c>
      <c r="H833" t="s">
        <v>13</v>
      </c>
      <c r="I833" t="s">
        <v>2631</v>
      </c>
      <c r="J833">
        <v>425</v>
      </c>
      <c r="L833" t="s">
        <v>1168</v>
      </c>
      <c r="M833" t="s">
        <v>10</v>
      </c>
      <c r="N833" t="s">
        <v>460</v>
      </c>
      <c r="O833" t="s">
        <v>2655</v>
      </c>
      <c r="P833" t="s">
        <v>2655</v>
      </c>
      <c r="Q833" t="s">
        <v>3139</v>
      </c>
      <c r="R833" t="s">
        <v>1789</v>
      </c>
      <c r="S833">
        <v>3000000</v>
      </c>
      <c r="T833">
        <v>2</v>
      </c>
      <c r="V833" t="s">
        <v>227</v>
      </c>
      <c r="W833" t="s">
        <v>1778</v>
      </c>
      <c r="X833" t="str">
        <f t="shared" si="12"/>
        <v>BL557302@TRAC Corp</v>
      </c>
      <c r="Y833" t="str">
        <f>_xlfn.IFNA(_xll.BDP(X833,"INTERVAL_SUM", "MARKET_DATA_OVERRIDE=px_volume", "CALC_INTERVAL=5D"), "")</f>
        <v>#N/A N/A</v>
      </c>
      <c r="Z833" t="str" cm="1">
        <f t="array" ref="Z833">_xll.BDP(B833, "CF_ACT_CASH_PAID_FOR_INT_DEBT")</f>
        <v>#N/A N/A</v>
      </c>
      <c r="AA833" t="str" cm="1">
        <f t="array" ref="AA833">_xll.BDP(B833, "TYPE_OF_BOND")</f>
        <v>#N/A Field Not Applicable</v>
      </c>
    </row>
    <row r="834" spans="1:27" x14ac:dyDescent="0.25">
      <c r="A834">
        <v>832</v>
      </c>
      <c r="B834" t="s">
        <v>1790</v>
      </c>
      <c r="C834" s="4" t="s">
        <v>1776</v>
      </c>
      <c r="D834" s="4">
        <v>118761528.89</v>
      </c>
      <c r="E834" t="s">
        <v>11</v>
      </c>
      <c r="F834" s="1">
        <v>47603</v>
      </c>
      <c r="G834">
        <v>9.1795000000000009</v>
      </c>
      <c r="H834" t="s">
        <v>13</v>
      </c>
      <c r="I834" t="s">
        <v>2631</v>
      </c>
      <c r="J834">
        <v>550</v>
      </c>
      <c r="L834" t="s">
        <v>1168</v>
      </c>
      <c r="M834" t="s">
        <v>10</v>
      </c>
      <c r="N834" t="s">
        <v>460</v>
      </c>
      <c r="O834" t="s">
        <v>2655</v>
      </c>
      <c r="P834" t="s">
        <v>2655</v>
      </c>
      <c r="Q834" t="s">
        <v>3139</v>
      </c>
      <c r="R834" t="s">
        <v>1791</v>
      </c>
      <c r="S834">
        <v>5000000</v>
      </c>
      <c r="T834">
        <v>3</v>
      </c>
      <c r="V834" t="s">
        <v>227</v>
      </c>
      <c r="W834" t="s">
        <v>1778</v>
      </c>
      <c r="X834" t="str">
        <f t="shared" si="12"/>
        <v>BL557300@TRAC Corp</v>
      </c>
      <c r="Y834" t="str">
        <f>_xlfn.IFNA(_xll.BDP(X834,"INTERVAL_SUM", "MARKET_DATA_OVERRIDE=px_volume", "CALC_INTERVAL=5D"), "")</f>
        <v>#N/A N/A</v>
      </c>
      <c r="Z834" t="str" cm="1">
        <f t="array" ref="Z834">_xll.BDP(B834, "CF_ACT_CASH_PAID_FOR_INT_DEBT")</f>
        <v>#N/A N/A</v>
      </c>
      <c r="AA834" t="str" cm="1">
        <f t="array" ref="AA834">_xll.BDP(B834, "TYPE_OF_BOND")</f>
        <v>#N/A Field Not Applicable</v>
      </c>
    </row>
    <row r="835" spans="1:27" x14ac:dyDescent="0.25">
      <c r="A835">
        <v>833</v>
      </c>
      <c r="B835" t="s">
        <v>1792</v>
      </c>
      <c r="C835" s="4" t="s">
        <v>1776</v>
      </c>
      <c r="D835" s="4">
        <v>172812500</v>
      </c>
      <c r="E835" t="s">
        <v>11</v>
      </c>
      <c r="F835" s="1">
        <v>47231</v>
      </c>
      <c r="G835">
        <v>9.1525999999999996</v>
      </c>
      <c r="H835" t="s">
        <v>13</v>
      </c>
      <c r="I835" t="s">
        <v>2631</v>
      </c>
      <c r="J835">
        <v>550</v>
      </c>
      <c r="L835" t="s">
        <v>1168</v>
      </c>
      <c r="M835" t="s">
        <v>10</v>
      </c>
      <c r="N835" t="s">
        <v>460</v>
      </c>
      <c r="O835" t="s">
        <v>2655</v>
      </c>
      <c r="P835" t="s">
        <v>2655</v>
      </c>
      <c r="Q835" t="s">
        <v>3139</v>
      </c>
      <c r="R835" t="s">
        <v>1793</v>
      </c>
      <c r="T835">
        <v>6</v>
      </c>
      <c r="V835" t="s">
        <v>227</v>
      </c>
      <c r="W835" t="s">
        <v>1778</v>
      </c>
      <c r="X835" t="str">
        <f t="shared" ref="X835:X898" si="13">SUBSTITUTE(B835," Corp","@TRAC Corp")</f>
        <v>BL510318@TRAC Corp</v>
      </c>
      <c r="Y835" t="str">
        <f>_xlfn.IFNA(_xll.BDP(X835,"INTERVAL_SUM", "MARKET_DATA_OVERRIDE=px_volume", "CALC_INTERVAL=5D"), "")</f>
        <v>#N/A N/A</v>
      </c>
      <c r="Z835" t="str" cm="1">
        <f t="array" ref="Z835">_xll.BDP(B835, "CF_ACT_CASH_PAID_FOR_INT_DEBT")</f>
        <v>#N/A N/A</v>
      </c>
      <c r="AA835" t="str" cm="1">
        <f t="array" ref="AA835">_xll.BDP(B835, "TYPE_OF_BOND")</f>
        <v>#N/A Field Not Applicable</v>
      </c>
    </row>
    <row r="836" spans="1:27" x14ac:dyDescent="0.25">
      <c r="A836">
        <v>834</v>
      </c>
      <c r="B836" t="s">
        <v>1794</v>
      </c>
      <c r="C836" s="4" t="s">
        <v>1776</v>
      </c>
      <c r="D836" s="4">
        <v>2353312500</v>
      </c>
      <c r="E836" t="s">
        <v>11</v>
      </c>
      <c r="F836" s="1">
        <v>47231</v>
      </c>
      <c r="G836">
        <v>8.1494999999999997</v>
      </c>
      <c r="H836" t="s">
        <v>13</v>
      </c>
      <c r="I836" t="s">
        <v>2635</v>
      </c>
      <c r="J836">
        <v>425</v>
      </c>
      <c r="L836" t="s">
        <v>1168</v>
      </c>
      <c r="M836" t="s">
        <v>10</v>
      </c>
      <c r="N836" t="s">
        <v>460</v>
      </c>
      <c r="O836" t="s">
        <v>2655</v>
      </c>
      <c r="P836" t="s">
        <v>2655</v>
      </c>
      <c r="Q836" t="s">
        <v>3139</v>
      </c>
      <c r="R836" t="s">
        <v>1795</v>
      </c>
      <c r="S836">
        <v>2000000</v>
      </c>
      <c r="T836">
        <v>8</v>
      </c>
      <c r="V836" t="s">
        <v>227</v>
      </c>
      <c r="W836" t="s">
        <v>1778</v>
      </c>
      <c r="X836" t="str">
        <f t="shared" si="13"/>
        <v>BL383991@TRAC Corp</v>
      </c>
      <c r="Y836" t="str">
        <f>_xlfn.IFNA(_xll.BDP(X836,"INTERVAL_SUM", "MARKET_DATA_OVERRIDE=px_volume", "CALC_INTERVAL=5D"), "")</f>
        <v>#N/A N/A</v>
      </c>
      <c r="Z836" t="str" cm="1">
        <f t="array" ref="Z836">_xll.BDP(B836, "CF_ACT_CASH_PAID_FOR_INT_DEBT")</f>
        <v>#N/A N/A</v>
      </c>
      <c r="AA836" t="str" cm="1">
        <f t="array" ref="AA836">_xll.BDP(B836, "TYPE_OF_BOND")</f>
        <v>#N/A Field Not Applicable</v>
      </c>
    </row>
    <row r="837" spans="1:27" x14ac:dyDescent="0.25">
      <c r="A837">
        <v>835</v>
      </c>
      <c r="B837" t="s">
        <v>3727</v>
      </c>
      <c r="C837" s="4" t="s">
        <v>3728</v>
      </c>
      <c r="D837" s="4">
        <v>42453000</v>
      </c>
      <c r="E837" s="1" t="s">
        <v>33</v>
      </c>
      <c r="F837" s="1">
        <v>46492</v>
      </c>
      <c r="G837">
        <v>9.25</v>
      </c>
      <c r="H837" t="s">
        <v>9</v>
      </c>
      <c r="L837" t="s">
        <v>1168</v>
      </c>
      <c r="M837" t="s">
        <v>10</v>
      </c>
      <c r="N837" t="s">
        <v>460</v>
      </c>
      <c r="O837" t="s">
        <v>3137</v>
      </c>
      <c r="P837" t="s">
        <v>2660</v>
      </c>
      <c r="Q837" t="s">
        <v>3219</v>
      </c>
      <c r="R837" t="s">
        <v>3729</v>
      </c>
      <c r="S837">
        <v>3353218.2604417698</v>
      </c>
      <c r="T837">
        <v>9</v>
      </c>
      <c r="U837" t="s">
        <v>1169</v>
      </c>
      <c r="W837" t="s">
        <v>3730</v>
      </c>
      <c r="X837" t="str">
        <f t="shared" si="13"/>
        <v>ZM930859@TRAC Corp</v>
      </c>
      <c r="Y837" t="str">
        <f>_xlfn.IFNA(_xll.BDP(X837,"INTERVAL_SUM", "MARKET_DATA_OVERRIDE=px_volume", "CALC_INTERVAL=5D"), "")</f>
        <v>#N/A N/A</v>
      </c>
      <c r="Z837" t="str" cm="1">
        <f t="array" ref="Z837">_xll.BDP(B837, "CF_ACT_CASH_PAID_FOR_INT_DEBT")</f>
        <v>#N/A N/A</v>
      </c>
      <c r="AA837" t="str" cm="1">
        <f t="array" ref="AA837">_xll.BDP(B837, "TYPE_OF_BOND")</f>
        <v>#N/A Field Not Applicable</v>
      </c>
    </row>
    <row r="838" spans="1:27" x14ac:dyDescent="0.25">
      <c r="A838">
        <v>836</v>
      </c>
      <c r="B838" t="s">
        <v>3731</v>
      </c>
      <c r="C838" s="4" t="s">
        <v>3728</v>
      </c>
      <c r="D838" s="4">
        <v>56395000</v>
      </c>
      <c r="E838" s="1" t="s">
        <v>11</v>
      </c>
      <c r="F838" s="1">
        <v>46492</v>
      </c>
      <c r="G838">
        <v>7.875</v>
      </c>
      <c r="H838" t="s">
        <v>9</v>
      </c>
      <c r="L838" t="s">
        <v>1168</v>
      </c>
      <c r="M838" t="s">
        <v>10</v>
      </c>
      <c r="N838" t="s">
        <v>460</v>
      </c>
      <c r="O838" t="s">
        <v>3137</v>
      </c>
      <c r="P838" t="s">
        <v>2660</v>
      </c>
      <c r="Q838" t="s">
        <v>3219</v>
      </c>
      <c r="R838" t="s">
        <v>3732</v>
      </c>
      <c r="S838">
        <v>1799440.3044294801</v>
      </c>
      <c r="T838">
        <v>11</v>
      </c>
      <c r="U838" t="s">
        <v>1169</v>
      </c>
      <c r="W838" t="s">
        <v>3730</v>
      </c>
      <c r="X838" t="str">
        <f t="shared" si="13"/>
        <v>ZB341567@TRAC Corp</v>
      </c>
      <c r="Y838" t="str">
        <f>_xlfn.IFNA(_xll.BDP(X838,"INTERVAL_SUM", "MARKET_DATA_OVERRIDE=px_volume", "CALC_INTERVAL=5D"), "")</f>
        <v>#N/A N/A</v>
      </c>
      <c r="Z838" t="str" cm="1">
        <f t="array" ref="Z838">_xll.BDP(B838, "CF_ACT_CASH_PAID_FOR_INT_DEBT")</f>
        <v>#N/A N/A</v>
      </c>
      <c r="AA838" t="str" cm="1">
        <f t="array" ref="AA838">_xll.BDP(B838, "TYPE_OF_BOND")</f>
        <v>#N/A Field Not Applicable</v>
      </c>
    </row>
    <row r="839" spans="1:27" x14ac:dyDescent="0.25">
      <c r="A839">
        <v>837</v>
      </c>
      <c r="B839" t="s">
        <v>3733</v>
      </c>
      <c r="C839" s="4" t="s">
        <v>3728</v>
      </c>
      <c r="D839" s="4">
        <v>1301003000</v>
      </c>
      <c r="E839" s="1" t="s">
        <v>33</v>
      </c>
      <c r="F839" s="1">
        <v>47588</v>
      </c>
      <c r="G839">
        <v>9.25</v>
      </c>
      <c r="H839" t="s">
        <v>9</v>
      </c>
      <c r="L839" t="s">
        <v>1168</v>
      </c>
      <c r="M839" t="s">
        <v>10</v>
      </c>
      <c r="N839" t="s">
        <v>460</v>
      </c>
      <c r="O839" t="s">
        <v>3137</v>
      </c>
      <c r="P839" t="s">
        <v>2660</v>
      </c>
      <c r="Q839" t="s">
        <v>3219</v>
      </c>
      <c r="R839" t="s">
        <v>3734</v>
      </c>
      <c r="S839">
        <v>12703180.278465301</v>
      </c>
      <c r="T839">
        <v>42</v>
      </c>
      <c r="U839" t="s">
        <v>1169</v>
      </c>
      <c r="W839" t="s">
        <v>3730</v>
      </c>
      <c r="X839" t="str">
        <f t="shared" si="13"/>
        <v>DA770413@TRAC Corp</v>
      </c>
      <c r="Y839">
        <f>_xlfn.IFNA(_xll.BDP(X839,"INTERVAL_SUM", "MARKET_DATA_OVERRIDE=px_volume", "CALC_INTERVAL=5D"), "")</f>
        <v>4136</v>
      </c>
      <c r="Z839" t="str" cm="1">
        <f t="array" ref="Z839">_xll.BDP(B839, "CF_ACT_CASH_PAID_FOR_INT_DEBT")</f>
        <v>#N/A N/A</v>
      </c>
      <c r="AA839" t="str" cm="1">
        <f t="array" ref="AA839">_xll.BDP(B839, "TYPE_OF_BOND")</f>
        <v>#N/A Field Not Applicable</v>
      </c>
    </row>
    <row r="840" spans="1:27" x14ac:dyDescent="0.25">
      <c r="A840">
        <v>838</v>
      </c>
      <c r="B840" t="s">
        <v>3735</v>
      </c>
      <c r="C840" s="4" t="s">
        <v>3728</v>
      </c>
      <c r="D840" s="4">
        <v>2639439000</v>
      </c>
      <c r="E840" s="1" t="s">
        <v>11</v>
      </c>
      <c r="F840" s="1">
        <v>47588</v>
      </c>
      <c r="G840">
        <v>7.875</v>
      </c>
      <c r="H840" t="s">
        <v>9</v>
      </c>
      <c r="L840" t="s">
        <v>1168</v>
      </c>
      <c r="M840" t="s">
        <v>10</v>
      </c>
      <c r="N840" t="s">
        <v>460</v>
      </c>
      <c r="O840" t="s">
        <v>3137</v>
      </c>
      <c r="P840" t="s">
        <v>2660</v>
      </c>
      <c r="Q840" t="s">
        <v>3219</v>
      </c>
      <c r="R840" t="s">
        <v>3736</v>
      </c>
      <c r="S840">
        <v>9728739.3483996391</v>
      </c>
      <c r="T840">
        <v>66</v>
      </c>
      <c r="U840" t="s">
        <v>1169</v>
      </c>
      <c r="W840" t="s">
        <v>3730</v>
      </c>
      <c r="X840" t="str">
        <f t="shared" si="13"/>
        <v>DA769846@TRAC Corp</v>
      </c>
      <c r="Y840">
        <f>_xlfn.IFNA(_xll.BDP(X840,"INTERVAL_SUM", "MARKET_DATA_OVERRIDE=px_volume", "CALC_INTERVAL=5D"), "")</f>
        <v>16129</v>
      </c>
      <c r="Z840" t="str" cm="1">
        <f t="array" ref="Z840">_xll.BDP(B840, "CF_ACT_CASH_PAID_FOR_INT_DEBT")</f>
        <v>#N/A N/A</v>
      </c>
      <c r="AA840" t="str" cm="1">
        <f t="array" ref="AA840">_xll.BDP(B840, "TYPE_OF_BOND")</f>
        <v>#N/A Field Not Applicable</v>
      </c>
    </row>
    <row r="841" spans="1:27" x14ac:dyDescent="0.25">
      <c r="A841">
        <v>839</v>
      </c>
      <c r="B841" t="s">
        <v>3737</v>
      </c>
      <c r="C841" s="4" t="s">
        <v>3728</v>
      </c>
      <c r="D841" s="4">
        <v>995000000</v>
      </c>
      <c r="E841" s="1" t="s">
        <v>11</v>
      </c>
      <c r="F841" s="1">
        <v>47589</v>
      </c>
      <c r="G841">
        <v>7.1795</v>
      </c>
      <c r="H841" t="s">
        <v>13</v>
      </c>
      <c r="I841" t="s">
        <v>2631</v>
      </c>
      <c r="J841">
        <v>350</v>
      </c>
      <c r="L841" t="s">
        <v>1168</v>
      </c>
      <c r="M841" t="s">
        <v>10</v>
      </c>
      <c r="N841" t="s">
        <v>460</v>
      </c>
      <c r="O841" t="s">
        <v>3137</v>
      </c>
      <c r="P841" t="s">
        <v>2660</v>
      </c>
      <c r="Q841" t="s">
        <v>3219</v>
      </c>
      <c r="R841" t="s">
        <v>3738</v>
      </c>
      <c r="S841">
        <v>3000000</v>
      </c>
      <c r="T841">
        <v>26</v>
      </c>
      <c r="V841" t="s">
        <v>227</v>
      </c>
      <c r="W841" t="s">
        <v>3730</v>
      </c>
      <c r="X841" t="str">
        <f t="shared" si="13"/>
        <v>BL528592@TRAC Corp</v>
      </c>
      <c r="Y841" t="str">
        <f>_xlfn.IFNA(_xll.BDP(X841,"INTERVAL_SUM", "MARKET_DATA_OVERRIDE=px_volume", "CALC_INTERVAL=5D"), "")</f>
        <v>#N/A N/A</v>
      </c>
      <c r="Z841" t="str" cm="1">
        <f t="array" ref="Z841">_xll.BDP(B841, "CF_ACT_CASH_PAID_FOR_INT_DEBT")</f>
        <v>#N/A N/A</v>
      </c>
      <c r="AA841" t="str" cm="1">
        <f t="array" ref="AA841">_xll.BDP(B841, "TYPE_OF_BOND")</f>
        <v>#N/A Field Not Applicable</v>
      </c>
    </row>
    <row r="842" spans="1:27" x14ac:dyDescent="0.25">
      <c r="A842">
        <v>840</v>
      </c>
      <c r="B842" t="s">
        <v>3739</v>
      </c>
      <c r="C842" s="4" t="s">
        <v>3728</v>
      </c>
      <c r="D842" s="4">
        <v>30000000</v>
      </c>
      <c r="E842" s="1" t="s">
        <v>11</v>
      </c>
      <c r="F842" s="1">
        <v>46793</v>
      </c>
      <c r="G842">
        <v>6.1703999999999999</v>
      </c>
      <c r="H842" t="s">
        <v>13</v>
      </c>
      <c r="I842" t="s">
        <v>2631</v>
      </c>
      <c r="J842">
        <v>250</v>
      </c>
      <c r="L842" t="s">
        <v>1168</v>
      </c>
      <c r="M842" t="s">
        <v>10</v>
      </c>
      <c r="N842" t="s">
        <v>460</v>
      </c>
      <c r="O842" t="s">
        <v>3137</v>
      </c>
      <c r="P842" t="s">
        <v>2660</v>
      </c>
      <c r="Q842" t="s">
        <v>3219</v>
      </c>
      <c r="R842" t="s">
        <v>3740</v>
      </c>
      <c r="S842">
        <v>2244267.73953031</v>
      </c>
      <c r="T842">
        <v>8</v>
      </c>
      <c r="V842" t="s">
        <v>227</v>
      </c>
      <c r="W842" t="s">
        <v>3730</v>
      </c>
      <c r="X842" t="str">
        <f t="shared" si="13"/>
        <v>BL420691@TRAC Corp</v>
      </c>
      <c r="Y842" t="str">
        <f>_xlfn.IFNA(_xll.BDP(X842,"INTERVAL_SUM", "MARKET_DATA_OVERRIDE=px_volume", "CALC_INTERVAL=5D"), "")</f>
        <v>#N/A N/A</v>
      </c>
      <c r="Z842" t="str" cm="1">
        <f t="array" ref="Z842">_xll.BDP(B842, "CF_ACT_CASH_PAID_FOR_INT_DEBT")</f>
        <v>#N/A N/A</v>
      </c>
      <c r="AA842" t="str" cm="1">
        <f t="array" ref="AA842">_xll.BDP(B842, "TYPE_OF_BOND")</f>
        <v>#N/A Field Not Applicable</v>
      </c>
    </row>
    <row r="843" spans="1:27" x14ac:dyDescent="0.25">
      <c r="A843">
        <v>841</v>
      </c>
      <c r="B843" t="s">
        <v>3741</v>
      </c>
      <c r="C843" s="4" t="s">
        <v>3728</v>
      </c>
      <c r="D843" s="4">
        <v>40000000</v>
      </c>
      <c r="E843" s="1" t="s">
        <v>11</v>
      </c>
      <c r="F843" s="1">
        <v>47497</v>
      </c>
      <c r="G843">
        <v>5.1439000000000004</v>
      </c>
      <c r="H843" t="s">
        <v>13</v>
      </c>
      <c r="I843" t="s">
        <v>2631</v>
      </c>
      <c r="J843">
        <v>150</v>
      </c>
      <c r="L843" t="s">
        <v>1168</v>
      </c>
      <c r="M843" t="s">
        <v>10</v>
      </c>
      <c r="N843" t="s">
        <v>460</v>
      </c>
      <c r="O843" t="s">
        <v>3137</v>
      </c>
      <c r="P843" t="s">
        <v>2660</v>
      </c>
      <c r="Q843" t="s">
        <v>3219</v>
      </c>
      <c r="R843" t="s">
        <v>3742</v>
      </c>
      <c r="V843" t="s">
        <v>945</v>
      </c>
      <c r="W843" t="s">
        <v>3730</v>
      </c>
      <c r="X843" t="str">
        <f t="shared" si="13"/>
        <v>BL081950@TRAC Corp</v>
      </c>
      <c r="Y843" t="str">
        <f>_xlfn.IFNA(_xll.BDP(X843,"INTERVAL_SUM", "MARKET_DATA_OVERRIDE=px_volume", "CALC_INTERVAL=5D"), "")</f>
        <v>#N/A N/A</v>
      </c>
      <c r="Z843" t="str" cm="1">
        <f t="array" ref="Z843">_xll.BDP(B843, "CF_ACT_CASH_PAID_FOR_INT_DEBT")</f>
        <v>#N/A N/A</v>
      </c>
      <c r="AA843" t="str" cm="1">
        <f t="array" ref="AA843">_xll.BDP(B843, "TYPE_OF_BOND")</f>
        <v>#N/A Field Not Applicable</v>
      </c>
    </row>
    <row r="844" spans="1:27" x14ac:dyDescent="0.25">
      <c r="A844">
        <v>842</v>
      </c>
      <c r="B844" t="s">
        <v>1813</v>
      </c>
      <c r="C844" s="4" t="s">
        <v>1814</v>
      </c>
      <c r="D844" s="4">
        <v>1300000000</v>
      </c>
      <c r="E844" s="1" t="s">
        <v>11</v>
      </c>
      <c r="F844" s="1">
        <v>47331</v>
      </c>
      <c r="G844">
        <v>9.4131999999999998</v>
      </c>
      <c r="H844" t="s">
        <v>13</v>
      </c>
      <c r="I844" t="s">
        <v>2635</v>
      </c>
      <c r="J844">
        <v>575</v>
      </c>
      <c r="L844" t="s">
        <v>1168</v>
      </c>
      <c r="M844" t="s">
        <v>10</v>
      </c>
      <c r="N844" t="s">
        <v>16</v>
      </c>
      <c r="O844" t="s">
        <v>3108</v>
      </c>
      <c r="P844" t="s">
        <v>2644</v>
      </c>
      <c r="Q844" t="s">
        <v>3183</v>
      </c>
      <c r="R844" t="s">
        <v>1815</v>
      </c>
      <c r="S844">
        <v>5000000</v>
      </c>
      <c r="T844">
        <v>11</v>
      </c>
      <c r="V844" t="s">
        <v>227</v>
      </c>
      <c r="W844" t="s">
        <v>1816</v>
      </c>
      <c r="X844" t="str">
        <f t="shared" si="13"/>
        <v>BL397332@TRAC Corp</v>
      </c>
      <c r="Y844" t="str">
        <f>_xlfn.IFNA(_xll.BDP(X844,"INTERVAL_SUM", "MARKET_DATA_OVERRIDE=px_volume", "CALC_INTERVAL=5D"), "")</f>
        <v>#N/A N/A</v>
      </c>
      <c r="Z844" t="str" cm="1">
        <f t="array" ref="Z844">_xll.BDP(B844, "CF_ACT_CASH_PAID_FOR_INT_DEBT")</f>
        <v>#N/A N/A</v>
      </c>
      <c r="AA844" t="str" cm="1">
        <f t="array" ref="AA844">_xll.BDP(B844, "TYPE_OF_BOND")</f>
        <v>#N/A Field Not Applicable</v>
      </c>
    </row>
    <row r="845" spans="1:27" x14ac:dyDescent="0.25">
      <c r="A845">
        <v>843</v>
      </c>
      <c r="B845" t="s">
        <v>1819</v>
      </c>
      <c r="C845" s="4" t="s">
        <v>1820</v>
      </c>
      <c r="D845" s="4">
        <v>1290000000</v>
      </c>
      <c r="E845" s="1" t="s">
        <v>11</v>
      </c>
      <c r="F845" s="1">
        <v>48047</v>
      </c>
      <c r="G845">
        <v>7.4181999999999997</v>
      </c>
      <c r="H845" t="s">
        <v>13</v>
      </c>
      <c r="I845" t="s">
        <v>2662</v>
      </c>
      <c r="J845">
        <v>375</v>
      </c>
      <c r="L845" t="s">
        <v>1168</v>
      </c>
      <c r="M845" t="s">
        <v>10</v>
      </c>
      <c r="N845" t="s">
        <v>36</v>
      </c>
      <c r="O845" t="s">
        <v>3113</v>
      </c>
      <c r="P845" t="s">
        <v>2639</v>
      </c>
      <c r="Q845" t="s">
        <v>3214</v>
      </c>
      <c r="R845" t="s">
        <v>1821</v>
      </c>
      <c r="S845">
        <v>10000000</v>
      </c>
      <c r="T845">
        <v>4</v>
      </c>
      <c r="V845" t="s">
        <v>227</v>
      </c>
      <c r="W845" t="s">
        <v>1822</v>
      </c>
      <c r="X845" t="str">
        <f t="shared" si="13"/>
        <v>BL468496@TRAC Corp</v>
      </c>
      <c r="Y845" t="str">
        <f>_xlfn.IFNA(_xll.BDP(X845,"INTERVAL_SUM", "MARKET_DATA_OVERRIDE=px_volume", "CALC_INTERVAL=5D"), "")</f>
        <v>#N/A N/A</v>
      </c>
      <c r="Z845" t="str" cm="1">
        <f t="array" ref="Z845">_xll.BDP(B845, "CF_ACT_CASH_PAID_FOR_INT_DEBT")</f>
        <v>#N/A N/A</v>
      </c>
      <c r="AA845" t="str" cm="1">
        <f t="array" ref="AA845">_xll.BDP(B845, "TYPE_OF_BOND")</f>
        <v>#N/A Field Not Applicable</v>
      </c>
    </row>
    <row r="846" spans="1:27" x14ac:dyDescent="0.25">
      <c r="A846">
        <v>844</v>
      </c>
      <c r="B846" t="s">
        <v>1823</v>
      </c>
      <c r="C846" s="4" t="s">
        <v>1824</v>
      </c>
      <c r="D846" s="4">
        <v>494731000</v>
      </c>
      <c r="E846" s="1" t="s">
        <v>11</v>
      </c>
      <c r="F846" s="1">
        <v>48349</v>
      </c>
      <c r="G846">
        <v>6.375</v>
      </c>
      <c r="H846" t="s">
        <v>64</v>
      </c>
      <c r="L846" t="s">
        <v>1168</v>
      </c>
      <c r="M846" t="s">
        <v>10</v>
      </c>
      <c r="N846" t="s">
        <v>36</v>
      </c>
      <c r="O846" t="s">
        <v>3154</v>
      </c>
      <c r="P846" t="s">
        <v>2645</v>
      </c>
      <c r="Q846" t="s">
        <v>3155</v>
      </c>
      <c r="R846" t="s">
        <v>1825</v>
      </c>
      <c r="S846">
        <v>-9997</v>
      </c>
      <c r="U846" t="s">
        <v>1169</v>
      </c>
      <c r="W846" t="s">
        <v>1826</v>
      </c>
      <c r="X846" t="str">
        <f t="shared" si="13"/>
        <v>DL006379@TRAC Corp</v>
      </c>
      <c r="Y846" t="str">
        <f>_xlfn.IFNA(_xll.BDP(X846,"INTERVAL_SUM", "MARKET_DATA_OVERRIDE=px_volume", "CALC_INTERVAL=5D"), "")</f>
        <v>#N/A N/A</v>
      </c>
      <c r="Z846" t="str" cm="1">
        <f t="array" ref="Z846">_xll.BDP(B846, "CF_ACT_CASH_PAID_FOR_INT_DEBT")</f>
        <v>#N/A N/A</v>
      </c>
      <c r="AA846" t="str" cm="1">
        <f t="array" ref="AA846">_xll.BDP(B846, "TYPE_OF_BOND")</f>
        <v>PIK</v>
      </c>
    </row>
    <row r="847" spans="1:27" x14ac:dyDescent="0.25">
      <c r="A847">
        <v>845</v>
      </c>
      <c r="B847" t="s">
        <v>1827</v>
      </c>
      <c r="C847" s="4" t="s">
        <v>1824</v>
      </c>
      <c r="D847" s="4">
        <v>3753000</v>
      </c>
      <c r="E847" s="1" t="s">
        <v>17</v>
      </c>
      <c r="F847" s="1">
        <v>47253</v>
      </c>
      <c r="G847">
        <v>6.375</v>
      </c>
      <c r="H847" t="s">
        <v>9</v>
      </c>
      <c r="L847" t="s">
        <v>1168</v>
      </c>
      <c r="M847" t="s">
        <v>10</v>
      </c>
      <c r="N847" t="s">
        <v>36</v>
      </c>
      <c r="O847" t="s">
        <v>3154</v>
      </c>
      <c r="P847" t="s">
        <v>2645</v>
      </c>
      <c r="Q847" t="s">
        <v>3155</v>
      </c>
      <c r="R847" t="s">
        <v>1828</v>
      </c>
      <c r="S847">
        <v>-9997</v>
      </c>
      <c r="U847" t="s">
        <v>1169</v>
      </c>
      <c r="W847" t="s">
        <v>1826</v>
      </c>
      <c r="X847" t="str">
        <f t="shared" si="13"/>
        <v>BP279876@TRAC Corp</v>
      </c>
      <c r="Y847" t="str">
        <f>_xlfn.IFNA(_xll.BDP(X847,"INTERVAL_SUM", "MARKET_DATA_OVERRIDE=px_volume", "CALC_INTERVAL=5D"), "")</f>
        <v>#N/A N/A</v>
      </c>
      <c r="Z847" t="str" cm="1">
        <f t="array" ref="Z847">_xll.BDP(B847, "CF_ACT_CASH_PAID_FOR_INT_DEBT")</f>
        <v>#N/A N/A</v>
      </c>
      <c r="AA847" t="str" cm="1">
        <f t="array" ref="AA847">_xll.BDP(B847, "TYPE_OF_BOND")</f>
        <v>#N/A Field Not Applicable</v>
      </c>
    </row>
    <row r="848" spans="1:27" x14ac:dyDescent="0.25">
      <c r="A848">
        <v>846</v>
      </c>
      <c r="B848" t="s">
        <v>1829</v>
      </c>
      <c r="C848" s="4" t="s">
        <v>1824</v>
      </c>
      <c r="D848" s="4">
        <v>1285378500</v>
      </c>
      <c r="E848" s="1" t="s">
        <v>11</v>
      </c>
      <c r="F848" s="1">
        <v>48166</v>
      </c>
      <c r="G848">
        <v>9.1669</v>
      </c>
      <c r="H848" t="s">
        <v>13</v>
      </c>
      <c r="I848" t="s">
        <v>2631</v>
      </c>
      <c r="J848">
        <v>550</v>
      </c>
      <c r="L848" t="s">
        <v>1168</v>
      </c>
      <c r="M848" t="s">
        <v>10</v>
      </c>
      <c r="N848" t="s">
        <v>36</v>
      </c>
      <c r="O848" t="s">
        <v>3154</v>
      </c>
      <c r="P848" t="s">
        <v>2645</v>
      </c>
      <c r="Q848" t="s">
        <v>3155</v>
      </c>
      <c r="R848" t="s">
        <v>1830</v>
      </c>
      <c r="S848">
        <v>5000000</v>
      </c>
      <c r="T848">
        <v>19</v>
      </c>
      <c r="V848" t="s">
        <v>227</v>
      </c>
      <c r="W848" t="s">
        <v>1826</v>
      </c>
      <c r="X848" t="str">
        <f t="shared" si="13"/>
        <v>BL568553@TRAC Corp</v>
      </c>
      <c r="Y848" t="str">
        <f>_xlfn.IFNA(_xll.BDP(X848,"INTERVAL_SUM", "MARKET_DATA_OVERRIDE=px_volume", "CALC_INTERVAL=5D"), "")</f>
        <v>#N/A N/A</v>
      </c>
      <c r="Z848" t="str" cm="1">
        <f t="array" ref="Z848">_xll.BDP(B848, "CF_ACT_CASH_PAID_FOR_INT_DEBT")</f>
        <v>#N/A N/A</v>
      </c>
      <c r="AA848" t="str" cm="1">
        <f t="array" ref="AA848">_xll.BDP(B848, "TYPE_OF_BOND")</f>
        <v>#N/A Field Not Applicable</v>
      </c>
    </row>
    <row r="849" spans="1:27" x14ac:dyDescent="0.25">
      <c r="A849">
        <v>847</v>
      </c>
      <c r="B849" t="s">
        <v>1831</v>
      </c>
      <c r="C849" s="4" t="s">
        <v>1824</v>
      </c>
      <c r="D849" s="4">
        <v>100000000</v>
      </c>
      <c r="E849" s="1" t="s">
        <v>11</v>
      </c>
      <c r="F849" s="1">
        <v>48166</v>
      </c>
      <c r="G849">
        <v>9.1669</v>
      </c>
      <c r="H849" t="s">
        <v>13</v>
      </c>
      <c r="I849" t="s">
        <v>2631</v>
      </c>
      <c r="J849">
        <v>550</v>
      </c>
      <c r="L849" t="s">
        <v>1168</v>
      </c>
      <c r="M849" t="s">
        <v>10</v>
      </c>
      <c r="N849" t="s">
        <v>36</v>
      </c>
      <c r="O849" t="s">
        <v>3154</v>
      </c>
      <c r="P849" t="s">
        <v>2645</v>
      </c>
      <c r="Q849" t="s">
        <v>3155</v>
      </c>
      <c r="R849" t="s">
        <v>1830</v>
      </c>
      <c r="S849">
        <v>3000000</v>
      </c>
      <c r="T849">
        <v>25</v>
      </c>
      <c r="V849" t="s">
        <v>227</v>
      </c>
      <c r="W849" t="s">
        <v>1826</v>
      </c>
      <c r="X849" t="str">
        <f t="shared" si="13"/>
        <v>BL568551@TRAC Corp</v>
      </c>
      <c r="Y849" t="str">
        <f>_xlfn.IFNA(_xll.BDP(X849,"INTERVAL_SUM", "MARKET_DATA_OVERRIDE=px_volume", "CALC_INTERVAL=5D"), "")</f>
        <v>#N/A N/A</v>
      </c>
      <c r="Z849" t="str" cm="1">
        <f t="array" ref="Z849">_xll.BDP(B849, "CF_ACT_CASH_PAID_FOR_INT_DEBT")</f>
        <v>#N/A N/A</v>
      </c>
      <c r="AA849" t="str" cm="1">
        <f t="array" ref="AA849">_xll.BDP(B849, "TYPE_OF_BOND")</f>
        <v>#N/A Field Not Applicable</v>
      </c>
    </row>
    <row r="850" spans="1:27" x14ac:dyDescent="0.25">
      <c r="A850">
        <v>848</v>
      </c>
      <c r="B850" t="s">
        <v>1832</v>
      </c>
      <c r="C850" s="4" t="s">
        <v>1824</v>
      </c>
      <c r="D850" s="4">
        <v>126600000</v>
      </c>
      <c r="E850" s="1" t="s">
        <v>11</v>
      </c>
      <c r="F850" s="1">
        <v>47976</v>
      </c>
      <c r="G850">
        <v>5.6669</v>
      </c>
      <c r="H850" t="s">
        <v>13</v>
      </c>
      <c r="I850" t="s">
        <v>2631</v>
      </c>
      <c r="J850">
        <v>200</v>
      </c>
      <c r="L850" t="s">
        <v>1168</v>
      </c>
      <c r="M850" t="s">
        <v>10</v>
      </c>
      <c r="N850" t="s">
        <v>36</v>
      </c>
      <c r="O850" t="s">
        <v>3154</v>
      </c>
      <c r="P850" t="s">
        <v>2645</v>
      </c>
      <c r="Q850" t="s">
        <v>3155</v>
      </c>
      <c r="R850" t="s">
        <v>1833</v>
      </c>
      <c r="V850" t="s">
        <v>945</v>
      </c>
      <c r="W850" t="s">
        <v>1826</v>
      </c>
      <c r="X850" t="str">
        <f t="shared" si="13"/>
        <v>BL361609@TRAC Corp</v>
      </c>
      <c r="Y850" t="str">
        <f>_xlfn.IFNA(_xll.BDP(X850,"INTERVAL_SUM", "MARKET_DATA_OVERRIDE=px_volume", "CALC_INTERVAL=5D"), "")</f>
        <v>#N/A N/A</v>
      </c>
      <c r="Z850" t="str" cm="1">
        <f t="array" ref="Z850">_xll.BDP(B850, "CF_ACT_CASH_PAID_FOR_INT_DEBT")</f>
        <v>#N/A N/A</v>
      </c>
      <c r="AA850" t="str" cm="1">
        <f t="array" ref="AA850">_xll.BDP(B850, "TYPE_OF_BOND")</f>
        <v>#N/A Field Not Applicable</v>
      </c>
    </row>
    <row r="851" spans="1:27" x14ac:dyDescent="0.25">
      <c r="A851">
        <v>849</v>
      </c>
      <c r="B851" t="s">
        <v>2076</v>
      </c>
      <c r="C851" s="4" t="s">
        <v>2077</v>
      </c>
      <c r="D851" s="4">
        <v>400000000</v>
      </c>
      <c r="E851" s="1" t="s">
        <v>17</v>
      </c>
      <c r="F851" s="1">
        <v>47027</v>
      </c>
      <c r="G851">
        <v>12.875</v>
      </c>
      <c r="H851" t="s">
        <v>9</v>
      </c>
      <c r="L851" t="s">
        <v>1168</v>
      </c>
      <c r="M851" t="s">
        <v>10</v>
      </c>
      <c r="N851" t="s">
        <v>460</v>
      </c>
      <c r="O851" t="s">
        <v>3236</v>
      </c>
      <c r="P851" t="s">
        <v>2691</v>
      </c>
      <c r="Q851" t="s">
        <v>3237</v>
      </c>
      <c r="R851" t="s">
        <v>2078</v>
      </c>
      <c r="S851">
        <v>4630385.9103501104</v>
      </c>
      <c r="T851">
        <v>5</v>
      </c>
      <c r="U851" t="s">
        <v>1169</v>
      </c>
      <c r="W851" t="s">
        <v>2079</v>
      </c>
      <c r="X851" t="str">
        <f t="shared" si="13"/>
        <v>ZI999870@TRAC Corp</v>
      </c>
      <c r="Y851">
        <f>_xlfn.IFNA(_xll.BDP(X851,"INTERVAL_SUM", "MARKET_DATA_OVERRIDE=px_volume", "CALC_INTERVAL=5D"), "")</f>
        <v>755</v>
      </c>
      <c r="Z851" cm="1">
        <f t="array" ref="Z851">_xll.BDP(B851, "CF_ACT_CASH_PAID_FOR_INT_DEBT")</f>
        <v>108.04600000000001</v>
      </c>
      <c r="AA851" t="str" cm="1">
        <f t="array" ref="AA851">_xll.BDP(B851, "TYPE_OF_BOND")</f>
        <v>#N/A Field Not Applicable</v>
      </c>
    </row>
    <row r="852" spans="1:27" x14ac:dyDescent="0.25">
      <c r="A852">
        <v>850</v>
      </c>
      <c r="B852" t="s">
        <v>2080</v>
      </c>
      <c r="C852" s="4" t="s">
        <v>2077</v>
      </c>
      <c r="D852" s="4">
        <v>872093000</v>
      </c>
      <c r="E852" s="1" t="s">
        <v>17</v>
      </c>
      <c r="F852" s="1">
        <v>47150</v>
      </c>
      <c r="G852">
        <v>5.125</v>
      </c>
      <c r="H852" t="s">
        <v>9</v>
      </c>
      <c r="L852" t="s">
        <v>1168</v>
      </c>
      <c r="M852" t="s">
        <v>10</v>
      </c>
      <c r="N852" t="s">
        <v>460</v>
      </c>
      <c r="O852" t="s">
        <v>3236</v>
      </c>
      <c r="P852" t="s">
        <v>2691</v>
      </c>
      <c r="Q852" t="s">
        <v>3237</v>
      </c>
      <c r="R852" t="s">
        <v>2081</v>
      </c>
      <c r="S852">
        <v>19821665.941418398</v>
      </c>
      <c r="T852">
        <v>22</v>
      </c>
      <c r="W852" t="s">
        <v>2079</v>
      </c>
      <c r="X852" t="str">
        <f t="shared" si="13"/>
        <v>BP951343@TRAC Corp</v>
      </c>
      <c r="Y852">
        <f>_xlfn.IFNA(_xll.BDP(X852,"INTERVAL_SUM", "MARKET_DATA_OVERRIDE=px_volume", "CALC_INTERVAL=5D"), "")</f>
        <v>9863</v>
      </c>
      <c r="Z852" cm="1">
        <f t="array" ref="Z852">_xll.BDP(B852, "CF_ACT_CASH_PAID_FOR_INT_DEBT")</f>
        <v>108.04600000000001</v>
      </c>
      <c r="AA852" t="str" cm="1">
        <f t="array" ref="AA852">_xll.BDP(B852, "TYPE_OF_BOND")</f>
        <v>#N/A Field Not Applicable</v>
      </c>
    </row>
    <row r="853" spans="1:27" x14ac:dyDescent="0.25">
      <c r="A853">
        <v>851</v>
      </c>
      <c r="B853" t="s">
        <v>2082</v>
      </c>
      <c r="C853" s="4" t="s">
        <v>2077</v>
      </c>
      <c r="D853" s="4">
        <v>2907000</v>
      </c>
      <c r="E853" s="1" t="s">
        <v>17</v>
      </c>
      <c r="F853" s="1">
        <v>47150</v>
      </c>
      <c r="G853">
        <v>5.125</v>
      </c>
      <c r="H853" t="s">
        <v>9</v>
      </c>
      <c r="L853" t="s">
        <v>1168</v>
      </c>
      <c r="M853" t="s">
        <v>10</v>
      </c>
      <c r="N853" t="s">
        <v>460</v>
      </c>
      <c r="O853" t="s">
        <v>3236</v>
      </c>
      <c r="P853" t="s">
        <v>2691</v>
      </c>
      <c r="Q853" t="s">
        <v>3237</v>
      </c>
      <c r="R853" t="s">
        <v>2081</v>
      </c>
      <c r="S853">
        <v>-9997</v>
      </c>
      <c r="U853" t="s">
        <v>1169</v>
      </c>
      <c r="W853" t="s">
        <v>2079</v>
      </c>
      <c r="X853" t="str">
        <f t="shared" si="13"/>
        <v>BN536652@TRAC Corp</v>
      </c>
      <c r="Y853" t="str">
        <f>_xlfn.IFNA(_xll.BDP(X853,"INTERVAL_SUM", "MARKET_DATA_OVERRIDE=px_volume", "CALC_INTERVAL=5D"), "")</f>
        <v>#N/A N/A</v>
      </c>
      <c r="Z853" cm="1">
        <f t="array" ref="Z853">_xll.BDP(B853, "CF_ACT_CASH_PAID_FOR_INT_DEBT")</f>
        <v>108.04600000000001</v>
      </c>
      <c r="AA853" t="str" cm="1">
        <f t="array" ref="AA853">_xll.BDP(B853, "TYPE_OF_BOND")</f>
        <v>#N/A Field Not Applicable</v>
      </c>
    </row>
    <row r="854" spans="1:27" x14ac:dyDescent="0.25">
      <c r="A854">
        <v>852</v>
      </c>
      <c r="B854" t="s">
        <v>2083</v>
      </c>
      <c r="C854" s="4" t="s">
        <v>2077</v>
      </c>
      <c r="D854" s="4">
        <v>130050000</v>
      </c>
      <c r="E854" t="s">
        <v>11</v>
      </c>
      <c r="F854" s="1">
        <v>46408</v>
      </c>
      <c r="G854">
        <v>4.0258000000000003</v>
      </c>
      <c r="H854" t="s">
        <v>13</v>
      </c>
      <c r="I854" t="s">
        <v>2692</v>
      </c>
      <c r="J854">
        <v>145</v>
      </c>
      <c r="L854" t="s">
        <v>1175</v>
      </c>
      <c r="M854" t="s">
        <v>19</v>
      </c>
      <c r="N854" t="s">
        <v>460</v>
      </c>
      <c r="O854" t="s">
        <v>3236</v>
      </c>
      <c r="P854" t="s">
        <v>2645</v>
      </c>
      <c r="Q854" t="s">
        <v>3238</v>
      </c>
      <c r="R854" t="s">
        <v>2084</v>
      </c>
      <c r="V854" t="s">
        <v>226</v>
      </c>
      <c r="W854" t="s">
        <v>2079</v>
      </c>
      <c r="X854" t="str">
        <f t="shared" si="13"/>
        <v>BL445265@TRAC Corp</v>
      </c>
      <c r="Y854" t="str">
        <f>_xlfn.IFNA(_xll.BDP(X854,"INTERVAL_SUM", "MARKET_DATA_OVERRIDE=px_volume", "CALC_INTERVAL=5D"), "")</f>
        <v>#N/A N/A</v>
      </c>
      <c r="Z854" cm="1">
        <f t="array" ref="Z854">_xll.BDP(B854, "CF_ACT_CASH_PAID_FOR_INT_DEBT")</f>
        <v>108.04600000000001</v>
      </c>
      <c r="AA854" t="str" cm="1">
        <f t="array" ref="AA854">_xll.BDP(B854, "TYPE_OF_BOND")</f>
        <v>#N/A Field Not Applicable</v>
      </c>
    </row>
    <row r="855" spans="1:27" x14ac:dyDescent="0.25">
      <c r="A855">
        <v>853</v>
      </c>
      <c r="B855" t="s">
        <v>2085</v>
      </c>
      <c r="C855" s="4" t="s">
        <v>2077</v>
      </c>
      <c r="D855" s="4">
        <v>174160000</v>
      </c>
      <c r="E855" t="s">
        <v>17</v>
      </c>
      <c r="F855" s="1">
        <v>46645</v>
      </c>
      <c r="G855">
        <v>3.5910000000000002</v>
      </c>
      <c r="H855" t="s">
        <v>13</v>
      </c>
      <c r="I855" t="s">
        <v>2636</v>
      </c>
      <c r="J855">
        <v>130</v>
      </c>
      <c r="L855" t="s">
        <v>1171</v>
      </c>
      <c r="M855" t="s">
        <v>1501</v>
      </c>
      <c r="N855" t="s">
        <v>460</v>
      </c>
      <c r="O855" t="s">
        <v>3150</v>
      </c>
      <c r="P855" t="s">
        <v>2645</v>
      </c>
      <c r="Q855" t="s">
        <v>3238</v>
      </c>
      <c r="R855" t="s">
        <v>2086</v>
      </c>
      <c r="V855" t="s">
        <v>226</v>
      </c>
      <c r="W855" t="s">
        <v>2079</v>
      </c>
      <c r="X855" t="str">
        <f t="shared" si="13"/>
        <v>BL403045@TRAC Corp</v>
      </c>
      <c r="Y855" t="str">
        <f>_xlfn.IFNA(_xll.BDP(X855,"INTERVAL_SUM", "MARKET_DATA_OVERRIDE=px_volume", "CALC_INTERVAL=5D"), "")</f>
        <v>#N/A N/A</v>
      </c>
      <c r="Z855" cm="1">
        <f t="array" ref="Z855">_xll.BDP(B855, "CF_ACT_CASH_PAID_FOR_INT_DEBT")</f>
        <v>108.04600000000001</v>
      </c>
      <c r="AA855" t="str" cm="1">
        <f t="array" ref="AA855">_xll.BDP(B855, "TYPE_OF_BOND")</f>
        <v>#N/A Field Not Applicable</v>
      </c>
    </row>
    <row r="856" spans="1:27" x14ac:dyDescent="0.25">
      <c r="A856">
        <v>854</v>
      </c>
      <c r="B856" t="s">
        <v>3503</v>
      </c>
      <c r="C856" s="4" t="s">
        <v>3504</v>
      </c>
      <c r="D856" s="4">
        <v>1271275000</v>
      </c>
      <c r="E856" t="s">
        <v>11</v>
      </c>
      <c r="F856" s="1">
        <v>47234</v>
      </c>
      <c r="G856">
        <v>7.6753</v>
      </c>
      <c r="H856" t="s">
        <v>13</v>
      </c>
      <c r="I856" t="s">
        <v>2631</v>
      </c>
      <c r="J856">
        <v>400</v>
      </c>
      <c r="L856" t="s">
        <v>1168</v>
      </c>
      <c r="M856" t="s">
        <v>10</v>
      </c>
      <c r="N856" t="s">
        <v>36</v>
      </c>
      <c r="O856" t="s">
        <v>3113</v>
      </c>
      <c r="P856" t="s">
        <v>2639</v>
      </c>
      <c r="Q856" t="s">
        <v>3246</v>
      </c>
      <c r="R856" t="s">
        <v>3505</v>
      </c>
      <c r="S856">
        <v>5000000</v>
      </c>
      <c r="T856">
        <v>20</v>
      </c>
      <c r="V856" t="s">
        <v>227</v>
      </c>
      <c r="W856" t="s">
        <v>3506</v>
      </c>
      <c r="X856" t="str">
        <f t="shared" si="13"/>
        <v>BL499501@TRAC Corp</v>
      </c>
      <c r="Y856" t="str">
        <f>_xlfn.IFNA(_xll.BDP(X856,"INTERVAL_SUM", "MARKET_DATA_OVERRIDE=px_volume", "CALC_INTERVAL=5D"), "")</f>
        <v>#N/A N/A</v>
      </c>
      <c r="Z856" t="str" cm="1">
        <f t="array" ref="Z856">_xll.BDP(B856, "CF_ACT_CASH_PAID_FOR_INT_DEBT")</f>
        <v>#N/A N/A</v>
      </c>
      <c r="AA856" t="str" cm="1">
        <f t="array" ref="AA856">_xll.BDP(B856, "TYPE_OF_BOND")</f>
        <v>#N/A Field Not Applicable</v>
      </c>
    </row>
    <row r="857" spans="1:27" x14ac:dyDescent="0.25">
      <c r="A857">
        <v>855</v>
      </c>
      <c r="B857" t="s">
        <v>3507</v>
      </c>
      <c r="C857" s="4" t="s">
        <v>3508</v>
      </c>
      <c r="D857" s="4">
        <v>329000000</v>
      </c>
      <c r="E857" t="s">
        <v>11</v>
      </c>
      <c r="F857" s="1">
        <v>46799</v>
      </c>
      <c r="G857">
        <v>6.1439000000000004</v>
      </c>
      <c r="H857" t="s">
        <v>13</v>
      </c>
      <c r="I857" t="s">
        <v>2631</v>
      </c>
      <c r="J857">
        <v>250</v>
      </c>
      <c r="L857" t="s">
        <v>1168</v>
      </c>
      <c r="M857" t="s">
        <v>10</v>
      </c>
      <c r="N857" t="s">
        <v>1149</v>
      </c>
      <c r="O857" t="s">
        <v>3176</v>
      </c>
      <c r="P857" t="s">
        <v>2688</v>
      </c>
      <c r="Q857" t="s">
        <v>3262</v>
      </c>
      <c r="R857" t="s">
        <v>3509</v>
      </c>
      <c r="V857" t="s">
        <v>945</v>
      </c>
      <c r="W857" t="s">
        <v>1834</v>
      </c>
      <c r="X857" t="str">
        <f t="shared" si="13"/>
        <v>BL365609@TRAC Corp</v>
      </c>
      <c r="Y857" t="str">
        <f>_xlfn.IFNA(_xll.BDP(X857,"INTERVAL_SUM", "MARKET_DATA_OVERRIDE=px_volume", "CALC_INTERVAL=5D"), "")</f>
        <v>#N/A N/A</v>
      </c>
      <c r="Z857" t="str" cm="1">
        <f t="array" ref="Z857">_xll.BDP(B857, "CF_ACT_CASH_PAID_FOR_INT_DEBT")</f>
        <v>#N/A N/A</v>
      </c>
      <c r="AA857" t="str" cm="1">
        <f t="array" ref="AA857">_xll.BDP(B857, "TYPE_OF_BOND")</f>
        <v>#N/A Field Not Applicable</v>
      </c>
    </row>
    <row r="858" spans="1:27" x14ac:dyDescent="0.25">
      <c r="A858">
        <v>856</v>
      </c>
      <c r="B858" t="s">
        <v>3510</v>
      </c>
      <c r="C858" s="4" t="s">
        <v>3508</v>
      </c>
      <c r="D858" s="4">
        <v>410000000</v>
      </c>
      <c r="E858" t="s">
        <v>33</v>
      </c>
      <c r="F858" s="1">
        <v>47255</v>
      </c>
      <c r="H858" t="s">
        <v>13</v>
      </c>
      <c r="L858" t="s">
        <v>1168</v>
      </c>
      <c r="M858" t="s">
        <v>10</v>
      </c>
      <c r="N858" t="s">
        <v>1149</v>
      </c>
      <c r="O858" t="s">
        <v>3176</v>
      </c>
      <c r="P858" t="s">
        <v>2688</v>
      </c>
      <c r="Q858" t="s">
        <v>3262</v>
      </c>
      <c r="R858" t="s">
        <v>3511</v>
      </c>
      <c r="V858" t="s">
        <v>227</v>
      </c>
      <c r="W858" t="s">
        <v>1834</v>
      </c>
      <c r="X858" t="str">
        <f t="shared" si="13"/>
        <v>BL361938@TRAC Corp</v>
      </c>
      <c r="Y858" t="str">
        <f>_xlfn.IFNA(_xll.BDP(X858,"INTERVAL_SUM", "MARKET_DATA_OVERRIDE=px_volume", "CALC_INTERVAL=5D"), "")</f>
        <v>#N/A N/A</v>
      </c>
      <c r="Z858" t="str" cm="1">
        <f t="array" ref="Z858">_xll.BDP(B858, "CF_ACT_CASH_PAID_FOR_INT_DEBT")</f>
        <v>#N/A N/A</v>
      </c>
      <c r="AA858" t="str" cm="1">
        <f t="array" ref="AA858">_xll.BDP(B858, "TYPE_OF_BOND")</f>
        <v>#N/A Field Not Applicable</v>
      </c>
    </row>
    <row r="859" spans="1:27" x14ac:dyDescent="0.25">
      <c r="A859">
        <v>857</v>
      </c>
      <c r="B859" t="s">
        <v>3512</v>
      </c>
      <c r="C859" s="4" t="s">
        <v>3508</v>
      </c>
      <c r="D859" s="4">
        <v>1270000000</v>
      </c>
      <c r="E859" t="s">
        <v>11</v>
      </c>
      <c r="F859" s="1">
        <v>46890</v>
      </c>
      <c r="G859">
        <v>7.5438999999999998</v>
      </c>
      <c r="H859" t="s">
        <v>13</v>
      </c>
      <c r="I859" t="s">
        <v>2631</v>
      </c>
      <c r="J859">
        <v>375</v>
      </c>
      <c r="L859" t="s">
        <v>1168</v>
      </c>
      <c r="M859" t="s">
        <v>10</v>
      </c>
      <c r="N859" t="s">
        <v>1149</v>
      </c>
      <c r="O859" t="s">
        <v>3176</v>
      </c>
      <c r="P859" t="s">
        <v>2688</v>
      </c>
      <c r="Q859" t="s">
        <v>3262</v>
      </c>
      <c r="R859" t="s">
        <v>3513</v>
      </c>
      <c r="S859">
        <v>3000000</v>
      </c>
      <c r="T859">
        <v>5</v>
      </c>
      <c r="V859" t="s">
        <v>227</v>
      </c>
      <c r="W859" t="s">
        <v>1834</v>
      </c>
      <c r="X859" t="str">
        <f t="shared" si="13"/>
        <v>BL361935@TRAC Corp</v>
      </c>
      <c r="Y859" t="str">
        <f>_xlfn.IFNA(_xll.BDP(X859,"INTERVAL_SUM", "MARKET_DATA_OVERRIDE=px_volume", "CALC_INTERVAL=5D"), "")</f>
        <v>#N/A N/A</v>
      </c>
      <c r="Z859" t="str" cm="1">
        <f t="array" ref="Z859">_xll.BDP(B859, "CF_ACT_CASH_PAID_FOR_INT_DEBT")</f>
        <v>#N/A N/A</v>
      </c>
      <c r="AA859" t="str" cm="1">
        <f t="array" ref="AA859">_xll.BDP(B859, "TYPE_OF_BOND")</f>
        <v>#N/A Field Not Applicable</v>
      </c>
    </row>
    <row r="860" spans="1:27" x14ac:dyDescent="0.25">
      <c r="A860">
        <v>858</v>
      </c>
      <c r="B860" t="s">
        <v>1835</v>
      </c>
      <c r="C860" s="4" t="s">
        <v>1836</v>
      </c>
      <c r="D860" s="4">
        <v>996273675.852</v>
      </c>
      <c r="E860" t="s">
        <v>12</v>
      </c>
      <c r="F860" s="1">
        <v>46568</v>
      </c>
      <c r="G860">
        <v>6.5</v>
      </c>
      <c r="H860" t="s">
        <v>34</v>
      </c>
      <c r="K860">
        <v>7.25</v>
      </c>
      <c r="L860" t="s">
        <v>1168</v>
      </c>
      <c r="M860" t="s">
        <v>35</v>
      </c>
      <c r="N860" t="s">
        <v>460</v>
      </c>
      <c r="O860" t="s">
        <v>3137</v>
      </c>
      <c r="P860" t="s">
        <v>2660</v>
      </c>
      <c r="Q860" t="s">
        <v>3219</v>
      </c>
      <c r="R860" t="s">
        <v>1837</v>
      </c>
      <c r="S860">
        <v>2813662.18559665</v>
      </c>
      <c r="T860">
        <v>4</v>
      </c>
      <c r="U860" t="s">
        <v>1169</v>
      </c>
      <c r="W860" t="s">
        <v>1838</v>
      </c>
      <c r="X860" t="str">
        <f t="shared" si="13"/>
        <v>ZQ456779@TRAC Corp</v>
      </c>
      <c r="Y860" t="str">
        <f>_xlfn.IFNA(_xll.BDP(X860,"INTERVAL_SUM", "MARKET_DATA_OVERRIDE=px_volume", "CALC_INTERVAL=5D"), "")</f>
        <v>#N/A N/A</v>
      </c>
      <c r="Z860" cm="1">
        <f t="array" ref="Z860">_xll.BDP(B860, "CF_ACT_CASH_PAID_FOR_INT_DEBT")</f>
        <v>565</v>
      </c>
      <c r="AA860" t="str" cm="1">
        <f t="array" ref="AA860">_xll.BDP(B860, "TYPE_OF_BOND")</f>
        <v>Toggle</v>
      </c>
    </row>
    <row r="861" spans="1:27" x14ac:dyDescent="0.25">
      <c r="A861">
        <v>859</v>
      </c>
      <c r="B861" t="s">
        <v>1839</v>
      </c>
      <c r="C861" s="4" t="s">
        <v>1836</v>
      </c>
      <c r="D861" s="4">
        <v>842305205.64999998</v>
      </c>
      <c r="E861" t="s">
        <v>12</v>
      </c>
      <c r="F861" s="1">
        <v>46568</v>
      </c>
      <c r="G861">
        <v>5</v>
      </c>
      <c r="H861" t="s">
        <v>64</v>
      </c>
      <c r="K861">
        <v>5.75</v>
      </c>
      <c r="L861" t="s">
        <v>1171</v>
      </c>
      <c r="M861" t="s">
        <v>35</v>
      </c>
      <c r="N861" t="s">
        <v>460</v>
      </c>
      <c r="O861" t="s">
        <v>3137</v>
      </c>
      <c r="P861" t="s">
        <v>2660</v>
      </c>
      <c r="Q861" t="s">
        <v>3219</v>
      </c>
      <c r="R861" t="s">
        <v>1840</v>
      </c>
      <c r="S861">
        <v>9288101.2430336103</v>
      </c>
      <c r="T861">
        <v>5</v>
      </c>
      <c r="U861" t="s">
        <v>1172</v>
      </c>
      <c r="W861" t="s">
        <v>1838</v>
      </c>
      <c r="X861" t="str">
        <f t="shared" si="13"/>
        <v>ZQ442882@TRAC Corp</v>
      </c>
      <c r="Y861" t="str">
        <f>_xlfn.IFNA(_xll.BDP(X861,"INTERVAL_SUM", "MARKET_DATA_OVERRIDE=px_volume", "CALC_INTERVAL=5D"), "")</f>
        <v>#N/A N/A</v>
      </c>
      <c r="Z861" cm="1">
        <f t="array" ref="Z861">_xll.BDP(B861, "CF_ACT_CASH_PAID_FOR_INT_DEBT")</f>
        <v>565</v>
      </c>
      <c r="AA861" t="str" cm="1">
        <f t="array" ref="AA861">_xll.BDP(B861, "TYPE_OF_BOND")</f>
        <v>Toggle</v>
      </c>
    </row>
    <row r="862" spans="1:27" x14ac:dyDescent="0.25">
      <c r="A862">
        <v>860</v>
      </c>
      <c r="B862" t="s">
        <v>1841</v>
      </c>
      <c r="C862" s="4" t="s">
        <v>1836</v>
      </c>
      <c r="D862" s="4">
        <v>570000000</v>
      </c>
      <c r="E862" t="s">
        <v>12</v>
      </c>
      <c r="F862" s="1">
        <v>47878</v>
      </c>
      <c r="G862">
        <v>5</v>
      </c>
      <c r="H862" t="s">
        <v>9</v>
      </c>
      <c r="L862" t="s">
        <v>1171</v>
      </c>
      <c r="M862" t="s">
        <v>28</v>
      </c>
      <c r="N862" t="s">
        <v>460</v>
      </c>
      <c r="O862" t="s">
        <v>3137</v>
      </c>
      <c r="P862" t="s">
        <v>2660</v>
      </c>
      <c r="Q862" t="s">
        <v>3219</v>
      </c>
      <c r="R862" t="s">
        <v>1842</v>
      </c>
      <c r="S862">
        <v>17041309.4913182</v>
      </c>
      <c r="T862">
        <v>56</v>
      </c>
      <c r="U862" t="s">
        <v>1192</v>
      </c>
      <c r="W862" t="s">
        <v>1838</v>
      </c>
      <c r="X862" t="str">
        <f t="shared" si="13"/>
        <v>DA578136@TRAC Corp</v>
      </c>
      <c r="Y862" t="str">
        <f>_xlfn.IFNA(_xll.BDP(X862,"INTERVAL_SUM", "MARKET_DATA_OVERRIDE=px_volume", "CALC_INTERVAL=5D"), "")</f>
        <v>#N/A N/A</v>
      </c>
      <c r="Z862" cm="1">
        <f t="array" ref="Z862">_xll.BDP(B862, "CF_ACT_CASH_PAID_FOR_INT_DEBT")</f>
        <v>202</v>
      </c>
      <c r="AA862" t="str" cm="1">
        <f t="array" ref="AA862">_xll.BDP(B862, "TYPE_OF_BOND")</f>
        <v>#N/A Field Not Applicable</v>
      </c>
    </row>
    <row r="863" spans="1:27" x14ac:dyDescent="0.25">
      <c r="A863">
        <v>861</v>
      </c>
      <c r="B863" t="s">
        <v>1843</v>
      </c>
      <c r="C863" s="4" t="s">
        <v>1836</v>
      </c>
      <c r="D863" s="4">
        <v>620000000</v>
      </c>
      <c r="E863" t="s">
        <v>12</v>
      </c>
      <c r="F863" s="1">
        <v>47878</v>
      </c>
      <c r="G863">
        <v>6.25</v>
      </c>
      <c r="H863" t="s">
        <v>9</v>
      </c>
      <c r="L863" t="s">
        <v>1168</v>
      </c>
      <c r="M863" t="s">
        <v>28</v>
      </c>
      <c r="N863" t="s">
        <v>460</v>
      </c>
      <c r="O863" t="s">
        <v>3137</v>
      </c>
      <c r="P863" t="s">
        <v>2660</v>
      </c>
      <c r="Q863" t="s">
        <v>3219</v>
      </c>
      <c r="R863" t="s">
        <v>1844</v>
      </c>
      <c r="S863">
        <v>9619568.3830421809</v>
      </c>
      <c r="T863">
        <v>47</v>
      </c>
      <c r="U863" t="s">
        <v>1169</v>
      </c>
      <c r="W863" t="s">
        <v>1838</v>
      </c>
      <c r="X863" t="str">
        <f t="shared" si="13"/>
        <v>DA578035@TRAC Corp</v>
      </c>
      <c r="Y863">
        <f>_xlfn.IFNA(_xll.BDP(X863,"INTERVAL_SUM", "MARKET_DATA_OVERRIDE=px_volume", "CALC_INTERVAL=5D"), "")</f>
        <v>8924</v>
      </c>
      <c r="Z863" cm="1">
        <f t="array" ref="Z863">_xll.BDP(B863, "CF_ACT_CASH_PAID_FOR_INT_DEBT")</f>
        <v>202</v>
      </c>
      <c r="AA863" t="str" cm="1">
        <f t="array" ref="AA863">_xll.BDP(B863, "TYPE_OF_BOND")</f>
        <v>#N/A Field Not Applicable</v>
      </c>
    </row>
    <row r="864" spans="1:27" x14ac:dyDescent="0.25">
      <c r="A864">
        <v>862</v>
      </c>
      <c r="B864" t="s">
        <v>1845</v>
      </c>
      <c r="C864" s="4" t="s">
        <v>1836</v>
      </c>
      <c r="D864" s="4">
        <v>1258436250</v>
      </c>
      <c r="E864" s="1" t="s">
        <v>33</v>
      </c>
      <c r="F864" s="1">
        <v>47818</v>
      </c>
      <c r="G864">
        <v>11</v>
      </c>
      <c r="H864" t="s">
        <v>64</v>
      </c>
      <c r="K864">
        <v>6.5</v>
      </c>
      <c r="L864" t="s">
        <v>1168</v>
      </c>
      <c r="M864" t="s">
        <v>35</v>
      </c>
      <c r="N864" t="s">
        <v>460</v>
      </c>
      <c r="O864" t="s">
        <v>3137</v>
      </c>
      <c r="P864" t="s">
        <v>2660</v>
      </c>
      <c r="Q864" t="s">
        <v>3138</v>
      </c>
      <c r="R864" t="s">
        <v>1847</v>
      </c>
      <c r="S864">
        <v>10377095.5479168</v>
      </c>
      <c r="T864">
        <v>28</v>
      </c>
      <c r="U864" t="s">
        <v>1170</v>
      </c>
      <c r="W864" t="s">
        <v>1838</v>
      </c>
      <c r="X864" t="str">
        <f t="shared" si="13"/>
        <v>DA478887@TRAC Corp</v>
      </c>
      <c r="Y864">
        <f>_xlfn.IFNA(_xll.BDP(X864,"INTERVAL_SUM", "MARKET_DATA_OVERRIDE=px_volume", "CALC_INTERVAL=5D"), "")</f>
        <v>9615</v>
      </c>
      <c r="Z864" cm="1">
        <f t="array" ref="Z864">_xll.BDP(B864, "CF_ACT_CASH_PAID_FOR_INT_DEBT")</f>
        <v>535</v>
      </c>
      <c r="AA864" t="str" cm="1">
        <f t="array" ref="AA864">_xll.BDP(B864, "TYPE_OF_BOND")</f>
        <v>PIK</v>
      </c>
    </row>
    <row r="865" spans="1:27" x14ac:dyDescent="0.25">
      <c r="A865">
        <v>863</v>
      </c>
      <c r="B865" t="s">
        <v>1846</v>
      </c>
      <c r="C865" s="4" t="s">
        <v>1836</v>
      </c>
      <c r="D865" s="4">
        <v>1279852437.5</v>
      </c>
      <c r="E865" s="1" t="s">
        <v>33</v>
      </c>
      <c r="F865" s="1">
        <v>47818</v>
      </c>
      <c r="G865">
        <v>11</v>
      </c>
      <c r="H865" t="s">
        <v>64</v>
      </c>
      <c r="K865">
        <v>7.5</v>
      </c>
      <c r="L865" t="s">
        <v>1171</v>
      </c>
      <c r="M865" t="s">
        <v>35</v>
      </c>
      <c r="N865" t="s">
        <v>460</v>
      </c>
      <c r="O865" t="s">
        <v>3137</v>
      </c>
      <c r="P865" t="s">
        <v>2660</v>
      </c>
      <c r="Q865" t="s">
        <v>3138</v>
      </c>
      <c r="R865" t="s">
        <v>1847</v>
      </c>
      <c r="S865">
        <v>15632545.757841701</v>
      </c>
      <c r="T865">
        <v>34</v>
      </c>
      <c r="U865" t="s">
        <v>1172</v>
      </c>
      <c r="W865" t="s">
        <v>1838</v>
      </c>
      <c r="X865" t="str">
        <f t="shared" si="13"/>
        <v>DA372998@TRAC Corp</v>
      </c>
      <c r="Y865" t="str">
        <f>_xlfn.IFNA(_xll.BDP(X865,"INTERVAL_SUM", "MARKET_DATA_OVERRIDE=px_volume", "CALC_INTERVAL=5D"), "")</f>
        <v>#N/A N/A</v>
      </c>
      <c r="Z865" cm="1">
        <f t="array" ref="Z865">_xll.BDP(B865, "CF_ACT_CASH_PAID_FOR_INT_DEBT")</f>
        <v>535</v>
      </c>
      <c r="AA865" t="str" cm="1">
        <f t="array" ref="AA865">_xll.BDP(B865, "TYPE_OF_BOND")</f>
        <v>PIK</v>
      </c>
    </row>
    <row r="866" spans="1:27" x14ac:dyDescent="0.25">
      <c r="A866">
        <v>864</v>
      </c>
      <c r="B866" t="s">
        <v>1848</v>
      </c>
      <c r="C866" s="4" t="s">
        <v>1836</v>
      </c>
      <c r="D866" s="4">
        <v>1560000000</v>
      </c>
      <c r="E866" s="1" t="s">
        <v>12</v>
      </c>
      <c r="F866" s="1">
        <v>47818</v>
      </c>
      <c r="G866">
        <v>9.5</v>
      </c>
      <c r="H866" t="s">
        <v>9</v>
      </c>
      <c r="L866" t="s">
        <v>1168</v>
      </c>
      <c r="M866" t="s">
        <v>35</v>
      </c>
      <c r="N866" t="s">
        <v>460</v>
      </c>
      <c r="O866" t="s">
        <v>3137</v>
      </c>
      <c r="P866" t="s">
        <v>2660</v>
      </c>
      <c r="Q866" t="s">
        <v>3138</v>
      </c>
      <c r="R866" t="s">
        <v>1849</v>
      </c>
      <c r="S866">
        <v>19523071.5239738</v>
      </c>
      <c r="T866">
        <v>63</v>
      </c>
      <c r="U866" t="s">
        <v>1169</v>
      </c>
      <c r="W866" t="s">
        <v>1838</v>
      </c>
      <c r="X866" t="str">
        <f t="shared" si="13"/>
        <v>DA109976@TRAC Corp</v>
      </c>
      <c r="Y866">
        <f>_xlfn.IFNA(_xll.BDP(X866,"INTERVAL_SUM", "MARKET_DATA_OVERRIDE=px_volume", "CALC_INTERVAL=5D"), "")</f>
        <v>4664</v>
      </c>
      <c r="Z866" cm="1">
        <f t="array" ref="Z866">_xll.BDP(B866, "CF_ACT_CASH_PAID_FOR_INT_DEBT")</f>
        <v>535</v>
      </c>
      <c r="AA866" t="str" cm="1">
        <f t="array" ref="AA866">_xll.BDP(B866, "TYPE_OF_BOND")</f>
        <v>#N/A Field Not Applicable</v>
      </c>
    </row>
    <row r="867" spans="1:27" x14ac:dyDescent="0.25">
      <c r="A867">
        <v>865</v>
      </c>
      <c r="B867" t="s">
        <v>1850</v>
      </c>
      <c r="C867" s="4" t="s">
        <v>1836</v>
      </c>
      <c r="D867" s="4">
        <v>500000000</v>
      </c>
      <c r="E867" s="1" t="s">
        <v>17</v>
      </c>
      <c r="F867" s="1">
        <v>47362</v>
      </c>
      <c r="G867">
        <v>3</v>
      </c>
      <c r="H867" t="s">
        <v>9</v>
      </c>
      <c r="L867" t="s">
        <v>1171</v>
      </c>
      <c r="M867" t="s">
        <v>28</v>
      </c>
      <c r="N867" t="s">
        <v>460</v>
      </c>
      <c r="O867" t="s">
        <v>3137</v>
      </c>
      <c r="P867" t="s">
        <v>2660</v>
      </c>
      <c r="Q867" t="s">
        <v>3219</v>
      </c>
      <c r="R867" t="s">
        <v>1851</v>
      </c>
      <c r="S867">
        <v>21835823.560438901</v>
      </c>
      <c r="T867">
        <v>56</v>
      </c>
      <c r="U867" t="s">
        <v>1192</v>
      </c>
      <c r="W867" t="s">
        <v>1838</v>
      </c>
      <c r="X867" t="str">
        <f t="shared" si="13"/>
        <v>BO288431@TRAC Corp</v>
      </c>
      <c r="Y867" t="str">
        <f>_xlfn.IFNA(_xll.BDP(X867,"INTERVAL_SUM", "MARKET_DATA_OVERRIDE=px_volume", "CALC_INTERVAL=5D"), "")</f>
        <v>#N/A N/A</v>
      </c>
      <c r="Z867" cm="1">
        <f t="array" ref="Z867">_xll.BDP(B867, "CF_ACT_CASH_PAID_FOR_INT_DEBT")</f>
        <v>202</v>
      </c>
      <c r="AA867" t="str" cm="1">
        <f t="array" ref="AA867">_xll.BDP(B867, "TYPE_OF_BOND")</f>
        <v>#N/A Field Not Applicable</v>
      </c>
    </row>
    <row r="868" spans="1:27" x14ac:dyDescent="0.25">
      <c r="A868">
        <v>866</v>
      </c>
      <c r="B868" t="s">
        <v>1852</v>
      </c>
      <c r="C868" s="4" t="s">
        <v>1836</v>
      </c>
      <c r="D868" s="4">
        <v>450000000</v>
      </c>
      <c r="E868" s="1" t="s">
        <v>12</v>
      </c>
      <c r="F868" s="1">
        <v>46997</v>
      </c>
      <c r="G868">
        <v>2</v>
      </c>
      <c r="H868" t="s">
        <v>9</v>
      </c>
      <c r="L868" t="s">
        <v>1171</v>
      </c>
      <c r="M868" t="s">
        <v>28</v>
      </c>
      <c r="N868" t="s">
        <v>460</v>
      </c>
      <c r="O868" t="s">
        <v>3137</v>
      </c>
      <c r="P868" t="s">
        <v>2660</v>
      </c>
      <c r="Q868" t="s">
        <v>3219</v>
      </c>
      <c r="R868" t="s">
        <v>1853</v>
      </c>
      <c r="S868">
        <v>46838533.372201703</v>
      </c>
      <c r="T868">
        <v>75</v>
      </c>
      <c r="U868" t="s">
        <v>1192</v>
      </c>
      <c r="W868" t="s">
        <v>1838</v>
      </c>
      <c r="X868" t="str">
        <f t="shared" si="13"/>
        <v>BO288422@TRAC Corp</v>
      </c>
      <c r="Y868" t="str">
        <f>_xlfn.IFNA(_xll.BDP(X868,"INTERVAL_SUM", "MARKET_DATA_OVERRIDE=px_volume", "CALC_INTERVAL=5D"), "")</f>
        <v>#N/A N/A</v>
      </c>
      <c r="Z868" cm="1">
        <f t="array" ref="Z868">_xll.BDP(B868, "CF_ACT_CASH_PAID_FOR_INT_DEBT")</f>
        <v>202</v>
      </c>
      <c r="AA868" t="str" cm="1">
        <f t="array" ref="AA868">_xll.BDP(B868, "TYPE_OF_BOND")</f>
        <v>#N/A Field Not Applicable</v>
      </c>
    </row>
    <row r="869" spans="1:27" x14ac:dyDescent="0.25">
      <c r="A869">
        <v>867</v>
      </c>
      <c r="B869" t="s">
        <v>1854</v>
      </c>
      <c r="C869" s="4" t="s">
        <v>1836</v>
      </c>
      <c r="D869" s="4">
        <v>1050000000</v>
      </c>
      <c r="E869" s="1" t="s">
        <v>17</v>
      </c>
      <c r="F869" s="1">
        <v>47362</v>
      </c>
      <c r="G869">
        <v>4</v>
      </c>
      <c r="H869" t="s">
        <v>9</v>
      </c>
      <c r="L869" t="s">
        <v>1168</v>
      </c>
      <c r="M869" t="s">
        <v>28</v>
      </c>
      <c r="N869" t="s">
        <v>460</v>
      </c>
      <c r="O869" t="s">
        <v>3137</v>
      </c>
      <c r="P869" t="s">
        <v>2660</v>
      </c>
      <c r="Q869" t="s">
        <v>3219</v>
      </c>
      <c r="R869" t="s">
        <v>1855</v>
      </c>
      <c r="S869">
        <v>6065881.5799127398</v>
      </c>
      <c r="T869">
        <v>41</v>
      </c>
      <c r="U869" t="s">
        <v>1169</v>
      </c>
      <c r="W869" t="s">
        <v>1838</v>
      </c>
      <c r="X869" t="str">
        <f t="shared" si="13"/>
        <v>BO269873@TRAC Corp</v>
      </c>
      <c r="Y869">
        <f>_xlfn.IFNA(_xll.BDP(X869,"INTERVAL_SUM", "MARKET_DATA_OVERRIDE=px_volume", "CALC_INTERVAL=5D"), "")</f>
        <v>8775</v>
      </c>
      <c r="Z869" cm="1">
        <f t="array" ref="Z869">_xll.BDP(B869, "CF_ACT_CASH_PAID_FOR_INT_DEBT")</f>
        <v>202</v>
      </c>
      <c r="AA869" t="str" cm="1">
        <f t="array" ref="AA869">_xll.BDP(B869, "TYPE_OF_BOND")</f>
        <v>#N/A Field Not Applicable</v>
      </c>
    </row>
    <row r="870" spans="1:27" x14ac:dyDescent="0.25">
      <c r="A870">
        <v>868</v>
      </c>
      <c r="B870" t="s">
        <v>1856</v>
      </c>
      <c r="C870" s="4" t="s">
        <v>1836</v>
      </c>
      <c r="D870" s="4">
        <v>600000000</v>
      </c>
      <c r="E870" s="1" t="s">
        <v>12</v>
      </c>
      <c r="F870" s="1">
        <v>46997</v>
      </c>
      <c r="G870">
        <v>3.25</v>
      </c>
      <c r="H870" t="s">
        <v>9</v>
      </c>
      <c r="L870" t="s">
        <v>1168</v>
      </c>
      <c r="M870" t="s">
        <v>28</v>
      </c>
      <c r="N870" t="s">
        <v>460</v>
      </c>
      <c r="O870" t="s">
        <v>3137</v>
      </c>
      <c r="P870" t="s">
        <v>2660</v>
      </c>
      <c r="Q870" t="s">
        <v>3219</v>
      </c>
      <c r="R870" t="s">
        <v>1857</v>
      </c>
      <c r="S870">
        <v>3772136.1549040098</v>
      </c>
      <c r="T870">
        <v>52</v>
      </c>
      <c r="U870" t="s">
        <v>1169</v>
      </c>
      <c r="W870" t="s">
        <v>1838</v>
      </c>
      <c r="X870" t="str">
        <f t="shared" si="13"/>
        <v>BO269865@TRAC Corp</v>
      </c>
      <c r="Y870">
        <f>_xlfn.IFNA(_xll.BDP(X870,"INTERVAL_SUM", "MARKET_DATA_OVERRIDE=px_volume", "CALC_INTERVAL=5D"), "")</f>
        <v>4573</v>
      </c>
      <c r="Z870" cm="1">
        <f t="array" ref="Z870">_xll.BDP(B870, "CF_ACT_CASH_PAID_FOR_INT_DEBT")</f>
        <v>202</v>
      </c>
      <c r="AA870" t="str" cm="1">
        <f t="array" ref="AA870">_xll.BDP(B870, "TYPE_OF_BOND")</f>
        <v>#N/A Field Not Applicable</v>
      </c>
    </row>
    <row r="871" spans="1:27" x14ac:dyDescent="0.25">
      <c r="A871">
        <v>869</v>
      </c>
      <c r="B871" t="s">
        <v>1858</v>
      </c>
      <c r="C871" s="4" t="s">
        <v>1836</v>
      </c>
      <c r="D871" s="4">
        <v>1500000000</v>
      </c>
      <c r="E871" s="1" t="s">
        <v>11</v>
      </c>
      <c r="F871" s="1">
        <v>47829</v>
      </c>
      <c r="H871" t="s">
        <v>13</v>
      </c>
      <c r="L871" t="s">
        <v>1168</v>
      </c>
      <c r="M871" t="s">
        <v>35</v>
      </c>
      <c r="N871" t="s">
        <v>460</v>
      </c>
      <c r="O871" t="s">
        <v>3137</v>
      </c>
      <c r="P871" t="s">
        <v>2660</v>
      </c>
      <c r="Q871" t="s">
        <v>3138</v>
      </c>
      <c r="R871" t="s">
        <v>1859</v>
      </c>
      <c r="V871" t="s">
        <v>227</v>
      </c>
      <c r="W871" t="s">
        <v>1838</v>
      </c>
      <c r="X871" t="str">
        <f t="shared" si="13"/>
        <v>BL535880@TRAC Corp</v>
      </c>
      <c r="Y871" t="str">
        <f>_xlfn.IFNA(_xll.BDP(X871,"INTERVAL_SUM", "MARKET_DATA_OVERRIDE=px_volume", "CALC_INTERVAL=5D"), "")</f>
        <v>#N/A N/A</v>
      </c>
      <c r="Z871" cm="1">
        <f t="array" ref="Z871">_xll.BDP(B871, "CF_ACT_CASH_PAID_FOR_INT_DEBT")</f>
        <v>535</v>
      </c>
      <c r="AA871" t="str" cm="1">
        <f t="array" ref="AA871">_xll.BDP(B871, "TYPE_OF_BOND")</f>
        <v>#N/A Field Not Applicable</v>
      </c>
    </row>
    <row r="872" spans="1:27" x14ac:dyDescent="0.25">
      <c r="A872">
        <v>870</v>
      </c>
      <c r="B872" t="s">
        <v>310</v>
      </c>
      <c r="C872" s="4" t="s">
        <v>311</v>
      </c>
      <c r="D872" s="4">
        <v>236728231</v>
      </c>
      <c r="E872" s="1" t="s">
        <v>11</v>
      </c>
      <c r="F872" s="1">
        <v>47192</v>
      </c>
      <c r="G872">
        <v>8.75</v>
      </c>
      <c r="H872" t="s">
        <v>312</v>
      </c>
      <c r="L872" t="s">
        <v>1168</v>
      </c>
      <c r="M872" t="s">
        <v>10</v>
      </c>
      <c r="N872" t="s">
        <v>313</v>
      </c>
      <c r="O872" t="s">
        <v>3196</v>
      </c>
      <c r="P872" t="s">
        <v>2642</v>
      </c>
      <c r="Q872" t="s">
        <v>2642</v>
      </c>
      <c r="R872" t="s">
        <v>314</v>
      </c>
      <c r="S872">
        <v>7135635.7618397204</v>
      </c>
      <c r="T872">
        <v>5</v>
      </c>
      <c r="U872" t="s">
        <v>1169</v>
      </c>
      <c r="W872" t="s">
        <v>315</v>
      </c>
      <c r="X872" t="str">
        <f t="shared" si="13"/>
        <v>ZD461596@TRAC Corp</v>
      </c>
      <c r="Y872">
        <f>_xlfn.IFNA(_xll.BDP(X872,"INTERVAL_SUM", "MARKET_DATA_OVERRIDE=px_volume", "CALC_INTERVAL=5D"), "")</f>
        <v>1000</v>
      </c>
      <c r="Z872" cm="1">
        <f t="array" ref="Z872">_xll.BDP(B872, "CF_ACT_CASH_PAID_FOR_INT_DEBT")</f>
        <v>352.24200000000002</v>
      </c>
      <c r="AA872" t="str" cm="1">
        <f t="array" ref="AA872">_xll.BDP(B872, "TYPE_OF_BOND")</f>
        <v>#N/A Field Not Applicable</v>
      </c>
    </row>
    <row r="873" spans="1:27" x14ac:dyDescent="0.25">
      <c r="A873">
        <v>871</v>
      </c>
      <c r="B873" t="s">
        <v>316</v>
      </c>
      <c r="C873" s="4" t="s">
        <v>311</v>
      </c>
      <c r="D873" s="4">
        <v>2730126256</v>
      </c>
      <c r="E873" s="1" t="s">
        <v>12</v>
      </c>
      <c r="F873" s="1">
        <v>47437</v>
      </c>
      <c r="G873">
        <v>12</v>
      </c>
      <c r="H873" t="s">
        <v>34</v>
      </c>
      <c r="L873" t="s">
        <v>1168</v>
      </c>
      <c r="M873" t="s">
        <v>10</v>
      </c>
      <c r="N873" t="s">
        <v>313</v>
      </c>
      <c r="O873" t="s">
        <v>3196</v>
      </c>
      <c r="P873" t="s">
        <v>2642</v>
      </c>
      <c r="Q873" t="s">
        <v>2642</v>
      </c>
      <c r="R873" t="s">
        <v>317</v>
      </c>
      <c r="S873">
        <v>7428613.6229988597</v>
      </c>
      <c r="T873">
        <v>12</v>
      </c>
      <c r="U873" t="s">
        <v>1169</v>
      </c>
      <c r="W873" t="s">
        <v>315</v>
      </c>
      <c r="X873" t="str">
        <f t="shared" si="13"/>
        <v>YT580857@TRAC Corp</v>
      </c>
      <c r="Y873" t="str">
        <f>_xlfn.IFNA(_xll.BDP(X873,"INTERVAL_SUM", "MARKET_DATA_OVERRIDE=px_volume", "CALC_INTERVAL=5D"), "")</f>
        <v>#N/A N/A</v>
      </c>
      <c r="Z873" cm="1">
        <f t="array" ref="Z873">_xll.BDP(B873, "CF_ACT_CASH_PAID_FOR_INT_DEBT")</f>
        <v>352.24200000000002</v>
      </c>
      <c r="AA873" t="str" cm="1">
        <f t="array" ref="AA873">_xll.BDP(B873, "TYPE_OF_BOND")</f>
        <v>#N/A Field Not Applicable</v>
      </c>
    </row>
    <row r="874" spans="1:27" x14ac:dyDescent="0.25">
      <c r="A874">
        <v>872</v>
      </c>
      <c r="B874" t="s">
        <v>3215</v>
      </c>
      <c r="C874" s="4" t="s">
        <v>311</v>
      </c>
      <c r="D874" s="4">
        <v>937500000</v>
      </c>
      <c r="E874" s="1" t="s">
        <v>17</v>
      </c>
      <c r="F874" s="1">
        <v>47253</v>
      </c>
      <c r="G874">
        <v>12</v>
      </c>
      <c r="H874" t="s">
        <v>64</v>
      </c>
      <c r="K874">
        <v>12</v>
      </c>
      <c r="L874" t="s">
        <v>1168</v>
      </c>
      <c r="M874" t="s">
        <v>905</v>
      </c>
      <c r="N874" t="s">
        <v>313</v>
      </c>
      <c r="O874" t="s">
        <v>3196</v>
      </c>
      <c r="P874" t="s">
        <v>2642</v>
      </c>
      <c r="Q874" t="s">
        <v>2642</v>
      </c>
      <c r="R874" t="s">
        <v>3514</v>
      </c>
      <c r="S874">
        <v>25628206.653383501</v>
      </c>
      <c r="T874">
        <v>18</v>
      </c>
      <c r="U874" t="s">
        <v>1169</v>
      </c>
      <c r="W874" t="s">
        <v>315</v>
      </c>
      <c r="X874" t="str">
        <f t="shared" si="13"/>
        <v>DM251953@TRAC Corp</v>
      </c>
      <c r="Y874" t="str">
        <f>_xlfn.IFNA(_xll.BDP(X874,"INTERVAL_SUM", "MARKET_DATA_OVERRIDE=px_volume", "CALC_INTERVAL=5D"), "")</f>
        <v>#N/A N/A</v>
      </c>
      <c r="Z874" cm="1">
        <f t="array" ref="Z874">_xll.BDP(B874, "CF_ACT_CASH_PAID_FOR_INT_DEBT")</f>
        <v>352.24200000000002</v>
      </c>
      <c r="AA874" t="str" cm="1">
        <f t="array" ref="AA874">_xll.BDP(B874, "TYPE_OF_BOND")</f>
        <v>PIK</v>
      </c>
    </row>
    <row r="875" spans="1:27" x14ac:dyDescent="0.25">
      <c r="A875">
        <v>873</v>
      </c>
      <c r="B875" t="s">
        <v>318</v>
      </c>
      <c r="C875" s="4" t="s">
        <v>311</v>
      </c>
      <c r="D875" s="4">
        <v>510879463</v>
      </c>
      <c r="E875" t="s">
        <v>11</v>
      </c>
      <c r="F875" s="1">
        <v>46295</v>
      </c>
      <c r="G875">
        <v>6.5</v>
      </c>
      <c r="H875" t="s">
        <v>312</v>
      </c>
      <c r="L875" t="s">
        <v>1168</v>
      </c>
      <c r="M875" t="s">
        <v>10</v>
      </c>
      <c r="N875" t="s">
        <v>313</v>
      </c>
      <c r="O875" t="s">
        <v>3196</v>
      </c>
      <c r="P875" t="s">
        <v>2642</v>
      </c>
      <c r="Q875" t="s">
        <v>2642</v>
      </c>
      <c r="R875" t="s">
        <v>319</v>
      </c>
      <c r="S875">
        <v>10298948.7170843</v>
      </c>
      <c r="T875">
        <v>5</v>
      </c>
      <c r="U875" t="s">
        <v>1169</v>
      </c>
      <c r="W875" t="s">
        <v>315</v>
      </c>
      <c r="X875" t="str">
        <f t="shared" si="13"/>
        <v>BO756743@TRAC Corp</v>
      </c>
      <c r="Y875" t="str">
        <f>_xlfn.IFNA(_xll.BDP(X875,"INTERVAL_SUM", "MARKET_DATA_OVERRIDE=px_volume", "CALC_INTERVAL=5D"), "")</f>
        <v>#N/A N/A</v>
      </c>
      <c r="Z875" cm="1">
        <f t="array" ref="Z875">_xll.BDP(B875, "CF_ACT_CASH_PAID_FOR_INT_DEBT")</f>
        <v>352.24200000000002</v>
      </c>
      <c r="AA875" t="str" cm="1">
        <f t="array" ref="AA875">_xll.BDP(B875, "TYPE_OF_BOND")</f>
        <v>#N/A Field Not Applicable</v>
      </c>
    </row>
    <row r="876" spans="1:27" x14ac:dyDescent="0.25">
      <c r="A876">
        <v>874</v>
      </c>
      <c r="B876" t="s">
        <v>320</v>
      </c>
      <c r="C876" s="4" t="s">
        <v>311</v>
      </c>
      <c r="D876" s="4">
        <v>50000000</v>
      </c>
      <c r="E876" t="s">
        <v>11</v>
      </c>
      <c r="F876" s="1">
        <v>46387</v>
      </c>
      <c r="G876">
        <v>13.6594</v>
      </c>
      <c r="H876" t="s">
        <v>13</v>
      </c>
      <c r="I876" t="s">
        <v>2631</v>
      </c>
      <c r="J876">
        <v>1000</v>
      </c>
      <c r="L876" t="s">
        <v>1168</v>
      </c>
      <c r="M876" t="s">
        <v>10</v>
      </c>
      <c r="N876" t="s">
        <v>313</v>
      </c>
      <c r="O876" t="s">
        <v>3196</v>
      </c>
      <c r="P876" t="s">
        <v>2642</v>
      </c>
      <c r="Q876" t="s">
        <v>2642</v>
      </c>
      <c r="R876" t="s">
        <v>321</v>
      </c>
      <c r="V876" t="s">
        <v>322</v>
      </c>
      <c r="W876" t="s">
        <v>315</v>
      </c>
      <c r="X876" t="str">
        <f t="shared" si="13"/>
        <v>BL567373@TRAC Corp</v>
      </c>
      <c r="Y876" t="str">
        <f>_xlfn.IFNA(_xll.BDP(X876,"INTERVAL_SUM", "MARKET_DATA_OVERRIDE=px_volume", "CALC_INTERVAL=5D"), "")</f>
        <v>#N/A N/A</v>
      </c>
      <c r="Z876" cm="1">
        <f t="array" ref="Z876">_xll.BDP(B876, "CF_ACT_CASH_PAID_FOR_INT_DEBT")</f>
        <v>352.24200000000002</v>
      </c>
      <c r="AA876" t="str" cm="1">
        <f t="array" ref="AA876">_xll.BDP(B876, "TYPE_OF_BOND")</f>
        <v>#N/A Field Not Applicable</v>
      </c>
    </row>
    <row r="877" spans="1:27" x14ac:dyDescent="0.25">
      <c r="A877">
        <v>875</v>
      </c>
      <c r="B877" t="s">
        <v>323</v>
      </c>
      <c r="C877" s="4" t="s">
        <v>311</v>
      </c>
      <c r="D877" s="4">
        <v>1256534500</v>
      </c>
      <c r="E877" t="s">
        <v>11</v>
      </c>
      <c r="F877" s="1">
        <v>47056</v>
      </c>
      <c r="G877">
        <v>9.1555999999999997</v>
      </c>
      <c r="H877" t="s">
        <v>13</v>
      </c>
      <c r="I877" t="s">
        <v>2635</v>
      </c>
      <c r="J877">
        <v>550</v>
      </c>
      <c r="L877" t="s">
        <v>1168</v>
      </c>
      <c r="M877" t="s">
        <v>10</v>
      </c>
      <c r="N877" t="s">
        <v>313</v>
      </c>
      <c r="O877" t="s">
        <v>3196</v>
      </c>
      <c r="P877" t="s">
        <v>2642</v>
      </c>
      <c r="Q877" t="s">
        <v>2642</v>
      </c>
      <c r="R877" t="s">
        <v>324</v>
      </c>
      <c r="S877">
        <v>2000000</v>
      </c>
      <c r="T877">
        <v>3</v>
      </c>
      <c r="V877" t="s">
        <v>227</v>
      </c>
      <c r="W877" t="s">
        <v>315</v>
      </c>
      <c r="X877" t="str">
        <f t="shared" si="13"/>
        <v>BL505462@TRAC Corp</v>
      </c>
      <c r="Y877" t="str">
        <f>_xlfn.IFNA(_xll.BDP(X877,"INTERVAL_SUM", "MARKET_DATA_OVERRIDE=px_volume", "CALC_INTERVAL=5D"), "")</f>
        <v>#N/A N/A</v>
      </c>
      <c r="Z877" cm="1">
        <f t="array" ref="Z877">_xll.BDP(B877, "CF_ACT_CASH_PAID_FOR_INT_DEBT")</f>
        <v>352.24200000000002</v>
      </c>
      <c r="AA877" t="str" cm="1">
        <f t="array" ref="AA877">_xll.BDP(B877, "TYPE_OF_BOND")</f>
        <v>#N/A Field Not Applicable</v>
      </c>
    </row>
    <row r="878" spans="1:27" x14ac:dyDescent="0.25">
      <c r="A878">
        <v>876</v>
      </c>
      <c r="B878" t="s">
        <v>1193</v>
      </c>
      <c r="C878" s="4" t="s">
        <v>311</v>
      </c>
      <c r="D878" s="4">
        <v>560400000</v>
      </c>
      <c r="E878" t="s">
        <v>11</v>
      </c>
      <c r="F878" s="1">
        <v>46675</v>
      </c>
      <c r="G878">
        <v>7.2439</v>
      </c>
      <c r="H878" t="s">
        <v>13</v>
      </c>
      <c r="I878" t="s">
        <v>2631</v>
      </c>
      <c r="J878">
        <v>350</v>
      </c>
      <c r="L878" t="s">
        <v>1168</v>
      </c>
      <c r="M878" t="s">
        <v>10</v>
      </c>
      <c r="N878" t="s">
        <v>313</v>
      </c>
      <c r="O878" t="s">
        <v>3196</v>
      </c>
      <c r="P878" t="s">
        <v>2642</v>
      </c>
      <c r="Q878" t="s">
        <v>2642</v>
      </c>
      <c r="R878" t="s">
        <v>1194</v>
      </c>
      <c r="V878" t="s">
        <v>226</v>
      </c>
      <c r="W878" t="s">
        <v>315</v>
      </c>
      <c r="X878" t="str">
        <f t="shared" si="13"/>
        <v>BL486487@TRAC Corp</v>
      </c>
      <c r="Y878" t="str">
        <f>_xlfn.IFNA(_xll.BDP(X878,"INTERVAL_SUM", "MARKET_DATA_OVERRIDE=px_volume", "CALC_INTERVAL=5D"), "")</f>
        <v>#N/A N/A</v>
      </c>
      <c r="Z878" cm="1">
        <f t="array" ref="Z878">_xll.BDP(B878, "CF_ACT_CASH_PAID_FOR_INT_DEBT")</f>
        <v>352.24200000000002</v>
      </c>
      <c r="AA878" t="str" cm="1">
        <f t="array" ref="AA878">_xll.BDP(B878, "TYPE_OF_BOND")</f>
        <v>#N/A Field Not Applicable</v>
      </c>
    </row>
    <row r="879" spans="1:27" x14ac:dyDescent="0.25">
      <c r="A879">
        <v>877</v>
      </c>
      <c r="B879" t="s">
        <v>325</v>
      </c>
      <c r="C879" s="4" t="s">
        <v>311</v>
      </c>
      <c r="D879" s="4">
        <v>283320000</v>
      </c>
      <c r="E879" t="s">
        <v>11</v>
      </c>
      <c r="F879" s="1">
        <v>46587</v>
      </c>
      <c r="G879">
        <v>11</v>
      </c>
      <c r="H879" t="s">
        <v>13</v>
      </c>
      <c r="I879" t="s">
        <v>2631</v>
      </c>
      <c r="J879">
        <v>670</v>
      </c>
      <c r="L879" t="s">
        <v>1168</v>
      </c>
      <c r="M879" t="s">
        <v>10</v>
      </c>
      <c r="N879" t="s">
        <v>313</v>
      </c>
      <c r="O879" t="s">
        <v>3196</v>
      </c>
      <c r="P879" t="s">
        <v>2642</v>
      </c>
      <c r="Q879" t="s">
        <v>2642</v>
      </c>
      <c r="R879" t="s">
        <v>326</v>
      </c>
      <c r="V879" t="s">
        <v>327</v>
      </c>
      <c r="W879" t="s">
        <v>315</v>
      </c>
      <c r="X879" t="str">
        <f t="shared" si="13"/>
        <v>BL474574@TRAC Corp</v>
      </c>
      <c r="Y879" t="str">
        <f>_xlfn.IFNA(_xll.BDP(X879,"INTERVAL_SUM", "MARKET_DATA_OVERRIDE=px_volume", "CALC_INTERVAL=5D"), "")</f>
        <v>#N/A N/A</v>
      </c>
      <c r="Z879" cm="1">
        <f t="array" ref="Z879">_xll.BDP(B879, "CF_ACT_CASH_PAID_FOR_INT_DEBT")</f>
        <v>352.24200000000002</v>
      </c>
      <c r="AA879" t="str" cm="1">
        <f t="array" ref="AA879">_xll.BDP(B879, "TYPE_OF_BOND")</f>
        <v>#N/A Field Not Applicable</v>
      </c>
    </row>
    <row r="880" spans="1:27" x14ac:dyDescent="0.25">
      <c r="A880">
        <v>878</v>
      </c>
      <c r="B880" t="s">
        <v>3216</v>
      </c>
      <c r="C880" s="4" t="s">
        <v>311</v>
      </c>
      <c r="D880" s="4">
        <v>100000000</v>
      </c>
      <c r="E880" t="s">
        <v>11</v>
      </c>
      <c r="F880" s="1">
        <v>46127</v>
      </c>
      <c r="G880">
        <v>6.2721999999999998</v>
      </c>
      <c r="H880" t="s">
        <v>13</v>
      </c>
      <c r="I880" t="s">
        <v>2635</v>
      </c>
      <c r="J880">
        <v>250</v>
      </c>
      <c r="L880" t="s">
        <v>1168</v>
      </c>
      <c r="M880" t="s">
        <v>10</v>
      </c>
      <c r="N880" t="s">
        <v>313</v>
      </c>
      <c r="O880" t="s">
        <v>3196</v>
      </c>
      <c r="P880" t="s">
        <v>2642</v>
      </c>
      <c r="Q880" t="s">
        <v>2642</v>
      </c>
      <c r="R880" t="s">
        <v>3217</v>
      </c>
      <c r="V880" t="s">
        <v>226</v>
      </c>
      <c r="W880" t="s">
        <v>315</v>
      </c>
      <c r="X880" t="str">
        <f t="shared" si="13"/>
        <v>BL358617@TRAC Corp</v>
      </c>
      <c r="Y880" t="str">
        <f>_xlfn.IFNA(_xll.BDP(X880,"INTERVAL_SUM", "MARKET_DATA_OVERRIDE=px_volume", "CALC_INTERVAL=5D"), "")</f>
        <v>#N/A N/A</v>
      </c>
      <c r="Z880" cm="1">
        <f t="array" ref="Z880">_xll.BDP(B880, "CF_ACT_CASH_PAID_FOR_INT_DEBT")</f>
        <v>352.24200000000002</v>
      </c>
      <c r="AA880" t="str" cm="1">
        <f t="array" ref="AA880">_xll.BDP(B880, "TYPE_OF_BOND")</f>
        <v>#N/A Field Not Applicable</v>
      </c>
    </row>
    <row r="881" spans="1:27" x14ac:dyDescent="0.25">
      <c r="A881">
        <v>879</v>
      </c>
      <c r="B881" t="s">
        <v>328</v>
      </c>
      <c r="C881" s="4" t="s">
        <v>311</v>
      </c>
      <c r="D881" s="4">
        <v>7270000</v>
      </c>
      <c r="E881" t="s">
        <v>11</v>
      </c>
      <c r="F881" s="1">
        <v>47056</v>
      </c>
      <c r="G881">
        <v>9.1439000000000004</v>
      </c>
      <c r="H881" t="s">
        <v>13</v>
      </c>
      <c r="I881" t="s">
        <v>2631</v>
      </c>
      <c r="J881">
        <v>550</v>
      </c>
      <c r="L881" t="s">
        <v>1168</v>
      </c>
      <c r="M881" t="s">
        <v>10</v>
      </c>
      <c r="N881" t="s">
        <v>313</v>
      </c>
      <c r="O881" t="s">
        <v>3196</v>
      </c>
      <c r="R881" t="s">
        <v>329</v>
      </c>
      <c r="V881" t="s">
        <v>227</v>
      </c>
      <c r="W881" t="s">
        <v>315</v>
      </c>
      <c r="X881" t="str">
        <f t="shared" si="13"/>
        <v>BL1000A7@TRAC Corp</v>
      </c>
      <c r="Y881" t="str">
        <f>_xlfn.IFNA(_xll.BDP(X881,"INTERVAL_SUM", "MARKET_DATA_OVERRIDE=px_volume", "CALC_INTERVAL=5D"), "")</f>
        <v>#N/A N/A</v>
      </c>
      <c r="Z881" cm="1">
        <f t="array" ref="Z881">_xll.BDP(B881, "CF_ACT_CASH_PAID_FOR_INT_DEBT")</f>
        <v>352.24200000000002</v>
      </c>
      <c r="AA881" t="str" cm="1">
        <f t="array" ref="AA881">_xll.BDP(B881, "TYPE_OF_BOND")</f>
        <v>#N/A Field Not Applicable</v>
      </c>
    </row>
    <row r="882" spans="1:27" x14ac:dyDescent="0.25">
      <c r="A882">
        <v>880</v>
      </c>
      <c r="B882" t="s">
        <v>330</v>
      </c>
      <c r="C882" s="4" t="s">
        <v>311</v>
      </c>
      <c r="D882" s="4">
        <v>138000000</v>
      </c>
      <c r="E882" t="s">
        <v>331</v>
      </c>
      <c r="F882" s="1"/>
      <c r="G882">
        <v>8.75</v>
      </c>
      <c r="H882" t="s">
        <v>9</v>
      </c>
      <c r="L882" t="s">
        <v>1168</v>
      </c>
      <c r="M882" t="s">
        <v>332</v>
      </c>
      <c r="N882" t="s">
        <v>333</v>
      </c>
      <c r="O882" t="s">
        <v>3210</v>
      </c>
      <c r="P882" t="s">
        <v>2643</v>
      </c>
      <c r="Q882" t="s">
        <v>3218</v>
      </c>
      <c r="R882" t="s">
        <v>334</v>
      </c>
      <c r="S882">
        <v>9296.8875000000007</v>
      </c>
      <c r="T882">
        <v>55</v>
      </c>
      <c r="U882" t="s">
        <v>1176</v>
      </c>
      <c r="W882" t="s">
        <v>315</v>
      </c>
      <c r="X882" t="str">
        <f t="shared" si="13"/>
        <v>EP053924 Pfd</v>
      </c>
      <c r="Y882">
        <f>_xlfn.IFNA(_xll.BDP(X882,"INTERVAL_SUM", "MARKET_DATA_OVERRIDE=px_volume", "CALC_INTERVAL=5D"), "")</f>
        <v>15931</v>
      </c>
      <c r="Z882" cm="1">
        <f t="array" ref="Z882">_xll.BDP(B882, "CF_ACT_CASH_PAID_FOR_INT_DEBT")</f>
        <v>352.24200000000002</v>
      </c>
      <c r="AA882" t="str" cm="1">
        <f t="array" ref="AA882">_xll.BDP(B882, "TYPE_OF_BOND")</f>
        <v>#N/A Field Not Applicable</v>
      </c>
    </row>
    <row r="883" spans="1:27" x14ac:dyDescent="0.25">
      <c r="A883">
        <v>881</v>
      </c>
      <c r="B883" t="s">
        <v>535</v>
      </c>
      <c r="C883" s="4" t="s">
        <v>536</v>
      </c>
      <c r="D883" s="4">
        <v>550000000</v>
      </c>
      <c r="E883" t="s">
        <v>17</v>
      </c>
      <c r="F883" s="1">
        <v>47088</v>
      </c>
      <c r="G883">
        <v>9.25</v>
      </c>
      <c r="H883" t="s">
        <v>9</v>
      </c>
      <c r="L883" t="s">
        <v>1168</v>
      </c>
      <c r="M883" t="s">
        <v>19</v>
      </c>
      <c r="N883" t="s">
        <v>537</v>
      </c>
      <c r="O883" t="s">
        <v>3160</v>
      </c>
      <c r="P883" t="s">
        <v>2664</v>
      </c>
      <c r="Q883" t="s">
        <v>3178</v>
      </c>
      <c r="R883" t="s">
        <v>538</v>
      </c>
      <c r="S883">
        <v>10399833.377358301</v>
      </c>
      <c r="T883">
        <v>43</v>
      </c>
      <c r="U883" t="s">
        <v>1169</v>
      </c>
      <c r="W883" t="s">
        <v>539</v>
      </c>
      <c r="X883" t="str">
        <f t="shared" si="13"/>
        <v>ZG121428@TRAC Corp</v>
      </c>
      <c r="Y883">
        <f>_xlfn.IFNA(_xll.BDP(X883,"INTERVAL_SUM", "MARKET_DATA_OVERRIDE=px_volume", "CALC_INTERVAL=5D"), "")</f>
        <v>9672</v>
      </c>
      <c r="Z883" cm="1">
        <f t="array" ref="Z883">_xll.BDP(B883, "CF_ACT_CASH_PAID_FOR_INT_DEBT")</f>
        <v>271.22399999999999</v>
      </c>
      <c r="AA883" t="str" cm="1">
        <f t="array" ref="AA883">_xll.BDP(B883, "TYPE_OF_BOND")</f>
        <v>#N/A Field Not Applicable</v>
      </c>
    </row>
    <row r="884" spans="1:27" x14ac:dyDescent="0.25">
      <c r="A884">
        <v>882</v>
      </c>
      <c r="B884" t="s">
        <v>540</v>
      </c>
      <c r="C884" s="4" t="s">
        <v>536</v>
      </c>
      <c r="D884" s="4">
        <v>600000000</v>
      </c>
      <c r="E884" t="s">
        <v>17</v>
      </c>
      <c r="F884" s="1">
        <v>47300</v>
      </c>
      <c r="G884">
        <v>7.625</v>
      </c>
      <c r="H884" t="s">
        <v>9</v>
      </c>
      <c r="L884" t="s">
        <v>1168</v>
      </c>
      <c r="M884" t="s">
        <v>19</v>
      </c>
      <c r="N884" t="s">
        <v>537</v>
      </c>
      <c r="O884" t="s">
        <v>3160</v>
      </c>
      <c r="P884" t="s">
        <v>2664</v>
      </c>
      <c r="Q884" t="s">
        <v>3178</v>
      </c>
      <c r="R884" t="s">
        <v>541</v>
      </c>
      <c r="S884">
        <v>12914411.8366201</v>
      </c>
      <c r="T884">
        <v>50</v>
      </c>
      <c r="U884" t="s">
        <v>1169</v>
      </c>
      <c r="W884" t="s">
        <v>539</v>
      </c>
      <c r="X884" t="str">
        <f t="shared" si="13"/>
        <v>ZD182901@TRAC Corp</v>
      </c>
      <c r="Y884">
        <f>_xlfn.IFNA(_xll.BDP(X884,"INTERVAL_SUM", "MARKET_DATA_OVERRIDE=px_volume", "CALC_INTERVAL=5D"), "")</f>
        <v>11390</v>
      </c>
      <c r="Z884" cm="1">
        <f t="array" ref="Z884">_xll.BDP(B884, "CF_ACT_CASH_PAID_FOR_INT_DEBT")</f>
        <v>271.22399999999999</v>
      </c>
      <c r="AA884" t="str" cm="1">
        <f t="array" ref="AA884">_xll.BDP(B884, "TYPE_OF_BOND")</f>
        <v>#N/A Field Not Applicable</v>
      </c>
    </row>
    <row r="885" spans="1:27" x14ac:dyDescent="0.25">
      <c r="A885">
        <v>883</v>
      </c>
      <c r="B885" t="s">
        <v>542</v>
      </c>
      <c r="C885" s="4" t="s">
        <v>536</v>
      </c>
      <c r="D885" s="4">
        <v>325000000</v>
      </c>
      <c r="E885" t="s">
        <v>17</v>
      </c>
      <c r="F885" s="1">
        <v>47618</v>
      </c>
      <c r="G885">
        <v>6</v>
      </c>
      <c r="H885" t="s">
        <v>9</v>
      </c>
      <c r="L885" t="s">
        <v>1175</v>
      </c>
      <c r="M885" t="s">
        <v>19</v>
      </c>
      <c r="N885" t="s">
        <v>537</v>
      </c>
      <c r="O885" t="s">
        <v>3160</v>
      </c>
      <c r="P885" t="s">
        <v>2664</v>
      </c>
      <c r="Q885" t="s">
        <v>3178</v>
      </c>
      <c r="R885" t="s">
        <v>543</v>
      </c>
      <c r="S885">
        <v>51951746.965732999</v>
      </c>
      <c r="T885">
        <v>52</v>
      </c>
      <c r="U885" t="s">
        <v>1169</v>
      </c>
      <c r="W885" t="s">
        <v>539</v>
      </c>
      <c r="X885" t="str">
        <f t="shared" si="13"/>
        <v>YU662526@TRAC Corp</v>
      </c>
      <c r="Y885" t="str">
        <f>_xlfn.IFNA(_xll.BDP(X885,"INTERVAL_SUM", "MARKET_DATA_OVERRIDE=px_volume", "CALC_INTERVAL=5D"), "")</f>
        <v>#N/A N/A</v>
      </c>
      <c r="Z885" cm="1">
        <f t="array" ref="Z885">_xll.BDP(B885, "CF_ACT_CASH_PAID_FOR_INT_DEBT")</f>
        <v>271.22399999999999</v>
      </c>
      <c r="AA885" t="str" cm="1">
        <f t="array" ref="AA885">_xll.BDP(B885, "TYPE_OF_BOND")</f>
        <v>#N/A Field Not Applicable</v>
      </c>
    </row>
    <row r="886" spans="1:27" x14ac:dyDescent="0.25">
      <c r="A886">
        <v>884</v>
      </c>
      <c r="B886" t="s">
        <v>544</v>
      </c>
      <c r="C886" s="4" t="s">
        <v>536</v>
      </c>
      <c r="D886" s="4">
        <v>400000000</v>
      </c>
      <c r="E886" t="s">
        <v>17</v>
      </c>
      <c r="F886" s="1">
        <v>47618</v>
      </c>
      <c r="G886">
        <v>6.875</v>
      </c>
      <c r="H886" t="s">
        <v>9</v>
      </c>
      <c r="L886" t="s">
        <v>1168</v>
      </c>
      <c r="M886" t="s">
        <v>19</v>
      </c>
      <c r="N886" t="s">
        <v>537</v>
      </c>
      <c r="O886" t="s">
        <v>3160</v>
      </c>
      <c r="P886" t="s">
        <v>2664</v>
      </c>
      <c r="Q886" t="s">
        <v>3178</v>
      </c>
      <c r="R886" t="s">
        <v>545</v>
      </c>
      <c r="S886">
        <v>6717272.5455553699</v>
      </c>
      <c r="T886">
        <v>33</v>
      </c>
      <c r="U886" t="s">
        <v>1170</v>
      </c>
      <c r="W886" t="s">
        <v>539</v>
      </c>
      <c r="X886" t="str">
        <f t="shared" si="13"/>
        <v>YU662200@TRAC Corp</v>
      </c>
      <c r="Y886">
        <f>_xlfn.IFNA(_xll.BDP(X886,"INTERVAL_SUM", "MARKET_DATA_OVERRIDE=px_volume", "CALC_INTERVAL=5D"), "")</f>
        <v>27915</v>
      </c>
      <c r="Z886" cm="1">
        <f t="array" ref="Z886">_xll.BDP(B886, "CF_ACT_CASH_PAID_FOR_INT_DEBT")</f>
        <v>271.22399999999999</v>
      </c>
      <c r="AA886" t="str" cm="1">
        <f t="array" ref="AA886">_xll.BDP(B886, "TYPE_OF_BOND")</f>
        <v>#N/A Field Not Applicable</v>
      </c>
    </row>
    <row r="887" spans="1:27" x14ac:dyDescent="0.25">
      <c r="A887">
        <v>885</v>
      </c>
      <c r="B887" t="s">
        <v>546</v>
      </c>
      <c r="C887" s="4" t="s">
        <v>536</v>
      </c>
      <c r="D887" s="4">
        <v>400000000</v>
      </c>
      <c r="E887" t="s">
        <v>17</v>
      </c>
      <c r="F887" s="1">
        <v>47757</v>
      </c>
      <c r="G887">
        <v>7.375</v>
      </c>
      <c r="H887" t="s">
        <v>9</v>
      </c>
      <c r="L887" t="s">
        <v>1168</v>
      </c>
      <c r="M887" t="s">
        <v>19</v>
      </c>
      <c r="N887" t="s">
        <v>537</v>
      </c>
      <c r="O887" t="s">
        <v>3160</v>
      </c>
      <c r="P887" t="s">
        <v>2664</v>
      </c>
      <c r="Q887" t="s">
        <v>3178</v>
      </c>
      <c r="R887" t="s">
        <v>547</v>
      </c>
      <c r="S887">
        <v>6531768.9323875904</v>
      </c>
      <c r="T887">
        <v>32</v>
      </c>
      <c r="U887" t="s">
        <v>1169</v>
      </c>
      <c r="W887" t="s">
        <v>539</v>
      </c>
      <c r="X887" t="str">
        <f t="shared" si="13"/>
        <v>YQ721713@TRAC Corp</v>
      </c>
      <c r="Y887">
        <f>_xlfn.IFNA(_xll.BDP(X887,"INTERVAL_SUM", "MARKET_DATA_OVERRIDE=px_volume", "CALC_INTERVAL=5D"), "")</f>
        <v>6896</v>
      </c>
      <c r="Z887" cm="1">
        <f t="array" ref="Z887">_xll.BDP(B887, "CF_ACT_CASH_PAID_FOR_INT_DEBT")</f>
        <v>271.22399999999999</v>
      </c>
      <c r="AA887" t="str" cm="1">
        <f t="array" ref="AA887">_xll.BDP(B887, "TYPE_OF_BOND")</f>
        <v>#N/A Field Not Applicable</v>
      </c>
    </row>
    <row r="888" spans="1:27" x14ac:dyDescent="0.25">
      <c r="A888">
        <v>886</v>
      </c>
      <c r="B888" t="s">
        <v>548</v>
      </c>
      <c r="C888" s="4" t="s">
        <v>536</v>
      </c>
      <c r="D888" s="4">
        <v>450000000</v>
      </c>
      <c r="E888" t="s">
        <v>17</v>
      </c>
      <c r="F888" s="1">
        <v>47894</v>
      </c>
      <c r="G888">
        <v>6.875</v>
      </c>
      <c r="H888" t="s">
        <v>9</v>
      </c>
      <c r="L888" t="s">
        <v>1168</v>
      </c>
      <c r="M888" t="s">
        <v>19</v>
      </c>
      <c r="N888" t="s">
        <v>537</v>
      </c>
      <c r="O888" t="s">
        <v>3160</v>
      </c>
      <c r="P888" t="s">
        <v>2664</v>
      </c>
      <c r="Q888" t="s">
        <v>3178</v>
      </c>
      <c r="R888" t="s">
        <v>549</v>
      </c>
      <c r="S888">
        <v>6994146.1260537002</v>
      </c>
      <c r="T888">
        <v>32</v>
      </c>
      <c r="U888" t="s">
        <v>1169</v>
      </c>
      <c r="W888" t="s">
        <v>539</v>
      </c>
      <c r="X888" t="str">
        <f t="shared" si="13"/>
        <v>YL232784@TRAC Corp</v>
      </c>
      <c r="Y888">
        <f>_xlfn.IFNA(_xll.BDP(X888,"INTERVAL_SUM", "MARKET_DATA_OVERRIDE=px_volume", "CALC_INTERVAL=5D"), "")</f>
        <v>5850</v>
      </c>
      <c r="Z888" cm="1">
        <f t="array" ref="Z888">_xll.BDP(B888, "CF_ACT_CASH_PAID_FOR_INT_DEBT")</f>
        <v>271.22399999999999</v>
      </c>
      <c r="AA888" t="str" cm="1">
        <f t="array" ref="AA888">_xll.BDP(B888, "TYPE_OF_BOND")</f>
        <v>#N/A Field Not Applicable</v>
      </c>
    </row>
    <row r="889" spans="1:27" x14ac:dyDescent="0.25">
      <c r="A889">
        <v>887</v>
      </c>
      <c r="B889" t="s">
        <v>550</v>
      </c>
      <c r="C889" s="4" t="s">
        <v>536</v>
      </c>
      <c r="D889" s="4">
        <v>150000000</v>
      </c>
      <c r="E889" s="1" t="s">
        <v>11</v>
      </c>
      <c r="F889" s="1">
        <v>46587</v>
      </c>
      <c r="G889">
        <v>5.5358000000000001</v>
      </c>
      <c r="H889" t="s">
        <v>13</v>
      </c>
      <c r="I889" t="s">
        <v>2676</v>
      </c>
      <c r="J889">
        <v>325</v>
      </c>
      <c r="L889" t="s">
        <v>1175</v>
      </c>
      <c r="M889" t="s">
        <v>19</v>
      </c>
      <c r="N889" t="s">
        <v>537</v>
      </c>
      <c r="O889" t="s">
        <v>3160</v>
      </c>
      <c r="P889" t="s">
        <v>2664</v>
      </c>
      <c r="Q889" t="s">
        <v>3178</v>
      </c>
      <c r="R889" t="s">
        <v>551</v>
      </c>
      <c r="V889" t="s">
        <v>226</v>
      </c>
      <c r="W889" t="s">
        <v>539</v>
      </c>
      <c r="X889" t="str">
        <f t="shared" si="13"/>
        <v>BL263841@TRAC Corp</v>
      </c>
      <c r="Y889" t="str">
        <f>_xlfn.IFNA(_xll.BDP(X889,"INTERVAL_SUM", "MARKET_DATA_OVERRIDE=px_volume", "CALC_INTERVAL=5D"), "")</f>
        <v>#N/A N/A</v>
      </c>
      <c r="Z889" cm="1">
        <f t="array" ref="Z889">_xll.BDP(B889, "CF_ACT_CASH_PAID_FOR_INT_DEBT")</f>
        <v>271.22399999999999</v>
      </c>
      <c r="AA889" t="str" cm="1">
        <f t="array" ref="AA889">_xll.BDP(B889, "TYPE_OF_BOND")</f>
        <v>#N/A Field Not Applicable</v>
      </c>
    </row>
    <row r="890" spans="1:27" x14ac:dyDescent="0.25">
      <c r="A890">
        <v>888</v>
      </c>
      <c r="B890" t="s">
        <v>3515</v>
      </c>
      <c r="C890" s="4" t="s">
        <v>3516</v>
      </c>
      <c r="D890" s="4">
        <v>1249775000</v>
      </c>
      <c r="E890" s="1" t="s">
        <v>11</v>
      </c>
      <c r="F890" s="1">
        <v>48151</v>
      </c>
      <c r="G890">
        <v>8.1795000000000009</v>
      </c>
      <c r="H890" t="s">
        <v>13</v>
      </c>
      <c r="I890" t="s">
        <v>2631</v>
      </c>
      <c r="J890">
        <v>450</v>
      </c>
      <c r="L890" t="s">
        <v>1168</v>
      </c>
      <c r="M890" t="s">
        <v>10</v>
      </c>
      <c r="N890" t="s">
        <v>15</v>
      </c>
      <c r="O890" t="s">
        <v>3110</v>
      </c>
      <c r="P890" t="s">
        <v>2637</v>
      </c>
      <c r="Q890" t="s">
        <v>3121</v>
      </c>
      <c r="R890" t="s">
        <v>3517</v>
      </c>
      <c r="S890">
        <v>1500000</v>
      </c>
      <c r="T890">
        <v>5</v>
      </c>
      <c r="V890" t="s">
        <v>227</v>
      </c>
      <c r="W890" t="s">
        <v>3518</v>
      </c>
      <c r="X890" t="str">
        <f t="shared" si="13"/>
        <v>BL513380@TRAC Corp</v>
      </c>
      <c r="Y890" t="str">
        <f>_xlfn.IFNA(_xll.BDP(X890,"INTERVAL_SUM", "MARKET_DATA_OVERRIDE=px_volume", "CALC_INTERVAL=5D"), "")</f>
        <v>#N/A N/A</v>
      </c>
      <c r="Z890" t="str" cm="1">
        <f t="array" ref="Z890">_xll.BDP(B890, "CF_ACT_CASH_PAID_FOR_INT_DEBT")</f>
        <v>#N/A N/A</v>
      </c>
      <c r="AA890" t="str" cm="1">
        <f t="array" ref="AA890">_xll.BDP(B890, "TYPE_OF_BOND")</f>
        <v>#N/A Field Not Applicable</v>
      </c>
    </row>
    <row r="891" spans="1:27" x14ac:dyDescent="0.25">
      <c r="A891">
        <v>889</v>
      </c>
      <c r="B891" t="s">
        <v>3743</v>
      </c>
      <c r="C891" s="4" t="s">
        <v>3744</v>
      </c>
      <c r="D891" s="4">
        <v>41782000</v>
      </c>
      <c r="E891" s="1" t="s">
        <v>17</v>
      </c>
      <c r="F891" s="1">
        <v>46844</v>
      </c>
      <c r="G891">
        <v>6.875</v>
      </c>
      <c r="H891" t="s">
        <v>9</v>
      </c>
      <c r="L891" t="s">
        <v>1168</v>
      </c>
      <c r="M891" t="s">
        <v>10</v>
      </c>
      <c r="N891" t="s">
        <v>14</v>
      </c>
      <c r="O891" t="s">
        <v>3120</v>
      </c>
      <c r="P891" t="s">
        <v>2641</v>
      </c>
      <c r="Q891" t="s">
        <v>3235</v>
      </c>
      <c r="R891" t="s">
        <v>3745</v>
      </c>
      <c r="S891">
        <v>4610534.3390559703</v>
      </c>
      <c r="T891">
        <v>30</v>
      </c>
      <c r="U891" t="s">
        <v>1169</v>
      </c>
      <c r="W891" t="s">
        <v>3746</v>
      </c>
      <c r="X891" t="str">
        <f t="shared" si="13"/>
        <v>ZQ635622@TRAC Corp</v>
      </c>
      <c r="Y891" t="str">
        <f>_xlfn.IFNA(_xll.BDP(X891,"INTERVAL_SUM", "MARKET_DATA_OVERRIDE=px_volume", "CALC_INTERVAL=5D"), "")</f>
        <v>#N/A N/A</v>
      </c>
      <c r="Z891" cm="1">
        <f t="array" ref="Z891">_xll.BDP(B891, "CF_ACT_CASH_PAID_FOR_INT_DEBT")</f>
        <v>804</v>
      </c>
      <c r="AA891" t="str" cm="1">
        <f t="array" ref="AA891">_xll.BDP(B891, "TYPE_OF_BOND")</f>
        <v>#N/A Field Not Applicable</v>
      </c>
    </row>
    <row r="892" spans="1:27" x14ac:dyDescent="0.25">
      <c r="A892">
        <v>890</v>
      </c>
      <c r="B892" t="s">
        <v>3747</v>
      </c>
      <c r="C892" s="4" t="s">
        <v>3744</v>
      </c>
      <c r="D892" s="4">
        <v>1549054000</v>
      </c>
      <c r="E892" s="1" t="s">
        <v>11</v>
      </c>
      <c r="F892" s="1">
        <v>48228</v>
      </c>
      <c r="G892">
        <v>10.875</v>
      </c>
      <c r="H892" t="s">
        <v>9</v>
      </c>
      <c r="L892" t="s">
        <v>1168</v>
      </c>
      <c r="M892" t="s">
        <v>10</v>
      </c>
      <c r="N892" t="s">
        <v>14</v>
      </c>
      <c r="O892" t="s">
        <v>3120</v>
      </c>
      <c r="P892" t="s">
        <v>2641</v>
      </c>
      <c r="Q892" t="s">
        <v>3235</v>
      </c>
      <c r="R892" t="s">
        <v>3748</v>
      </c>
      <c r="S892">
        <v>6413068.3988899402</v>
      </c>
      <c r="T892">
        <v>44</v>
      </c>
      <c r="U892" t="s">
        <v>1169</v>
      </c>
      <c r="W892" t="s">
        <v>3746</v>
      </c>
      <c r="X892" t="str">
        <f t="shared" si="13"/>
        <v>ZG691142@TRAC Corp</v>
      </c>
      <c r="Y892">
        <f>_xlfn.IFNA(_xll.BDP(X892,"INTERVAL_SUM", "MARKET_DATA_OVERRIDE=px_volume", "CALC_INTERVAL=5D"), "")</f>
        <v>10005</v>
      </c>
      <c r="Z892" cm="1">
        <f t="array" ref="Z892">_xll.BDP(B892, "CF_ACT_CASH_PAID_FOR_INT_DEBT")</f>
        <v>804</v>
      </c>
      <c r="AA892" t="str" cm="1">
        <f t="array" ref="AA892">_xll.BDP(B892, "TYPE_OF_BOND")</f>
        <v>#N/A Field Not Applicable</v>
      </c>
    </row>
    <row r="893" spans="1:27" x14ac:dyDescent="0.25">
      <c r="A893">
        <v>891</v>
      </c>
      <c r="B893" t="s">
        <v>3749</v>
      </c>
      <c r="C893" s="4" t="s">
        <v>3744</v>
      </c>
      <c r="D893" s="4">
        <v>700000000</v>
      </c>
      <c r="E893" s="1" t="s">
        <v>11</v>
      </c>
      <c r="F893" s="1">
        <v>48745</v>
      </c>
      <c r="G893">
        <v>10.75</v>
      </c>
      <c r="H893" t="s">
        <v>9</v>
      </c>
      <c r="L893" t="s">
        <v>1168</v>
      </c>
      <c r="M893" t="s">
        <v>10</v>
      </c>
      <c r="N893" t="s">
        <v>14</v>
      </c>
      <c r="O893" t="s">
        <v>3120</v>
      </c>
      <c r="P893" t="s">
        <v>2641</v>
      </c>
      <c r="Q893" t="s">
        <v>3235</v>
      </c>
      <c r="R893" t="s">
        <v>3750</v>
      </c>
      <c r="S893">
        <v>10625697.5809734</v>
      </c>
      <c r="T893">
        <v>34</v>
      </c>
      <c r="U893" t="s">
        <v>1169</v>
      </c>
      <c r="W893" t="s">
        <v>3746</v>
      </c>
      <c r="X893" t="str">
        <f t="shared" si="13"/>
        <v>YO013297@TRAC Corp</v>
      </c>
      <c r="Y893" t="str">
        <f>_xlfn.IFNA(_xll.BDP(X893,"INTERVAL_SUM", "MARKET_DATA_OVERRIDE=px_volume", "CALC_INTERVAL=5D"), "")</f>
        <v>#N/A N/A</v>
      </c>
      <c r="Z893" cm="1">
        <f t="array" ref="Z893">_xll.BDP(B893, "CF_ACT_CASH_PAID_FOR_INT_DEBT")</f>
        <v>804</v>
      </c>
      <c r="AA893" t="str" cm="1">
        <f t="array" ref="AA893">_xll.BDP(B893, "TYPE_OF_BOND")</f>
        <v>#N/A Field Not Applicable</v>
      </c>
    </row>
    <row r="894" spans="1:27" x14ac:dyDescent="0.25">
      <c r="A894">
        <v>892</v>
      </c>
      <c r="B894" t="s">
        <v>3751</v>
      </c>
      <c r="C894" s="4" t="s">
        <v>3744</v>
      </c>
      <c r="D894" s="4">
        <v>1790000000</v>
      </c>
      <c r="E894" s="1" t="s">
        <v>12</v>
      </c>
      <c r="F894" s="1">
        <v>48959</v>
      </c>
      <c r="G894">
        <v>9.75</v>
      </c>
      <c r="H894" t="s">
        <v>9</v>
      </c>
      <c r="L894" t="s">
        <v>1168</v>
      </c>
      <c r="M894" t="s">
        <v>10</v>
      </c>
      <c r="N894" t="s">
        <v>14</v>
      </c>
      <c r="O894" t="s">
        <v>3120</v>
      </c>
      <c r="P894" t="s">
        <v>2641</v>
      </c>
      <c r="Q894" t="s">
        <v>3235</v>
      </c>
      <c r="R894" t="s">
        <v>3752</v>
      </c>
      <c r="S894">
        <v>20831691.3914553</v>
      </c>
      <c r="T894">
        <v>63</v>
      </c>
      <c r="U894" t="s">
        <v>1169</v>
      </c>
      <c r="W894" t="s">
        <v>3746</v>
      </c>
      <c r="X894" t="str">
        <f t="shared" si="13"/>
        <v>YM779009@TRAC Corp</v>
      </c>
      <c r="Y894">
        <f>_xlfn.IFNA(_xll.BDP(X894,"INTERVAL_SUM", "MARKET_DATA_OVERRIDE=px_volume", "CALC_INTERVAL=5D"), "")</f>
        <v>36091</v>
      </c>
      <c r="Z894" cm="1">
        <f t="array" ref="Z894">_xll.BDP(B894, "CF_ACT_CASH_PAID_FOR_INT_DEBT")</f>
        <v>804</v>
      </c>
      <c r="AA894" t="str" cm="1">
        <f t="array" ref="AA894">_xll.BDP(B894, "TYPE_OF_BOND")</f>
        <v>#N/A Field Not Applicable</v>
      </c>
    </row>
    <row r="895" spans="1:27" x14ac:dyDescent="0.25">
      <c r="A895">
        <v>893</v>
      </c>
      <c r="B895" t="s">
        <v>3753</v>
      </c>
      <c r="C895" s="4" t="s">
        <v>3744</v>
      </c>
      <c r="D895" s="4">
        <v>1535000000</v>
      </c>
      <c r="E895" s="1" t="s">
        <v>11</v>
      </c>
      <c r="F895" s="1">
        <v>47618</v>
      </c>
      <c r="G895">
        <v>5.25</v>
      </c>
      <c r="H895" t="s">
        <v>9</v>
      </c>
      <c r="L895" t="s">
        <v>1168</v>
      </c>
      <c r="M895" t="s">
        <v>10</v>
      </c>
      <c r="N895" t="s">
        <v>14</v>
      </c>
      <c r="O895" t="s">
        <v>3120</v>
      </c>
      <c r="P895" t="s">
        <v>2641</v>
      </c>
      <c r="Q895" t="s">
        <v>3235</v>
      </c>
      <c r="R895" t="s">
        <v>3754</v>
      </c>
      <c r="S895">
        <v>11086823.6099547</v>
      </c>
      <c r="T895">
        <v>44</v>
      </c>
      <c r="U895" t="s">
        <v>1169</v>
      </c>
      <c r="W895" t="s">
        <v>3746</v>
      </c>
      <c r="X895" t="str">
        <f t="shared" si="13"/>
        <v>BT662863@TRAC Corp</v>
      </c>
      <c r="Y895">
        <f>_xlfn.IFNA(_xll.BDP(X895,"INTERVAL_SUM", "MARKET_DATA_OVERRIDE=px_volume", "CALC_INTERVAL=5D"), "")</f>
        <v>26324</v>
      </c>
      <c r="Z895" cm="1">
        <f t="array" ref="Z895">_xll.BDP(B895, "CF_ACT_CASH_PAID_FOR_INT_DEBT")</f>
        <v>804</v>
      </c>
      <c r="AA895" t="str" cm="1">
        <f t="array" ref="AA895">_xll.BDP(B895, "TYPE_OF_BOND")</f>
        <v>#N/A Field Not Applicable</v>
      </c>
    </row>
    <row r="896" spans="1:27" x14ac:dyDescent="0.25">
      <c r="A896">
        <v>894</v>
      </c>
      <c r="B896" t="s">
        <v>3755</v>
      </c>
      <c r="C896" s="4" t="s">
        <v>3744</v>
      </c>
      <c r="D896" s="4">
        <v>1227399000</v>
      </c>
      <c r="E896" t="s">
        <v>33</v>
      </c>
      <c r="F896" s="1">
        <v>47574</v>
      </c>
      <c r="G896">
        <v>6.125</v>
      </c>
      <c r="H896" t="s">
        <v>9</v>
      </c>
      <c r="L896" t="s">
        <v>1168</v>
      </c>
      <c r="M896" t="s">
        <v>10</v>
      </c>
      <c r="N896" t="s">
        <v>14</v>
      </c>
      <c r="O896" t="s">
        <v>3120</v>
      </c>
      <c r="P896" t="s">
        <v>2641</v>
      </c>
      <c r="Q896" t="s">
        <v>3235</v>
      </c>
      <c r="R896" t="s">
        <v>3756</v>
      </c>
      <c r="S896">
        <v>12515043.4479862</v>
      </c>
      <c r="T896">
        <v>31</v>
      </c>
      <c r="U896" t="s">
        <v>1169</v>
      </c>
      <c r="W896" t="s">
        <v>3746</v>
      </c>
      <c r="X896" t="str">
        <f t="shared" si="13"/>
        <v>BP390489@TRAC Corp</v>
      </c>
      <c r="Y896">
        <f>_xlfn.IFNA(_xll.BDP(X896,"INTERVAL_SUM", "MARKET_DATA_OVERRIDE=px_volume", "CALC_INTERVAL=5D"), "")</f>
        <v>15266</v>
      </c>
      <c r="Z896" cm="1">
        <f t="array" ref="Z896">_xll.BDP(B896, "CF_ACT_CASH_PAID_FOR_INT_DEBT")</f>
        <v>804</v>
      </c>
      <c r="AA896" t="str" cm="1">
        <f t="array" ref="AA896">_xll.BDP(B896, "TYPE_OF_BOND")</f>
        <v>#N/A Field Not Applicable</v>
      </c>
    </row>
    <row r="897" spans="1:27" x14ac:dyDescent="0.25">
      <c r="A897">
        <v>895</v>
      </c>
      <c r="B897" t="s">
        <v>3757</v>
      </c>
      <c r="C897" s="4" t="s">
        <v>3744</v>
      </c>
      <c r="D897" s="4">
        <v>689289000</v>
      </c>
      <c r="E897" t="s">
        <v>11</v>
      </c>
      <c r="F897" s="1">
        <v>47894</v>
      </c>
      <c r="G897">
        <v>4.75</v>
      </c>
      <c r="H897" t="s">
        <v>9</v>
      </c>
      <c r="L897" t="s">
        <v>1168</v>
      </c>
      <c r="M897" t="s">
        <v>10</v>
      </c>
      <c r="N897" t="s">
        <v>14</v>
      </c>
      <c r="O897" t="s">
        <v>3120</v>
      </c>
      <c r="P897" t="s">
        <v>2641</v>
      </c>
      <c r="Q897" t="s">
        <v>3235</v>
      </c>
      <c r="R897" t="s">
        <v>3758</v>
      </c>
      <c r="S897">
        <v>7139830.4962530304</v>
      </c>
      <c r="T897">
        <v>31</v>
      </c>
      <c r="U897" t="s">
        <v>1169</v>
      </c>
      <c r="W897" t="s">
        <v>3746</v>
      </c>
      <c r="X897" t="str">
        <f t="shared" si="13"/>
        <v>BN747395@TRAC Corp</v>
      </c>
      <c r="Y897">
        <f>_xlfn.IFNA(_xll.BDP(X897,"INTERVAL_SUM", "MARKET_DATA_OVERRIDE=px_volume", "CALC_INTERVAL=5D"), "")</f>
        <v>13347</v>
      </c>
      <c r="Z897" cm="1">
        <f t="array" ref="Z897">_xll.BDP(B897, "CF_ACT_CASH_PAID_FOR_INT_DEBT")</f>
        <v>804</v>
      </c>
      <c r="AA897" t="str" cm="1">
        <f t="array" ref="AA897">_xll.BDP(B897, "TYPE_OF_BOND")</f>
        <v>#N/A Field Not Applicable</v>
      </c>
    </row>
    <row r="898" spans="1:27" x14ac:dyDescent="0.25">
      <c r="A898">
        <v>896</v>
      </c>
      <c r="B898" t="s">
        <v>3759</v>
      </c>
      <c r="C898" s="4" t="s">
        <v>3744</v>
      </c>
      <c r="D898" s="4">
        <v>1244476000</v>
      </c>
      <c r="E898" t="s">
        <v>33</v>
      </c>
      <c r="F898" s="1">
        <v>47223</v>
      </c>
      <c r="G898">
        <v>6.875</v>
      </c>
      <c r="H898" t="s">
        <v>9</v>
      </c>
      <c r="L898" t="s">
        <v>1168</v>
      </c>
      <c r="M898" t="s">
        <v>10</v>
      </c>
      <c r="N898" t="s">
        <v>14</v>
      </c>
      <c r="O898" t="s">
        <v>3120</v>
      </c>
      <c r="P898" t="s">
        <v>2641</v>
      </c>
      <c r="Q898" t="s">
        <v>3235</v>
      </c>
      <c r="R898" t="s">
        <v>3760</v>
      </c>
      <c r="S898">
        <v>15688103.660405001</v>
      </c>
      <c r="T898">
        <v>41</v>
      </c>
      <c r="U898" t="s">
        <v>1169</v>
      </c>
      <c r="W898" t="s">
        <v>3746</v>
      </c>
      <c r="X898" t="str">
        <f t="shared" si="13"/>
        <v>BN619857@TRAC Corp</v>
      </c>
      <c r="Y898">
        <f>_xlfn.IFNA(_xll.BDP(X898,"INTERVAL_SUM", "MARKET_DATA_OVERRIDE=px_volume", "CALC_INTERVAL=5D"), "")</f>
        <v>9587</v>
      </c>
      <c r="Z898" cm="1">
        <f t="array" ref="Z898">_xll.BDP(B898, "CF_ACT_CASH_PAID_FOR_INT_DEBT")</f>
        <v>804</v>
      </c>
      <c r="AA898" t="str" cm="1">
        <f t="array" ref="AA898">_xll.BDP(B898, "TYPE_OF_BOND")</f>
        <v>#N/A Field Not Applicable</v>
      </c>
    </row>
    <row r="899" spans="1:27" x14ac:dyDescent="0.25">
      <c r="A899">
        <v>897</v>
      </c>
      <c r="B899" t="s">
        <v>3761</v>
      </c>
      <c r="C899" s="4" t="s">
        <v>3744</v>
      </c>
      <c r="D899" s="4">
        <v>643900000</v>
      </c>
      <c r="E899" t="s">
        <v>11</v>
      </c>
      <c r="F899" s="1">
        <v>47133</v>
      </c>
      <c r="G899">
        <v>6</v>
      </c>
      <c r="H899" t="s">
        <v>9</v>
      </c>
      <c r="L899" t="s">
        <v>1168</v>
      </c>
      <c r="M899" t="s">
        <v>10</v>
      </c>
      <c r="N899" t="s">
        <v>14</v>
      </c>
      <c r="O899" t="s">
        <v>3120</v>
      </c>
      <c r="P899" t="s">
        <v>2641</v>
      </c>
      <c r="Q899" t="s">
        <v>3235</v>
      </c>
      <c r="R899" t="s">
        <v>3762</v>
      </c>
      <c r="S899">
        <v>9058772.4609866403</v>
      </c>
      <c r="T899">
        <v>43</v>
      </c>
      <c r="U899" t="s">
        <v>1169</v>
      </c>
      <c r="W899" t="s">
        <v>3746</v>
      </c>
      <c r="X899" t="str">
        <f t="shared" ref="X899:X962" si="14">SUBSTITUTE(B899," Corp","@TRAC Corp")</f>
        <v>BN054032@TRAC Corp</v>
      </c>
      <c r="Y899">
        <f>_xlfn.IFNA(_xll.BDP(X899,"INTERVAL_SUM", "MARKET_DATA_OVERRIDE=px_volume", "CALC_INTERVAL=5D"), "")</f>
        <v>7403</v>
      </c>
      <c r="Z899" cm="1">
        <f t="array" ref="Z899">_xll.BDP(B899, "CF_ACT_CASH_PAID_FOR_INT_DEBT")</f>
        <v>804</v>
      </c>
      <c r="AA899" t="str" cm="1">
        <f t="array" ref="AA899">_xll.BDP(B899, "TYPE_OF_BOND")</f>
        <v>#N/A Field Not Applicable</v>
      </c>
    </row>
    <row r="900" spans="1:27" x14ac:dyDescent="0.25">
      <c r="A900">
        <v>898</v>
      </c>
      <c r="B900" t="s">
        <v>3763</v>
      </c>
      <c r="C900" s="4" t="s">
        <v>3744</v>
      </c>
      <c r="D900" s="4">
        <v>219378</v>
      </c>
      <c r="E900" t="s">
        <v>11</v>
      </c>
      <c r="F900" s="1">
        <v>47207</v>
      </c>
      <c r="G900">
        <v>9.9822000000000006</v>
      </c>
      <c r="H900" t="s">
        <v>13</v>
      </c>
      <c r="I900" t="s">
        <v>2635</v>
      </c>
      <c r="J900">
        <v>625</v>
      </c>
      <c r="L900" t="s">
        <v>1168</v>
      </c>
      <c r="M900" t="s">
        <v>10</v>
      </c>
      <c r="N900" t="s">
        <v>14</v>
      </c>
      <c r="O900" t="s">
        <v>3120</v>
      </c>
      <c r="R900" t="s">
        <v>3764</v>
      </c>
      <c r="V900" t="s">
        <v>327</v>
      </c>
      <c r="W900" t="s">
        <v>3746</v>
      </c>
      <c r="X900" t="str">
        <f t="shared" si="14"/>
        <v>BL573287@TRAC Corp</v>
      </c>
      <c r="Y900" t="str">
        <f>_xlfn.IFNA(_xll.BDP(X900,"INTERVAL_SUM", "MARKET_DATA_OVERRIDE=px_volume", "CALC_INTERVAL=5D"), "")</f>
        <v>#N/A N/A</v>
      </c>
      <c r="Z900" cm="1">
        <f t="array" ref="Z900">_xll.BDP(B900, "CF_ACT_CASH_PAID_FOR_INT_DEBT")</f>
        <v>804</v>
      </c>
      <c r="AA900" t="str" cm="1">
        <f t="array" ref="AA900">_xll.BDP(B900, "TYPE_OF_BOND")</f>
        <v>#N/A Field Not Applicable</v>
      </c>
    </row>
    <row r="901" spans="1:27" x14ac:dyDescent="0.25">
      <c r="A901">
        <v>899</v>
      </c>
      <c r="B901" t="s">
        <v>3765</v>
      </c>
      <c r="C901" s="4" t="s">
        <v>3744</v>
      </c>
      <c r="D901" s="4">
        <v>5267378</v>
      </c>
      <c r="E901" t="s">
        <v>11</v>
      </c>
      <c r="F901" s="1">
        <v>47207</v>
      </c>
      <c r="G901">
        <v>8.8939000000000004</v>
      </c>
      <c r="H901" t="s">
        <v>13</v>
      </c>
      <c r="I901" t="s">
        <v>2631</v>
      </c>
      <c r="J901">
        <v>525</v>
      </c>
      <c r="L901" t="s">
        <v>1168</v>
      </c>
      <c r="M901" t="s">
        <v>10</v>
      </c>
      <c r="N901" t="s">
        <v>14</v>
      </c>
      <c r="O901" t="s">
        <v>3120</v>
      </c>
      <c r="P901" t="s">
        <v>2641</v>
      </c>
      <c r="Q901" t="s">
        <v>3122</v>
      </c>
      <c r="R901" t="s">
        <v>3764</v>
      </c>
      <c r="V901" t="s">
        <v>327</v>
      </c>
      <c r="W901" t="s">
        <v>3746</v>
      </c>
      <c r="X901" t="str">
        <f t="shared" si="14"/>
        <v>BL502130@TRAC Corp</v>
      </c>
      <c r="Y901" t="str">
        <f>_xlfn.IFNA(_xll.BDP(X901,"INTERVAL_SUM", "MARKET_DATA_OVERRIDE=px_volume", "CALC_INTERVAL=5D"), "")</f>
        <v>#N/A N/A</v>
      </c>
      <c r="Z901" cm="1">
        <f t="array" ref="Z901">_xll.BDP(B901, "CF_ACT_CASH_PAID_FOR_INT_DEBT")</f>
        <v>804</v>
      </c>
      <c r="AA901" t="str" cm="1">
        <f t="array" ref="AA901">_xll.BDP(B901, "TYPE_OF_BOND")</f>
        <v>#N/A Field Not Applicable</v>
      </c>
    </row>
    <row r="902" spans="1:27" x14ac:dyDescent="0.25">
      <c r="A902">
        <v>900</v>
      </c>
      <c r="B902" t="s">
        <v>3766</v>
      </c>
      <c r="C902" s="4" t="s">
        <v>3744</v>
      </c>
      <c r="D902" s="4">
        <v>39129150.189999998</v>
      </c>
      <c r="E902" t="s">
        <v>11</v>
      </c>
      <c r="F902" s="1">
        <v>47207</v>
      </c>
      <c r="G902">
        <v>8.8939000000000004</v>
      </c>
      <c r="H902" t="s">
        <v>13</v>
      </c>
      <c r="I902" t="s">
        <v>2631</v>
      </c>
      <c r="J902">
        <v>525</v>
      </c>
      <c r="L902" t="s">
        <v>1168</v>
      </c>
      <c r="M902" t="s">
        <v>10</v>
      </c>
      <c r="N902" t="s">
        <v>14</v>
      </c>
      <c r="O902" t="s">
        <v>3120</v>
      </c>
      <c r="P902" t="s">
        <v>2641</v>
      </c>
      <c r="Q902" t="s">
        <v>3122</v>
      </c>
      <c r="R902" t="s">
        <v>3767</v>
      </c>
      <c r="V902" t="s">
        <v>227</v>
      </c>
      <c r="W902" t="s">
        <v>3746</v>
      </c>
      <c r="X902" t="str">
        <f t="shared" si="14"/>
        <v>BL482438@TRAC Corp</v>
      </c>
      <c r="Y902" t="str">
        <f>_xlfn.IFNA(_xll.BDP(X902,"INTERVAL_SUM", "MARKET_DATA_OVERRIDE=px_volume", "CALC_INTERVAL=5D"), "")</f>
        <v>#N/A N/A</v>
      </c>
      <c r="Z902" cm="1">
        <f t="array" ref="Z902">_xll.BDP(B902, "CF_ACT_CASH_PAID_FOR_INT_DEBT")</f>
        <v>804</v>
      </c>
      <c r="AA902" t="str" cm="1">
        <f t="array" ref="AA902">_xll.BDP(B902, "TYPE_OF_BOND")</f>
        <v>#N/A Field Not Applicable</v>
      </c>
    </row>
    <row r="903" spans="1:27" x14ac:dyDescent="0.25">
      <c r="A903">
        <v>901</v>
      </c>
      <c r="B903" t="s">
        <v>3768</v>
      </c>
      <c r="C903" s="4" t="s">
        <v>3744</v>
      </c>
      <c r="D903" s="4">
        <v>174254183.46000001</v>
      </c>
      <c r="E903" t="s">
        <v>11</v>
      </c>
      <c r="F903" s="1">
        <v>46289</v>
      </c>
      <c r="G903">
        <v>9.9602000000000004</v>
      </c>
      <c r="H903" t="s">
        <v>13</v>
      </c>
      <c r="I903" t="s">
        <v>2652</v>
      </c>
      <c r="J903">
        <v>500</v>
      </c>
      <c r="L903" t="s">
        <v>1168</v>
      </c>
      <c r="M903" t="s">
        <v>10</v>
      </c>
      <c r="N903" t="s">
        <v>14</v>
      </c>
      <c r="O903" t="s">
        <v>3120</v>
      </c>
      <c r="P903" t="s">
        <v>2641</v>
      </c>
      <c r="Q903" t="s">
        <v>3122</v>
      </c>
      <c r="R903" t="s">
        <v>3767</v>
      </c>
      <c r="V903" t="s">
        <v>227</v>
      </c>
      <c r="W903" t="s">
        <v>3746</v>
      </c>
      <c r="X903" t="str">
        <f t="shared" si="14"/>
        <v>BL384064@TRAC Corp</v>
      </c>
      <c r="Y903" t="str">
        <f>_xlfn.IFNA(_xll.BDP(X903,"INTERVAL_SUM", "MARKET_DATA_OVERRIDE=px_volume", "CALC_INTERVAL=5D"), "")</f>
        <v>#N/A N/A</v>
      </c>
      <c r="Z903" cm="1">
        <f t="array" ref="Z903">_xll.BDP(B903, "CF_ACT_CASH_PAID_FOR_INT_DEBT")</f>
        <v>804</v>
      </c>
      <c r="AA903" t="str" cm="1">
        <f t="array" ref="AA903">_xll.BDP(B903, "TYPE_OF_BOND")</f>
        <v>#N/A Field Not Applicable</v>
      </c>
    </row>
    <row r="904" spans="1:27" x14ac:dyDescent="0.25">
      <c r="A904">
        <v>902</v>
      </c>
      <c r="B904" t="s">
        <v>1860</v>
      </c>
      <c r="C904" s="4" t="s">
        <v>1861</v>
      </c>
      <c r="D904" s="4">
        <v>800000000</v>
      </c>
      <c r="E904" t="s">
        <v>12</v>
      </c>
      <c r="F904" s="1">
        <v>47529</v>
      </c>
      <c r="G904">
        <v>6.5330000000000004</v>
      </c>
      <c r="H904" t="s">
        <v>13</v>
      </c>
      <c r="I904" t="s">
        <v>2636</v>
      </c>
      <c r="L904" t="s">
        <v>1171</v>
      </c>
      <c r="M904" t="s">
        <v>35</v>
      </c>
      <c r="N904" t="s">
        <v>16</v>
      </c>
      <c r="O904" t="s">
        <v>3187</v>
      </c>
      <c r="P904" t="s">
        <v>2658</v>
      </c>
      <c r="Q904" t="s">
        <v>3188</v>
      </c>
      <c r="R904" t="s">
        <v>1862</v>
      </c>
      <c r="S904">
        <v>22729633.599004999</v>
      </c>
      <c r="T904">
        <v>46</v>
      </c>
      <c r="U904" t="s">
        <v>1172</v>
      </c>
      <c r="W904" t="s">
        <v>1863</v>
      </c>
      <c r="X904" t="str">
        <f t="shared" si="14"/>
        <v>YR243961@TRAC Corp</v>
      </c>
      <c r="Y904" t="str">
        <f>_xlfn.IFNA(_xll.BDP(X904,"INTERVAL_SUM", "MARKET_DATA_OVERRIDE=px_volume", "CALC_INTERVAL=5D"), "")</f>
        <v>#N/A N/A</v>
      </c>
      <c r="Z904" cm="1">
        <f t="array" ref="Z904">_xll.BDP(B904, "CF_ACT_CASH_PAID_FOR_INT_DEBT")</f>
        <v>353.5</v>
      </c>
      <c r="AA904" t="str" cm="1">
        <f t="array" ref="AA904">_xll.BDP(B904, "TYPE_OF_BOND")</f>
        <v>#N/A Field Not Applicable</v>
      </c>
    </row>
    <row r="905" spans="1:27" x14ac:dyDescent="0.25">
      <c r="A905">
        <v>903</v>
      </c>
      <c r="B905" t="s">
        <v>1864</v>
      </c>
      <c r="C905" s="4" t="s">
        <v>1861</v>
      </c>
      <c r="D905" s="4">
        <v>500000000</v>
      </c>
      <c r="E905" s="1" t="s">
        <v>12</v>
      </c>
      <c r="F905" s="1">
        <v>47529</v>
      </c>
      <c r="G905">
        <v>5.875</v>
      </c>
      <c r="H905" t="s">
        <v>9</v>
      </c>
      <c r="L905" t="s">
        <v>1171</v>
      </c>
      <c r="M905" t="s">
        <v>35</v>
      </c>
      <c r="N905" t="s">
        <v>16</v>
      </c>
      <c r="O905" t="s">
        <v>3187</v>
      </c>
      <c r="P905" t="s">
        <v>2658</v>
      </c>
      <c r="Q905" t="s">
        <v>3188</v>
      </c>
      <c r="R905" t="s">
        <v>1865</v>
      </c>
      <c r="S905">
        <v>12365155.1912558</v>
      </c>
      <c r="T905">
        <v>40</v>
      </c>
      <c r="U905" t="s">
        <v>1192</v>
      </c>
      <c r="W905" t="s">
        <v>1863</v>
      </c>
      <c r="X905" t="str">
        <f t="shared" si="14"/>
        <v>YR243960@TRAC Corp</v>
      </c>
      <c r="Y905" t="str">
        <f>_xlfn.IFNA(_xll.BDP(X905,"INTERVAL_SUM", "MARKET_DATA_OVERRIDE=px_volume", "CALC_INTERVAL=5D"), "")</f>
        <v>#N/A N/A</v>
      </c>
      <c r="Z905" cm="1">
        <f t="array" ref="Z905">_xll.BDP(B905, "CF_ACT_CASH_PAID_FOR_INT_DEBT")</f>
        <v>353.5</v>
      </c>
      <c r="AA905" t="str" cm="1">
        <f t="array" ref="AA905">_xll.BDP(B905, "TYPE_OF_BOND")</f>
        <v>#N/A Field Not Applicable</v>
      </c>
    </row>
    <row r="906" spans="1:27" x14ac:dyDescent="0.25">
      <c r="A906">
        <v>904</v>
      </c>
      <c r="B906" t="s">
        <v>1866</v>
      </c>
      <c r="C906" s="4" t="s">
        <v>1861</v>
      </c>
      <c r="D906" s="4">
        <v>186258896</v>
      </c>
      <c r="E906" s="1" t="s">
        <v>11</v>
      </c>
      <c r="F906" s="1">
        <v>47150</v>
      </c>
      <c r="G906">
        <v>6.649</v>
      </c>
      <c r="H906" t="s">
        <v>13</v>
      </c>
      <c r="I906" t="s">
        <v>2689</v>
      </c>
      <c r="J906">
        <v>450</v>
      </c>
      <c r="L906" t="s">
        <v>1171</v>
      </c>
      <c r="M906" t="s">
        <v>10</v>
      </c>
      <c r="N906" t="s">
        <v>16</v>
      </c>
      <c r="O906" t="s">
        <v>3187</v>
      </c>
      <c r="P906" t="s">
        <v>2658</v>
      </c>
      <c r="Q906" t="s">
        <v>3188</v>
      </c>
      <c r="R906" t="s">
        <v>1867</v>
      </c>
      <c r="S906">
        <v>2000000</v>
      </c>
      <c r="T906">
        <v>10</v>
      </c>
      <c r="V906" t="s">
        <v>227</v>
      </c>
      <c r="W906" t="s">
        <v>1863</v>
      </c>
      <c r="X906" t="str">
        <f t="shared" si="14"/>
        <v>BL466816@TRAC Corp</v>
      </c>
      <c r="Y906" t="str">
        <f>_xlfn.IFNA(_xll.BDP(X906,"INTERVAL_SUM", "MARKET_DATA_OVERRIDE=px_volume", "CALC_INTERVAL=5D"), "")</f>
        <v>#N/A N/A</v>
      </c>
      <c r="Z906" cm="1">
        <f t="array" ref="Z906">_xll.BDP(B906, "CF_ACT_CASH_PAID_FOR_INT_DEBT")</f>
        <v>353.5</v>
      </c>
      <c r="AA906" t="str" cm="1">
        <f t="array" ref="AA906">_xll.BDP(B906, "TYPE_OF_BOND")</f>
        <v>#N/A Field Not Applicable</v>
      </c>
    </row>
    <row r="907" spans="1:27" x14ac:dyDescent="0.25">
      <c r="A907">
        <v>905</v>
      </c>
      <c r="B907" t="s">
        <v>1868</v>
      </c>
      <c r="C907" s="4" t="s">
        <v>1861</v>
      </c>
      <c r="D907" s="4">
        <v>1223750000</v>
      </c>
      <c r="E907" s="1" t="s">
        <v>11</v>
      </c>
      <c r="F907" s="1">
        <v>47170</v>
      </c>
      <c r="G907">
        <v>8.9026999999999994</v>
      </c>
      <c r="H907" t="s">
        <v>13</v>
      </c>
      <c r="I907" t="s">
        <v>2635</v>
      </c>
      <c r="J907">
        <v>500</v>
      </c>
      <c r="L907" t="s">
        <v>1168</v>
      </c>
      <c r="M907" t="s">
        <v>35</v>
      </c>
      <c r="N907" t="s">
        <v>16</v>
      </c>
      <c r="O907" t="s">
        <v>3187</v>
      </c>
      <c r="P907" t="s">
        <v>2658</v>
      </c>
      <c r="Q907" t="s">
        <v>3188</v>
      </c>
      <c r="R907" t="s">
        <v>1869</v>
      </c>
      <c r="S907">
        <v>2000000</v>
      </c>
      <c r="T907">
        <v>12</v>
      </c>
      <c r="V907" t="s">
        <v>227</v>
      </c>
      <c r="W907" t="s">
        <v>1863</v>
      </c>
      <c r="X907" t="str">
        <f t="shared" si="14"/>
        <v>BL458323@TRAC Corp</v>
      </c>
      <c r="Y907" t="str">
        <f>_xlfn.IFNA(_xll.BDP(X907,"INTERVAL_SUM", "MARKET_DATA_OVERRIDE=px_volume", "CALC_INTERVAL=5D"), "")</f>
        <v>#N/A N/A</v>
      </c>
      <c r="Z907" cm="1">
        <f t="array" ref="Z907">_xll.BDP(B907, "CF_ACT_CASH_PAID_FOR_INT_DEBT")</f>
        <v>353.5</v>
      </c>
      <c r="AA907" t="str" cm="1">
        <f t="array" ref="AA907">_xll.BDP(B907, "TYPE_OF_BOND")</f>
        <v>#N/A Field Not Applicable</v>
      </c>
    </row>
    <row r="908" spans="1:27" x14ac:dyDescent="0.25">
      <c r="A908">
        <v>906</v>
      </c>
      <c r="B908" t="s">
        <v>1870</v>
      </c>
      <c r="C908" s="4" t="s">
        <v>1861</v>
      </c>
      <c r="D908" s="4">
        <v>1048741104</v>
      </c>
      <c r="E908" s="1" t="s">
        <v>11</v>
      </c>
      <c r="F908" s="1">
        <v>47150</v>
      </c>
      <c r="G908">
        <v>6.6989999999999998</v>
      </c>
      <c r="H908" t="s">
        <v>13</v>
      </c>
      <c r="I908" t="s">
        <v>2636</v>
      </c>
      <c r="J908">
        <v>450</v>
      </c>
      <c r="L908" t="s">
        <v>1171</v>
      </c>
      <c r="M908" t="s">
        <v>35</v>
      </c>
      <c r="N908" t="s">
        <v>16</v>
      </c>
      <c r="O908" t="s">
        <v>3187</v>
      </c>
      <c r="P908" t="s">
        <v>2658</v>
      </c>
      <c r="Q908" t="s">
        <v>3188</v>
      </c>
      <c r="R908" t="s">
        <v>1867</v>
      </c>
      <c r="S908">
        <v>2000000</v>
      </c>
      <c r="T908">
        <v>14</v>
      </c>
      <c r="V908" t="s">
        <v>227</v>
      </c>
      <c r="W908" t="s">
        <v>1863</v>
      </c>
      <c r="X908" t="str">
        <f t="shared" si="14"/>
        <v>BL457310@TRAC Corp</v>
      </c>
      <c r="Y908" t="str">
        <f>_xlfn.IFNA(_xll.BDP(X908,"INTERVAL_SUM", "MARKET_DATA_OVERRIDE=px_volume", "CALC_INTERVAL=5D"), "")</f>
        <v>#N/A N/A</v>
      </c>
      <c r="Z908" cm="1">
        <f t="array" ref="Z908">_xll.BDP(B908, "CF_ACT_CASH_PAID_FOR_INT_DEBT")</f>
        <v>353.5</v>
      </c>
      <c r="AA908" t="str" cm="1">
        <f t="array" ref="AA908">_xll.BDP(B908, "TYPE_OF_BOND")</f>
        <v>#N/A Field Not Applicable</v>
      </c>
    </row>
    <row r="909" spans="1:27" x14ac:dyDescent="0.25">
      <c r="A909">
        <v>907</v>
      </c>
      <c r="B909" t="s">
        <v>1871</v>
      </c>
      <c r="C909" s="4" t="s">
        <v>1861</v>
      </c>
      <c r="D909" s="4">
        <v>194200000</v>
      </c>
      <c r="E909" s="1" t="s">
        <v>11</v>
      </c>
      <c r="F909" s="1">
        <v>46996</v>
      </c>
      <c r="G909">
        <v>8.4602000000000004</v>
      </c>
      <c r="H909" t="s">
        <v>13</v>
      </c>
      <c r="I909" t="s">
        <v>2652</v>
      </c>
      <c r="J909">
        <v>350</v>
      </c>
      <c r="L909" t="s">
        <v>1168</v>
      </c>
      <c r="M909" t="s">
        <v>35</v>
      </c>
      <c r="N909" t="s">
        <v>16</v>
      </c>
      <c r="O909" t="s">
        <v>3187</v>
      </c>
      <c r="P909" t="s">
        <v>2658</v>
      </c>
      <c r="Q909" t="s">
        <v>3188</v>
      </c>
      <c r="R909" t="s">
        <v>1872</v>
      </c>
      <c r="V909" t="s">
        <v>226</v>
      </c>
      <c r="W909" t="s">
        <v>1863</v>
      </c>
      <c r="X909" t="str">
        <f t="shared" si="14"/>
        <v>BL318517@TRAC Corp</v>
      </c>
      <c r="Y909" t="str">
        <f>_xlfn.IFNA(_xll.BDP(X909,"INTERVAL_SUM", "MARKET_DATA_OVERRIDE=px_volume", "CALC_INTERVAL=5D"), "")</f>
        <v>#N/A N/A</v>
      </c>
      <c r="Z909" cm="1">
        <f t="array" ref="Z909">_xll.BDP(B909, "CF_ACT_CASH_PAID_FOR_INT_DEBT")</f>
        <v>353.5</v>
      </c>
      <c r="AA909" t="str" cm="1">
        <f t="array" ref="AA909">_xll.BDP(B909, "TYPE_OF_BOND")</f>
        <v>#N/A Field Not Applicable</v>
      </c>
    </row>
    <row r="910" spans="1:27" x14ac:dyDescent="0.25">
      <c r="A910">
        <v>908</v>
      </c>
      <c r="B910" t="s">
        <v>1485</v>
      </c>
      <c r="C910" s="4" t="s">
        <v>1486</v>
      </c>
      <c r="D910" s="4">
        <v>2073332800</v>
      </c>
      <c r="E910" s="1" t="s">
        <v>17</v>
      </c>
      <c r="F910" s="1">
        <v>46985</v>
      </c>
      <c r="G910">
        <v>8</v>
      </c>
      <c r="H910" t="s">
        <v>9</v>
      </c>
      <c r="L910" t="s">
        <v>1487</v>
      </c>
      <c r="M910" t="s">
        <v>1488</v>
      </c>
      <c r="N910" t="s">
        <v>15</v>
      </c>
      <c r="O910" t="s">
        <v>3110</v>
      </c>
      <c r="P910" t="s">
        <v>2634</v>
      </c>
      <c r="Q910" t="s">
        <v>3114</v>
      </c>
      <c r="R910" t="s">
        <v>1489</v>
      </c>
      <c r="S910">
        <v>-9997</v>
      </c>
      <c r="W910" t="s">
        <v>1490</v>
      </c>
      <c r="X910" t="str">
        <f t="shared" si="14"/>
        <v>YI858542@TRAC Corp</v>
      </c>
      <c r="Y910" t="str">
        <f>_xlfn.IFNA(_xll.BDP(X910,"INTERVAL_SUM", "MARKET_DATA_OVERRIDE=px_volume", "CALC_INTERVAL=5D"), "")</f>
        <v>#N/A N/A</v>
      </c>
      <c r="Z910" t="str" cm="1">
        <f t="array" ref="Z910">_xll.BDP(B910, "CF_ACT_CASH_PAID_FOR_INT_DEBT")</f>
        <v>#N/A N/A</v>
      </c>
      <c r="AA910" t="str" cm="1">
        <f t="array" ref="AA910">_xll.BDP(B910, "TYPE_OF_BOND")</f>
        <v>#N/A Field Not Applicable</v>
      </c>
    </row>
    <row r="911" spans="1:27" x14ac:dyDescent="0.25">
      <c r="A911">
        <v>909</v>
      </c>
      <c r="B911" t="s">
        <v>1491</v>
      </c>
      <c r="C911" s="4" t="s">
        <v>1486</v>
      </c>
      <c r="D911" s="4">
        <v>2864648600</v>
      </c>
      <c r="E911" s="1" t="s">
        <v>17</v>
      </c>
      <c r="F911" s="1">
        <v>46790</v>
      </c>
      <c r="G911">
        <v>8</v>
      </c>
      <c r="H911" t="s">
        <v>9</v>
      </c>
      <c r="L911" t="s">
        <v>1487</v>
      </c>
      <c r="M911" t="s">
        <v>1488</v>
      </c>
      <c r="N911" t="s">
        <v>15</v>
      </c>
      <c r="O911" t="s">
        <v>3110</v>
      </c>
      <c r="P911" t="s">
        <v>2634</v>
      </c>
      <c r="Q911" t="s">
        <v>3114</v>
      </c>
      <c r="R911" t="s">
        <v>1492</v>
      </c>
      <c r="S911">
        <v>-9997</v>
      </c>
      <c r="U911">
        <v>0</v>
      </c>
      <c r="W911" t="s">
        <v>1490</v>
      </c>
      <c r="X911" t="str">
        <f t="shared" si="14"/>
        <v>YI850659@TRAC Corp</v>
      </c>
      <c r="Y911" t="str">
        <f>_xlfn.IFNA(_xll.BDP(X911,"INTERVAL_SUM", "MARKET_DATA_OVERRIDE=px_volume", "CALC_INTERVAL=5D"), "")</f>
        <v>#N/A N/A</v>
      </c>
      <c r="Z911" t="str" cm="1">
        <f t="array" ref="Z911">_xll.BDP(B911, "CF_ACT_CASH_PAID_FOR_INT_DEBT")</f>
        <v>#N/A N/A</v>
      </c>
      <c r="AA911" t="str" cm="1">
        <f t="array" ref="AA911">_xll.BDP(B911, "TYPE_OF_BOND")</f>
        <v>#N/A Field Not Applicable</v>
      </c>
    </row>
    <row r="912" spans="1:27" x14ac:dyDescent="0.25">
      <c r="A912">
        <v>910</v>
      </c>
      <c r="B912" t="s">
        <v>1493</v>
      </c>
      <c r="C912" s="4" t="s">
        <v>1486</v>
      </c>
      <c r="D912" s="4">
        <v>636040500</v>
      </c>
      <c r="E912" t="s">
        <v>17</v>
      </c>
      <c r="F912" s="1">
        <v>48545</v>
      </c>
      <c r="G912">
        <v>8</v>
      </c>
      <c r="H912" t="s">
        <v>9</v>
      </c>
      <c r="L912" t="s">
        <v>1487</v>
      </c>
      <c r="M912" t="s">
        <v>1488</v>
      </c>
      <c r="N912" t="s">
        <v>333</v>
      </c>
      <c r="O912" t="s">
        <v>3170</v>
      </c>
      <c r="P912" t="s">
        <v>2653</v>
      </c>
      <c r="Q912" t="s">
        <v>3221</v>
      </c>
      <c r="R912" t="s">
        <v>1494</v>
      </c>
      <c r="S912">
        <v>-9997</v>
      </c>
      <c r="W912" t="s">
        <v>1490</v>
      </c>
      <c r="X912" t="str">
        <f t="shared" si="14"/>
        <v>YI742032@TRAC Corp</v>
      </c>
      <c r="Y912" t="str">
        <f>_xlfn.IFNA(_xll.BDP(X912,"INTERVAL_SUM", "MARKET_DATA_OVERRIDE=px_volume", "CALC_INTERVAL=5D"), "")</f>
        <v>#N/A N/A</v>
      </c>
      <c r="Z912" t="str" cm="1">
        <f t="array" ref="Z912">_xll.BDP(B912, "CF_ACT_CASH_PAID_FOR_INT_DEBT")</f>
        <v>#N/A N/A</v>
      </c>
      <c r="AA912" t="str" cm="1">
        <f t="array" ref="AA912">_xll.BDP(B912, "TYPE_OF_BOND")</f>
        <v>#N/A Field Not Applicable</v>
      </c>
    </row>
    <row r="913" spans="1:27" x14ac:dyDescent="0.25">
      <c r="A913">
        <v>911</v>
      </c>
      <c r="B913" t="s">
        <v>1495</v>
      </c>
      <c r="C913" s="4" t="s">
        <v>1486</v>
      </c>
      <c r="D913" s="4">
        <v>350000000</v>
      </c>
      <c r="E913" t="s">
        <v>17</v>
      </c>
      <c r="F913" s="1">
        <v>47102</v>
      </c>
      <c r="G913">
        <v>7.125</v>
      </c>
      <c r="H913" t="s">
        <v>9</v>
      </c>
      <c r="L913" t="s">
        <v>1168</v>
      </c>
      <c r="M913" t="s">
        <v>10</v>
      </c>
      <c r="N913" t="s">
        <v>15</v>
      </c>
      <c r="O913" t="s">
        <v>3110</v>
      </c>
      <c r="P913" t="s">
        <v>2634</v>
      </c>
      <c r="Q913" t="s">
        <v>3114</v>
      </c>
      <c r="R913" t="s">
        <v>1496</v>
      </c>
      <c r="S913">
        <v>2630505.8921236899</v>
      </c>
      <c r="T913">
        <v>17</v>
      </c>
      <c r="U913" t="s">
        <v>1169</v>
      </c>
      <c r="W913" t="s">
        <v>1490</v>
      </c>
      <c r="X913" t="str">
        <f t="shared" si="14"/>
        <v>BM935262@TRAC Corp</v>
      </c>
      <c r="Y913">
        <f>_xlfn.IFNA(_xll.BDP(X913,"INTERVAL_SUM", "MARKET_DATA_OVERRIDE=px_volume", "CALC_INTERVAL=5D"), "")</f>
        <v>2053</v>
      </c>
      <c r="Z913" cm="1">
        <f t="array" ref="Z913">_xll.BDP(B913, "CF_ACT_CASH_PAID_FOR_INT_DEBT")</f>
        <v>17.949000000000002</v>
      </c>
      <c r="AA913" t="str" cm="1">
        <f t="array" ref="AA913">_xll.BDP(B913, "TYPE_OF_BOND")</f>
        <v>#N/A Field Not Applicable</v>
      </c>
    </row>
    <row r="914" spans="1:27" x14ac:dyDescent="0.25">
      <c r="A914">
        <v>912</v>
      </c>
      <c r="B914" t="s">
        <v>1497</v>
      </c>
      <c r="C914" s="4" t="s">
        <v>1486</v>
      </c>
      <c r="D914" s="4">
        <v>1210731500</v>
      </c>
      <c r="E914" t="s">
        <v>11</v>
      </c>
      <c r="F914" s="1">
        <v>47164</v>
      </c>
      <c r="G914">
        <v>6.9295</v>
      </c>
      <c r="H914" t="s">
        <v>13</v>
      </c>
      <c r="I914" t="s">
        <v>2631</v>
      </c>
      <c r="J914">
        <v>325</v>
      </c>
      <c r="L914" t="s">
        <v>1168</v>
      </c>
      <c r="M914" t="s">
        <v>10</v>
      </c>
      <c r="N914" t="s">
        <v>15</v>
      </c>
      <c r="O914" t="s">
        <v>3110</v>
      </c>
      <c r="P914" t="s">
        <v>2634</v>
      </c>
      <c r="Q914" t="s">
        <v>3114</v>
      </c>
      <c r="R914" t="s">
        <v>1498</v>
      </c>
      <c r="S914">
        <v>2000000</v>
      </c>
      <c r="T914">
        <v>6</v>
      </c>
      <c r="V914" t="s">
        <v>227</v>
      </c>
      <c r="W914" t="s">
        <v>1490</v>
      </c>
      <c r="X914" t="str">
        <f t="shared" si="14"/>
        <v>BL468459@TRAC Corp</v>
      </c>
      <c r="Y914" t="str">
        <f>_xlfn.IFNA(_xll.BDP(X914,"INTERVAL_SUM", "MARKET_DATA_OVERRIDE=px_volume", "CALC_INTERVAL=5D"), "")</f>
        <v>#N/A N/A</v>
      </c>
      <c r="Z914" cm="1">
        <f t="array" ref="Z914">_xll.BDP(B914, "CF_ACT_CASH_PAID_FOR_INT_DEBT")</f>
        <v>17.949000000000002</v>
      </c>
      <c r="AA914" t="str" cm="1">
        <f t="array" ref="AA914">_xll.BDP(B914, "TYPE_OF_BOND")</f>
        <v>#N/A Field Not Applicable</v>
      </c>
    </row>
    <row r="915" spans="1:27" x14ac:dyDescent="0.25">
      <c r="A915">
        <v>913</v>
      </c>
      <c r="B915" t="s">
        <v>1873</v>
      </c>
      <c r="C915" s="4" t="s">
        <v>1874</v>
      </c>
      <c r="D915" s="4">
        <v>61747819.359999999</v>
      </c>
      <c r="E915" t="s">
        <v>33</v>
      </c>
      <c r="F915" s="1">
        <v>47118</v>
      </c>
      <c r="G915">
        <v>13.732200000000001</v>
      </c>
      <c r="H915" t="s">
        <v>13</v>
      </c>
      <c r="I915" t="s">
        <v>2635</v>
      </c>
      <c r="J915">
        <v>1000</v>
      </c>
      <c r="L915" t="s">
        <v>1168</v>
      </c>
      <c r="M915" t="s">
        <v>10</v>
      </c>
      <c r="N915" t="s">
        <v>15</v>
      </c>
      <c r="O915" t="s">
        <v>3110</v>
      </c>
      <c r="R915" t="s">
        <v>1875</v>
      </c>
      <c r="V915" t="s">
        <v>256</v>
      </c>
      <c r="W915" t="s">
        <v>1876</v>
      </c>
      <c r="X915" t="str">
        <f t="shared" si="14"/>
        <v>BL525991@TRAC Corp</v>
      </c>
      <c r="Y915" t="str">
        <f>_xlfn.IFNA(_xll.BDP(X915,"INTERVAL_SUM", "MARKET_DATA_OVERRIDE=px_volume", "CALC_INTERVAL=5D"), "")</f>
        <v>#N/A N/A</v>
      </c>
      <c r="Z915" t="str" cm="1">
        <f t="array" ref="Z915">_xll.BDP(B915, "CF_ACT_CASH_PAID_FOR_INT_DEBT")</f>
        <v>#N/A N/A</v>
      </c>
      <c r="AA915" t="str" cm="1">
        <f t="array" ref="AA915">_xll.BDP(B915, "TYPE_OF_BOND")</f>
        <v>#N/A Field Not Applicable</v>
      </c>
    </row>
    <row r="916" spans="1:27" x14ac:dyDescent="0.25">
      <c r="A916">
        <v>914</v>
      </c>
      <c r="B916" t="s">
        <v>1877</v>
      </c>
      <c r="C916" s="4" t="s">
        <v>1874</v>
      </c>
      <c r="D916" s="4">
        <v>17100000</v>
      </c>
      <c r="E916" t="s">
        <v>11</v>
      </c>
      <c r="F916" s="1">
        <v>46752</v>
      </c>
      <c r="G916">
        <v>8.9822000000000006</v>
      </c>
      <c r="H916" t="s">
        <v>13</v>
      </c>
      <c r="I916" t="s">
        <v>2635</v>
      </c>
      <c r="J916">
        <v>525</v>
      </c>
      <c r="L916" t="s">
        <v>1168</v>
      </c>
      <c r="M916" t="s">
        <v>10</v>
      </c>
      <c r="N916" t="s">
        <v>15</v>
      </c>
      <c r="O916" t="s">
        <v>3110</v>
      </c>
      <c r="R916" t="s">
        <v>1878</v>
      </c>
      <c r="V916" t="s">
        <v>227</v>
      </c>
      <c r="W916" t="s">
        <v>1876</v>
      </c>
      <c r="X916" t="str">
        <f t="shared" si="14"/>
        <v>BL525990@TRAC Corp</v>
      </c>
      <c r="Y916" t="str">
        <f>_xlfn.IFNA(_xll.BDP(X916,"INTERVAL_SUM", "MARKET_DATA_OVERRIDE=px_volume", "CALC_INTERVAL=5D"), "")</f>
        <v>#N/A N/A</v>
      </c>
      <c r="Z916" t="str" cm="1">
        <f t="array" ref="Z916">_xll.BDP(B916, "CF_ACT_CASH_PAID_FOR_INT_DEBT")</f>
        <v>#N/A N/A</v>
      </c>
      <c r="AA916" t="str" cm="1">
        <f t="array" ref="AA916">_xll.BDP(B916, "TYPE_OF_BOND")</f>
        <v>#N/A Field Not Applicable</v>
      </c>
    </row>
    <row r="917" spans="1:27" x14ac:dyDescent="0.25">
      <c r="A917">
        <v>915</v>
      </c>
      <c r="B917" t="s">
        <v>1879</v>
      </c>
      <c r="C917" s="4" t="s">
        <v>1874</v>
      </c>
      <c r="D917" s="4">
        <v>99000000</v>
      </c>
      <c r="E917" t="s">
        <v>11</v>
      </c>
      <c r="F917" s="1">
        <v>47659</v>
      </c>
      <c r="G917">
        <v>8.1687999999999992</v>
      </c>
      <c r="H917" t="s">
        <v>13</v>
      </c>
      <c r="I917" t="s">
        <v>2631</v>
      </c>
      <c r="J917">
        <v>450</v>
      </c>
      <c r="L917" t="s">
        <v>1168</v>
      </c>
      <c r="M917" t="s">
        <v>10</v>
      </c>
      <c r="N917" t="s">
        <v>15</v>
      </c>
      <c r="O917" t="s">
        <v>3110</v>
      </c>
      <c r="P917" t="s">
        <v>2637</v>
      </c>
      <c r="Q917" t="s">
        <v>3123</v>
      </c>
      <c r="R917" t="s">
        <v>1878</v>
      </c>
      <c r="S917">
        <v>2412662.2753080698</v>
      </c>
      <c r="T917">
        <v>7</v>
      </c>
      <c r="V917" t="s">
        <v>227</v>
      </c>
      <c r="W917" t="s">
        <v>1876</v>
      </c>
      <c r="X917" t="str">
        <f t="shared" si="14"/>
        <v>BL521662@TRAC Corp</v>
      </c>
      <c r="Y917" t="str">
        <f>_xlfn.IFNA(_xll.BDP(X917,"INTERVAL_SUM", "MARKET_DATA_OVERRIDE=px_volume", "CALC_INTERVAL=5D"), "")</f>
        <v>#N/A N/A</v>
      </c>
      <c r="Z917" t="str" cm="1">
        <f t="array" ref="Z917">_xll.BDP(B917, "CF_ACT_CASH_PAID_FOR_INT_DEBT")</f>
        <v>#N/A N/A</v>
      </c>
      <c r="AA917" t="str" cm="1">
        <f t="array" ref="AA917">_xll.BDP(B917, "TYPE_OF_BOND")</f>
        <v>#N/A Field Not Applicable</v>
      </c>
    </row>
    <row r="918" spans="1:27" x14ac:dyDescent="0.25">
      <c r="A918">
        <v>916</v>
      </c>
      <c r="B918" t="s">
        <v>1880</v>
      </c>
      <c r="C918" s="4" t="s">
        <v>1874</v>
      </c>
      <c r="D918" s="4">
        <v>24000000</v>
      </c>
      <c r="E918" t="s">
        <v>11</v>
      </c>
      <c r="F918" s="1">
        <v>46660</v>
      </c>
      <c r="G918">
        <v>7.4295</v>
      </c>
      <c r="H918" t="s">
        <v>13</v>
      </c>
      <c r="I918" t="s">
        <v>2631</v>
      </c>
      <c r="J918">
        <v>375</v>
      </c>
      <c r="L918" t="s">
        <v>1168</v>
      </c>
      <c r="M918" t="s">
        <v>10</v>
      </c>
      <c r="N918" t="s">
        <v>15</v>
      </c>
      <c r="O918" t="s">
        <v>3110</v>
      </c>
      <c r="P918" t="s">
        <v>2637</v>
      </c>
      <c r="Q918" t="s">
        <v>3123</v>
      </c>
      <c r="R918" t="s">
        <v>1881</v>
      </c>
      <c r="V918" t="s">
        <v>226</v>
      </c>
      <c r="W918" t="s">
        <v>1876</v>
      </c>
      <c r="X918" t="str">
        <f t="shared" si="14"/>
        <v>BL349219@TRAC Corp</v>
      </c>
      <c r="Y918" t="str">
        <f>_xlfn.IFNA(_xll.BDP(X918,"INTERVAL_SUM", "MARKET_DATA_OVERRIDE=px_volume", "CALC_INTERVAL=5D"), "")</f>
        <v>#N/A N/A</v>
      </c>
      <c r="Z918" t="str" cm="1">
        <f t="array" ref="Z918">_xll.BDP(B918, "CF_ACT_CASH_PAID_FOR_INT_DEBT")</f>
        <v>#N/A N/A</v>
      </c>
      <c r="AA918" t="str" cm="1">
        <f t="array" ref="AA918">_xll.BDP(B918, "TYPE_OF_BOND")</f>
        <v>#N/A Field Not Applicable</v>
      </c>
    </row>
    <row r="919" spans="1:27" x14ac:dyDescent="0.25">
      <c r="A919">
        <v>917</v>
      </c>
      <c r="B919" t="s">
        <v>1882</v>
      </c>
      <c r="C919" s="4" t="s">
        <v>1874</v>
      </c>
      <c r="D919" s="4">
        <v>288225000</v>
      </c>
      <c r="E919" t="s">
        <v>33</v>
      </c>
      <c r="F919" s="1">
        <v>47109</v>
      </c>
      <c r="G919">
        <v>11.552</v>
      </c>
      <c r="H919" t="s">
        <v>13</v>
      </c>
      <c r="I919" t="s">
        <v>2635</v>
      </c>
      <c r="J919">
        <v>787.5</v>
      </c>
      <c r="L919" t="s">
        <v>1168</v>
      </c>
      <c r="M919" t="s">
        <v>10</v>
      </c>
      <c r="N919" t="s">
        <v>15</v>
      </c>
      <c r="O919" t="s">
        <v>3110</v>
      </c>
      <c r="P919" t="s">
        <v>2637</v>
      </c>
      <c r="Q919" t="s">
        <v>3123</v>
      </c>
      <c r="R919" t="s">
        <v>1883</v>
      </c>
      <c r="S919">
        <v>3001132.7975851102</v>
      </c>
      <c r="T919">
        <v>11</v>
      </c>
      <c r="V919" t="s">
        <v>227</v>
      </c>
      <c r="W919" t="s">
        <v>1876</v>
      </c>
      <c r="X919" t="str">
        <f t="shared" si="14"/>
        <v>BL348485@TRAC Corp</v>
      </c>
      <c r="Y919" t="str">
        <f>_xlfn.IFNA(_xll.BDP(X919,"INTERVAL_SUM", "MARKET_DATA_OVERRIDE=px_volume", "CALC_INTERVAL=5D"), "")</f>
        <v>#N/A N/A</v>
      </c>
      <c r="Z919" t="str" cm="1">
        <f t="array" ref="Z919">_xll.BDP(B919, "CF_ACT_CASH_PAID_FOR_INT_DEBT")</f>
        <v>#N/A N/A</v>
      </c>
      <c r="AA919" t="str" cm="1">
        <f t="array" ref="AA919">_xll.BDP(B919, "TYPE_OF_BOND")</f>
        <v>#N/A Field Not Applicable</v>
      </c>
    </row>
    <row r="920" spans="1:27" x14ac:dyDescent="0.25">
      <c r="A920">
        <v>918</v>
      </c>
      <c r="B920" t="s">
        <v>1884</v>
      </c>
      <c r="C920" s="4" t="s">
        <v>1874</v>
      </c>
      <c r="D920" s="4">
        <v>1195650000</v>
      </c>
      <c r="E920" t="s">
        <v>11</v>
      </c>
      <c r="F920" s="1">
        <v>46743</v>
      </c>
      <c r="G920">
        <v>8.3994999999999997</v>
      </c>
      <c r="H920" t="s">
        <v>13</v>
      </c>
      <c r="I920" t="s">
        <v>2635</v>
      </c>
      <c r="J920">
        <v>450</v>
      </c>
      <c r="L920" t="s">
        <v>1168</v>
      </c>
      <c r="M920" t="s">
        <v>10</v>
      </c>
      <c r="N920" t="s">
        <v>15</v>
      </c>
      <c r="O920" t="s">
        <v>3110</v>
      </c>
      <c r="P920" t="s">
        <v>2637</v>
      </c>
      <c r="Q920" t="s">
        <v>3123</v>
      </c>
      <c r="R920" t="s">
        <v>1878</v>
      </c>
      <c r="S920">
        <v>3645932.8444022299</v>
      </c>
      <c r="T920">
        <v>5</v>
      </c>
      <c r="V920" t="s">
        <v>227</v>
      </c>
      <c r="W920" t="s">
        <v>1876</v>
      </c>
      <c r="X920" t="str">
        <f t="shared" si="14"/>
        <v>BL348479@TRAC Corp</v>
      </c>
      <c r="Y920" t="str">
        <f>_xlfn.IFNA(_xll.BDP(X920,"INTERVAL_SUM", "MARKET_DATA_OVERRIDE=px_volume", "CALC_INTERVAL=5D"), "")</f>
        <v>#N/A N/A</v>
      </c>
      <c r="Z920" t="str" cm="1">
        <f t="array" ref="Z920">_xll.BDP(B920, "CF_ACT_CASH_PAID_FOR_INT_DEBT")</f>
        <v>#N/A N/A</v>
      </c>
      <c r="AA920" t="str" cm="1">
        <f t="array" ref="AA920">_xll.BDP(B920, "TYPE_OF_BOND")</f>
        <v>#N/A Field Not Applicable</v>
      </c>
    </row>
    <row r="921" spans="1:27" x14ac:dyDescent="0.25">
      <c r="A921">
        <v>919</v>
      </c>
      <c r="B921" t="s">
        <v>1885</v>
      </c>
      <c r="C921" s="4" t="s">
        <v>1886</v>
      </c>
      <c r="D921" s="4">
        <v>1143232298.53</v>
      </c>
      <c r="E921" t="s">
        <v>11</v>
      </c>
      <c r="F921" s="1">
        <v>47102</v>
      </c>
      <c r="G921">
        <v>6.9295</v>
      </c>
      <c r="H921" t="s">
        <v>13</v>
      </c>
      <c r="I921" t="s">
        <v>2631</v>
      </c>
      <c r="J921">
        <v>325</v>
      </c>
      <c r="L921" t="s">
        <v>1168</v>
      </c>
      <c r="M921" t="s">
        <v>10</v>
      </c>
      <c r="N921" t="s">
        <v>36</v>
      </c>
      <c r="O921" t="s">
        <v>3113</v>
      </c>
      <c r="P921" t="s">
        <v>2639</v>
      </c>
      <c r="Q921" t="s">
        <v>2639</v>
      </c>
      <c r="R921" t="s">
        <v>1887</v>
      </c>
      <c r="S921">
        <v>3000000</v>
      </c>
      <c r="T921">
        <v>26</v>
      </c>
      <c r="V921" t="s">
        <v>227</v>
      </c>
      <c r="W921" t="s">
        <v>1888</v>
      </c>
      <c r="X921" t="str">
        <f t="shared" si="14"/>
        <v>BL497997@TRAC Corp</v>
      </c>
      <c r="Y921" t="str">
        <f>_xlfn.IFNA(_xll.BDP(X921,"INTERVAL_SUM", "MARKET_DATA_OVERRIDE=px_volume", "CALC_INTERVAL=5D"), "")</f>
        <v>#N/A N/A</v>
      </c>
      <c r="Z921" t="str" cm="1">
        <f t="array" ref="Z921">_xll.BDP(B921, "CF_ACT_CASH_PAID_FOR_INT_DEBT")</f>
        <v>#N/A N/A</v>
      </c>
      <c r="AA921" t="str" cm="1">
        <f t="array" ref="AA921">_xll.BDP(B921, "TYPE_OF_BOND")</f>
        <v>#N/A Field Not Applicable</v>
      </c>
    </row>
    <row r="922" spans="1:27" x14ac:dyDescent="0.25">
      <c r="A922">
        <v>920</v>
      </c>
      <c r="B922" t="s">
        <v>3519</v>
      </c>
      <c r="C922" s="4" t="s">
        <v>3520</v>
      </c>
      <c r="D922" s="4">
        <v>455000000</v>
      </c>
      <c r="E922" t="s">
        <v>33</v>
      </c>
      <c r="F922" s="1">
        <v>47710</v>
      </c>
      <c r="G922">
        <v>10.6511</v>
      </c>
      <c r="H922" t="s">
        <v>13</v>
      </c>
      <c r="I922" t="s">
        <v>2635</v>
      </c>
      <c r="J922">
        <v>700</v>
      </c>
      <c r="L922" t="s">
        <v>1168</v>
      </c>
      <c r="M922" t="s">
        <v>10</v>
      </c>
      <c r="N922" t="s">
        <v>15</v>
      </c>
      <c r="O922" t="s">
        <v>3110</v>
      </c>
      <c r="P922" t="s">
        <v>2632</v>
      </c>
      <c r="Q922" t="s">
        <v>3521</v>
      </c>
      <c r="R922" t="s">
        <v>3522</v>
      </c>
      <c r="S922">
        <v>1000000</v>
      </c>
      <c r="T922">
        <v>4</v>
      </c>
      <c r="V922" t="s">
        <v>227</v>
      </c>
      <c r="W922" t="s">
        <v>3523</v>
      </c>
      <c r="X922" t="str">
        <f t="shared" si="14"/>
        <v>BL391048@TRAC Corp</v>
      </c>
      <c r="Y922" t="str">
        <f>_xlfn.IFNA(_xll.BDP(X922,"INTERVAL_SUM", "MARKET_DATA_OVERRIDE=px_volume", "CALC_INTERVAL=5D"), "")</f>
        <v>#N/A N/A</v>
      </c>
      <c r="Z922" cm="1">
        <f t="array" ref="Z922">_xll.BDP(B922, "CF_ACT_CASH_PAID_FOR_INT_DEBT")</f>
        <v>0.26400000000000001</v>
      </c>
      <c r="AA922" t="str" cm="1">
        <f t="array" ref="AA922">_xll.BDP(B922, "TYPE_OF_BOND")</f>
        <v>#N/A Field Not Applicable</v>
      </c>
    </row>
    <row r="923" spans="1:27" x14ac:dyDescent="0.25">
      <c r="A923">
        <v>921</v>
      </c>
      <c r="B923" t="s">
        <v>3524</v>
      </c>
      <c r="C923" s="4" t="s">
        <v>3520</v>
      </c>
      <c r="D923" s="4">
        <v>1115000000</v>
      </c>
      <c r="E923" t="s">
        <v>11</v>
      </c>
      <c r="F923" s="1">
        <v>47345</v>
      </c>
      <c r="G923">
        <v>8.1510999999999996</v>
      </c>
      <c r="H923" t="s">
        <v>13</v>
      </c>
      <c r="I923" t="s">
        <v>2635</v>
      </c>
      <c r="J923">
        <v>450</v>
      </c>
      <c r="L923" t="s">
        <v>1168</v>
      </c>
      <c r="M923" t="s">
        <v>10</v>
      </c>
      <c r="N923" t="s">
        <v>15</v>
      </c>
      <c r="O923" t="s">
        <v>3110</v>
      </c>
      <c r="P923" t="s">
        <v>2632</v>
      </c>
      <c r="Q923" t="s">
        <v>3521</v>
      </c>
      <c r="R923" t="s">
        <v>3525</v>
      </c>
      <c r="S923">
        <v>990000</v>
      </c>
      <c r="T923">
        <v>17</v>
      </c>
      <c r="V923" t="s">
        <v>227</v>
      </c>
      <c r="W923" t="s">
        <v>3523</v>
      </c>
      <c r="X923" t="str">
        <f t="shared" si="14"/>
        <v>BL391042@TRAC Corp</v>
      </c>
      <c r="Y923" t="str">
        <f>_xlfn.IFNA(_xll.BDP(X923,"INTERVAL_SUM", "MARKET_DATA_OVERRIDE=px_volume", "CALC_INTERVAL=5D"), "")</f>
        <v>#N/A N/A</v>
      </c>
      <c r="Z923" cm="1">
        <f t="array" ref="Z923">_xll.BDP(B923, "CF_ACT_CASH_PAID_FOR_INT_DEBT")</f>
        <v>0.26400000000000001</v>
      </c>
      <c r="AA923" t="str" cm="1">
        <f t="array" ref="AA923">_xll.BDP(B923, "TYPE_OF_BOND")</f>
        <v>#N/A Field Not Applicable</v>
      </c>
    </row>
    <row r="924" spans="1:27" x14ac:dyDescent="0.25">
      <c r="A924">
        <v>922</v>
      </c>
      <c r="B924" t="s">
        <v>3526</v>
      </c>
      <c r="C924" s="4" t="s">
        <v>3527</v>
      </c>
      <c r="D924" s="4">
        <v>405310000</v>
      </c>
      <c r="E924" t="s">
        <v>11</v>
      </c>
      <c r="F924" s="1">
        <v>48157</v>
      </c>
      <c r="G924">
        <v>9.7302</v>
      </c>
      <c r="H924" t="s">
        <v>13</v>
      </c>
      <c r="I924" t="s">
        <v>2647</v>
      </c>
      <c r="J924">
        <v>600</v>
      </c>
      <c r="L924" t="s">
        <v>1177</v>
      </c>
      <c r="M924" t="s">
        <v>3528</v>
      </c>
      <c r="N924" t="s">
        <v>537</v>
      </c>
      <c r="O924" t="s">
        <v>3129</v>
      </c>
      <c r="P924" t="s">
        <v>2664</v>
      </c>
      <c r="Q924" t="s">
        <v>3529</v>
      </c>
      <c r="R924" t="s">
        <v>3530</v>
      </c>
      <c r="S924">
        <v>3000000</v>
      </c>
      <c r="T924">
        <v>9</v>
      </c>
      <c r="V924" t="s">
        <v>227</v>
      </c>
      <c r="W924" t="s">
        <v>3531</v>
      </c>
      <c r="X924" t="str">
        <f t="shared" si="14"/>
        <v>BL478850@TRAC Corp</v>
      </c>
      <c r="Y924" t="str">
        <f>_xlfn.IFNA(_xll.BDP(X924,"INTERVAL_SUM", "MARKET_DATA_OVERRIDE=px_volume", "CALC_INTERVAL=5D"), "")</f>
        <v>#N/A N/A</v>
      </c>
      <c r="Z924" t="str" cm="1">
        <f t="array" ref="Z924">_xll.BDP(B924, "CF_ACT_CASH_PAID_FOR_INT_DEBT")</f>
        <v>#N/A N/A</v>
      </c>
      <c r="AA924" t="str" cm="1">
        <f t="array" ref="AA924">_xll.BDP(B924, "TYPE_OF_BOND")</f>
        <v>#N/A Field Not Applicable</v>
      </c>
    </row>
    <row r="925" spans="1:27" x14ac:dyDescent="0.25">
      <c r="A925">
        <v>923</v>
      </c>
      <c r="B925" t="s">
        <v>3532</v>
      </c>
      <c r="C925" s="4" t="s">
        <v>3527</v>
      </c>
      <c r="D925" s="4">
        <v>478380000</v>
      </c>
      <c r="E925" t="s">
        <v>11</v>
      </c>
      <c r="F925" s="1">
        <v>48157</v>
      </c>
      <c r="G925">
        <v>6.968</v>
      </c>
      <c r="H925" t="s">
        <v>13</v>
      </c>
      <c r="I925" t="s">
        <v>2636</v>
      </c>
      <c r="J925">
        <v>475</v>
      </c>
      <c r="L925" t="s">
        <v>1171</v>
      </c>
      <c r="M925" t="s">
        <v>3528</v>
      </c>
      <c r="N925" t="s">
        <v>537</v>
      </c>
      <c r="O925" t="s">
        <v>3129</v>
      </c>
      <c r="P925" t="s">
        <v>2664</v>
      </c>
      <c r="Q925" t="s">
        <v>3529</v>
      </c>
      <c r="R925" t="s">
        <v>3533</v>
      </c>
      <c r="V925" t="s">
        <v>227</v>
      </c>
      <c r="W925" t="s">
        <v>3531</v>
      </c>
      <c r="X925" t="str">
        <f t="shared" si="14"/>
        <v>BL478848@TRAC Corp</v>
      </c>
      <c r="Y925" t="str">
        <f>_xlfn.IFNA(_xll.BDP(X925,"INTERVAL_SUM", "MARKET_DATA_OVERRIDE=px_volume", "CALC_INTERVAL=5D"), "")</f>
        <v>#N/A N/A</v>
      </c>
      <c r="Z925" t="str" cm="1">
        <f t="array" ref="Z925">_xll.BDP(B925, "CF_ACT_CASH_PAID_FOR_INT_DEBT")</f>
        <v>#N/A N/A</v>
      </c>
      <c r="AA925" t="str" cm="1">
        <f t="array" ref="AA925">_xll.BDP(B925, "TYPE_OF_BOND")</f>
        <v>#N/A Field Not Applicable</v>
      </c>
    </row>
    <row r="926" spans="1:27" x14ac:dyDescent="0.25">
      <c r="A926">
        <v>924</v>
      </c>
      <c r="B926" t="s">
        <v>3534</v>
      </c>
      <c r="C926" s="4" t="s">
        <v>3527</v>
      </c>
      <c r="D926" s="4">
        <v>1083500000</v>
      </c>
      <c r="E926" t="s">
        <v>11</v>
      </c>
      <c r="F926" s="1">
        <v>48157</v>
      </c>
      <c r="G926">
        <v>8.6580999999999992</v>
      </c>
      <c r="H926" t="s">
        <v>13</v>
      </c>
      <c r="I926" t="s">
        <v>2635</v>
      </c>
      <c r="J926">
        <v>500</v>
      </c>
      <c r="L926" t="s">
        <v>1168</v>
      </c>
      <c r="M926" t="s">
        <v>10</v>
      </c>
      <c r="N926" t="s">
        <v>537</v>
      </c>
      <c r="O926" t="s">
        <v>3129</v>
      </c>
      <c r="P926" t="s">
        <v>2664</v>
      </c>
      <c r="Q926" t="s">
        <v>3529</v>
      </c>
      <c r="R926" t="s">
        <v>3535</v>
      </c>
      <c r="S926">
        <v>2000000</v>
      </c>
      <c r="T926">
        <v>5</v>
      </c>
      <c r="V926" t="s">
        <v>227</v>
      </c>
      <c r="W926" t="s">
        <v>3531</v>
      </c>
      <c r="X926" t="str">
        <f t="shared" si="14"/>
        <v>BL478847@TRAC Corp</v>
      </c>
      <c r="Y926" t="str">
        <f>_xlfn.IFNA(_xll.BDP(X926,"INTERVAL_SUM", "MARKET_DATA_OVERRIDE=px_volume", "CALC_INTERVAL=5D"), "")</f>
        <v>#N/A N/A</v>
      </c>
      <c r="Z926" t="str" cm="1">
        <f t="array" ref="Z926">_xll.BDP(B926, "CF_ACT_CASH_PAID_FOR_INT_DEBT")</f>
        <v>#N/A N/A</v>
      </c>
      <c r="AA926" t="str" cm="1">
        <f t="array" ref="AA926">_xll.BDP(B926, "TYPE_OF_BOND")</f>
        <v>#N/A Field Not Applicable</v>
      </c>
    </row>
    <row r="927" spans="1:27" x14ac:dyDescent="0.25">
      <c r="A927">
        <v>925</v>
      </c>
      <c r="B927" t="s">
        <v>1910</v>
      </c>
      <c r="C927" s="4" t="s">
        <v>1911</v>
      </c>
      <c r="D927" s="4">
        <v>1065796842.89495</v>
      </c>
      <c r="E927" t="s">
        <v>11</v>
      </c>
      <c r="F927" s="1">
        <v>47301</v>
      </c>
      <c r="G927">
        <v>8.3939000000000004</v>
      </c>
      <c r="H927" t="s">
        <v>13</v>
      </c>
      <c r="I927" t="s">
        <v>2631</v>
      </c>
      <c r="J927">
        <v>475</v>
      </c>
      <c r="L927" t="s">
        <v>1168</v>
      </c>
      <c r="M927" t="s">
        <v>10</v>
      </c>
      <c r="N927" t="s">
        <v>15</v>
      </c>
      <c r="O927" t="s">
        <v>3110</v>
      </c>
      <c r="P927" t="s">
        <v>2634</v>
      </c>
      <c r="Q927" t="s">
        <v>3114</v>
      </c>
      <c r="R927" t="s">
        <v>1912</v>
      </c>
      <c r="S927">
        <v>2000000</v>
      </c>
      <c r="T927">
        <v>5</v>
      </c>
      <c r="V927" t="s">
        <v>227</v>
      </c>
      <c r="W927" t="s">
        <v>1913</v>
      </c>
      <c r="X927" t="str">
        <f t="shared" si="14"/>
        <v>BL487318@TRAC Corp</v>
      </c>
      <c r="Y927" t="str">
        <f>_xlfn.IFNA(_xll.BDP(X927,"INTERVAL_SUM", "MARKET_DATA_OVERRIDE=px_volume", "CALC_INTERVAL=5D"), "")</f>
        <v>#N/A N/A</v>
      </c>
      <c r="Z927" t="str" cm="1">
        <f t="array" ref="Z927">_xll.BDP(B927, "CF_ACT_CASH_PAID_FOR_INT_DEBT")</f>
        <v>#N/A N/A</v>
      </c>
      <c r="AA927" t="str" cm="1">
        <f t="array" ref="AA927">_xll.BDP(B927, "TYPE_OF_BOND")</f>
        <v>#N/A Field Not Applicable</v>
      </c>
    </row>
    <row r="928" spans="1:27" x14ac:dyDescent="0.25">
      <c r="A928">
        <v>926</v>
      </c>
      <c r="B928" t="s">
        <v>1914</v>
      </c>
      <c r="C928" s="4" t="s">
        <v>1911</v>
      </c>
      <c r="D928" s="4">
        <v>366562500</v>
      </c>
      <c r="E928" t="s">
        <v>11</v>
      </c>
      <c r="F928" s="1">
        <v>47931</v>
      </c>
      <c r="G928">
        <v>8.4295000000000009</v>
      </c>
      <c r="H928" t="s">
        <v>13</v>
      </c>
      <c r="I928" t="s">
        <v>2631</v>
      </c>
      <c r="J928">
        <v>475</v>
      </c>
      <c r="L928" t="s">
        <v>1168</v>
      </c>
      <c r="M928" t="s">
        <v>10</v>
      </c>
      <c r="N928" t="s">
        <v>15</v>
      </c>
      <c r="O928" t="s">
        <v>3110</v>
      </c>
      <c r="P928" t="s">
        <v>2634</v>
      </c>
      <c r="Q928" t="s">
        <v>3114</v>
      </c>
      <c r="R928" t="s">
        <v>1912</v>
      </c>
      <c r="S928">
        <v>1000000</v>
      </c>
      <c r="T928">
        <v>5</v>
      </c>
      <c r="V928" t="s">
        <v>227</v>
      </c>
      <c r="W928" t="s">
        <v>1913</v>
      </c>
      <c r="X928" t="str">
        <f t="shared" si="14"/>
        <v>BL460527@TRAC Corp</v>
      </c>
      <c r="Y928" t="str">
        <f>_xlfn.IFNA(_xll.BDP(X928,"INTERVAL_SUM", "MARKET_DATA_OVERRIDE=px_volume", "CALC_INTERVAL=5D"), "")</f>
        <v>#N/A N/A</v>
      </c>
      <c r="Z928" t="str" cm="1">
        <f t="array" ref="Z928">_xll.BDP(B928, "CF_ACT_CASH_PAID_FOR_INT_DEBT")</f>
        <v>#N/A N/A</v>
      </c>
      <c r="AA928" t="str" cm="1">
        <f t="array" ref="AA928">_xll.BDP(B928, "TYPE_OF_BOND")</f>
        <v>#N/A Field Not Applicable</v>
      </c>
    </row>
    <row r="929" spans="1:27" x14ac:dyDescent="0.25">
      <c r="A929">
        <v>927</v>
      </c>
      <c r="B929" t="s">
        <v>1915</v>
      </c>
      <c r="C929" s="4" t="s">
        <v>1911</v>
      </c>
      <c r="D929" s="4">
        <v>300000000</v>
      </c>
      <c r="E929" t="s">
        <v>33</v>
      </c>
      <c r="F929" s="1">
        <v>46576</v>
      </c>
      <c r="G929">
        <v>12.9602</v>
      </c>
      <c r="H929" t="s">
        <v>13</v>
      </c>
      <c r="I929" t="s">
        <v>2652</v>
      </c>
      <c r="J929">
        <v>800</v>
      </c>
      <c r="L929" t="s">
        <v>1168</v>
      </c>
      <c r="M929" t="s">
        <v>10</v>
      </c>
      <c r="N929" t="s">
        <v>15</v>
      </c>
      <c r="O929" t="s">
        <v>3110</v>
      </c>
      <c r="P929" t="s">
        <v>2634</v>
      </c>
      <c r="Q929" t="s">
        <v>3114</v>
      </c>
      <c r="R929" t="s">
        <v>1916</v>
      </c>
      <c r="V929" t="s">
        <v>227</v>
      </c>
      <c r="W929" t="s">
        <v>1913</v>
      </c>
      <c r="X929" t="str">
        <f t="shared" si="14"/>
        <v>BL300286@TRAC Corp</v>
      </c>
      <c r="Y929" t="str">
        <f>_xlfn.IFNA(_xll.BDP(X929,"INTERVAL_SUM", "MARKET_DATA_OVERRIDE=px_volume", "CALC_INTERVAL=5D"), "")</f>
        <v>#N/A N/A</v>
      </c>
      <c r="Z929" t="str" cm="1">
        <f t="array" ref="Z929">_xll.BDP(B929, "CF_ACT_CASH_PAID_FOR_INT_DEBT")</f>
        <v>#N/A N/A</v>
      </c>
      <c r="AA929" t="str" cm="1">
        <f t="array" ref="AA929">_xll.BDP(B929, "TYPE_OF_BOND")</f>
        <v>#N/A Field Not Applicable</v>
      </c>
    </row>
    <row r="930" spans="1:27" x14ac:dyDescent="0.25">
      <c r="A930">
        <v>928</v>
      </c>
      <c r="B930" t="s">
        <v>3536</v>
      </c>
      <c r="C930" s="4" t="s">
        <v>3537</v>
      </c>
      <c r="D930" s="4">
        <v>5780000</v>
      </c>
      <c r="E930" t="s">
        <v>17</v>
      </c>
      <c r="F930" s="1">
        <v>46798</v>
      </c>
      <c r="G930">
        <v>9.5</v>
      </c>
      <c r="H930" t="s">
        <v>9</v>
      </c>
      <c r="L930" t="s">
        <v>1168</v>
      </c>
      <c r="M930" t="s">
        <v>10</v>
      </c>
      <c r="N930" t="s">
        <v>15</v>
      </c>
      <c r="O930" t="s">
        <v>3110</v>
      </c>
      <c r="P930" t="s">
        <v>2637</v>
      </c>
      <c r="Q930" t="s">
        <v>3112</v>
      </c>
      <c r="R930" t="s">
        <v>3538</v>
      </c>
      <c r="S930">
        <v>-9997</v>
      </c>
      <c r="U930" t="s">
        <v>1169</v>
      </c>
      <c r="W930" t="s">
        <v>3539</v>
      </c>
      <c r="X930" t="str">
        <f t="shared" si="14"/>
        <v>ZP704771@TRAC Corp</v>
      </c>
      <c r="Y930" t="str">
        <f>_xlfn.IFNA(_xll.BDP(X930,"INTERVAL_SUM", "MARKET_DATA_OVERRIDE=px_volume", "CALC_INTERVAL=5D"), "")</f>
        <v>#N/A N/A</v>
      </c>
      <c r="Z930" t="str" cm="1">
        <f t="array" ref="Z930">_xll.BDP(B930, "CF_ACT_CASH_PAID_FOR_INT_DEBT")</f>
        <v>#N/A N/A</v>
      </c>
      <c r="AA930" t="str" cm="1">
        <f t="array" ref="AA930">_xll.BDP(B930, "TYPE_OF_BOND")</f>
        <v>#N/A Field Not Applicable</v>
      </c>
    </row>
    <row r="931" spans="1:27" x14ac:dyDescent="0.25">
      <c r="A931">
        <v>929</v>
      </c>
      <c r="B931" t="s">
        <v>3540</v>
      </c>
      <c r="C931" s="4" t="s">
        <v>3537</v>
      </c>
      <c r="D931" s="4">
        <v>267741000</v>
      </c>
      <c r="E931" t="s">
        <v>447</v>
      </c>
      <c r="F931" s="1">
        <v>48029</v>
      </c>
      <c r="G931">
        <v>10</v>
      </c>
      <c r="H931" t="s">
        <v>9</v>
      </c>
      <c r="L931" t="s">
        <v>1168</v>
      </c>
      <c r="M931" t="s">
        <v>10</v>
      </c>
      <c r="N931" t="s">
        <v>15</v>
      </c>
      <c r="O931" t="s">
        <v>3110</v>
      </c>
      <c r="P931" t="s">
        <v>2637</v>
      </c>
      <c r="Q931" t="s">
        <v>3112</v>
      </c>
      <c r="R931" t="s">
        <v>3541</v>
      </c>
      <c r="S931">
        <v>27282783.779892799</v>
      </c>
      <c r="T931">
        <v>10</v>
      </c>
      <c r="U931" t="s">
        <v>1169</v>
      </c>
      <c r="W931" t="s">
        <v>3539</v>
      </c>
      <c r="X931" t="str">
        <f t="shared" si="14"/>
        <v>YO000720@TRAC Corp</v>
      </c>
      <c r="Y931" t="str">
        <f>_xlfn.IFNA(_xll.BDP(X931,"INTERVAL_SUM", "MARKET_DATA_OVERRIDE=px_volume", "CALC_INTERVAL=5D"), "")</f>
        <v>#N/A N/A</v>
      </c>
      <c r="Z931" t="str" cm="1">
        <f t="array" ref="Z931">_xll.BDP(B931, "CF_ACT_CASH_PAID_FOR_INT_DEBT")</f>
        <v>#N/A N/A</v>
      </c>
      <c r="AA931" t="str" cm="1">
        <f t="array" ref="AA931">_xll.BDP(B931, "TYPE_OF_BOND")</f>
        <v>#N/A Field Not Applicable</v>
      </c>
    </row>
    <row r="932" spans="1:27" x14ac:dyDescent="0.25">
      <c r="A932">
        <v>930</v>
      </c>
      <c r="B932" t="s">
        <v>3542</v>
      </c>
      <c r="C932" s="4" t="s">
        <v>3537</v>
      </c>
      <c r="D932" s="4">
        <v>432429999.89999998</v>
      </c>
      <c r="E932" t="s">
        <v>80</v>
      </c>
      <c r="F932" s="1">
        <v>47634</v>
      </c>
      <c r="G932">
        <v>6.7350000000000003</v>
      </c>
      <c r="H932" t="s">
        <v>13</v>
      </c>
      <c r="I932" t="s">
        <v>2636</v>
      </c>
      <c r="J932">
        <v>425</v>
      </c>
      <c r="L932" t="s">
        <v>1171</v>
      </c>
      <c r="M932" t="s">
        <v>10</v>
      </c>
      <c r="N932" t="s">
        <v>15</v>
      </c>
      <c r="O932" t="s">
        <v>3110</v>
      </c>
      <c r="P932" t="s">
        <v>2637</v>
      </c>
      <c r="Q932" t="s">
        <v>3112</v>
      </c>
      <c r="R932" t="s">
        <v>3543</v>
      </c>
      <c r="S932">
        <v>31771000</v>
      </c>
      <c r="T932">
        <v>2</v>
      </c>
      <c r="V932" t="s">
        <v>227</v>
      </c>
      <c r="W932" t="s">
        <v>3539</v>
      </c>
      <c r="X932" t="str">
        <f t="shared" si="14"/>
        <v>BL508413@TRAC Corp</v>
      </c>
      <c r="Y932" t="str">
        <f>_xlfn.IFNA(_xll.BDP(X932,"INTERVAL_SUM", "MARKET_DATA_OVERRIDE=px_volume", "CALC_INTERVAL=5D"), "")</f>
        <v>#N/A N/A</v>
      </c>
      <c r="Z932" t="str" cm="1">
        <f t="array" ref="Z932">_xll.BDP(B932, "CF_ACT_CASH_PAID_FOR_INT_DEBT")</f>
        <v>#N/A N/A</v>
      </c>
      <c r="AA932" t="str" cm="1">
        <f t="array" ref="AA932">_xll.BDP(B932, "TYPE_OF_BOND")</f>
        <v>#N/A Field Not Applicable</v>
      </c>
    </row>
    <row r="933" spans="1:27" x14ac:dyDescent="0.25">
      <c r="A933">
        <v>931</v>
      </c>
      <c r="B933" t="s">
        <v>3544</v>
      </c>
      <c r="C933" s="4" t="s">
        <v>3537</v>
      </c>
      <c r="D933" s="4">
        <v>259501666.75999999</v>
      </c>
      <c r="E933" t="s">
        <v>80</v>
      </c>
      <c r="F933" s="1">
        <v>47634</v>
      </c>
      <c r="G933">
        <v>8.1525999999999996</v>
      </c>
      <c r="H933" t="s">
        <v>13</v>
      </c>
      <c r="I933" t="s">
        <v>2631</v>
      </c>
      <c r="J933">
        <v>450</v>
      </c>
      <c r="L933" t="s">
        <v>1168</v>
      </c>
      <c r="M933" t="s">
        <v>10</v>
      </c>
      <c r="N933" t="s">
        <v>15</v>
      </c>
      <c r="O933" t="s">
        <v>3110</v>
      </c>
      <c r="P933" t="s">
        <v>2637</v>
      </c>
      <c r="Q933" t="s">
        <v>3112</v>
      </c>
      <c r="R933" t="s">
        <v>3545</v>
      </c>
      <c r="S933">
        <v>2781766.5466358098</v>
      </c>
      <c r="T933">
        <v>3</v>
      </c>
      <c r="V933" t="s">
        <v>227</v>
      </c>
      <c r="W933" t="s">
        <v>3539</v>
      </c>
      <c r="X933" t="str">
        <f t="shared" si="14"/>
        <v>BL508411@TRAC Corp</v>
      </c>
      <c r="Y933" t="str">
        <f>_xlfn.IFNA(_xll.BDP(X933,"INTERVAL_SUM", "MARKET_DATA_OVERRIDE=px_volume", "CALC_INTERVAL=5D"), "")</f>
        <v>#N/A N/A</v>
      </c>
      <c r="Z933" t="str" cm="1">
        <f t="array" ref="Z933">_xll.BDP(B933, "CF_ACT_CASH_PAID_FOR_INT_DEBT")</f>
        <v>#N/A N/A</v>
      </c>
      <c r="AA933" t="str" cm="1">
        <f t="array" ref="AA933">_xll.BDP(B933, "TYPE_OF_BOND")</f>
        <v>#N/A Field Not Applicable</v>
      </c>
    </row>
    <row r="934" spans="1:27" x14ac:dyDescent="0.25">
      <c r="A934">
        <v>932</v>
      </c>
      <c r="B934" t="s">
        <v>3546</v>
      </c>
      <c r="C934" s="4" t="s">
        <v>3537</v>
      </c>
      <c r="D934" s="4">
        <v>1046464855.59</v>
      </c>
      <c r="E934" t="s">
        <v>80</v>
      </c>
      <c r="F934" s="1">
        <v>47634</v>
      </c>
      <c r="G934">
        <v>7.9025999999999996</v>
      </c>
      <c r="H934" t="s">
        <v>13</v>
      </c>
      <c r="I934" t="s">
        <v>2631</v>
      </c>
      <c r="J934">
        <v>425</v>
      </c>
      <c r="L934" t="s">
        <v>1168</v>
      </c>
      <c r="M934" t="s">
        <v>10</v>
      </c>
      <c r="N934" t="s">
        <v>15</v>
      </c>
      <c r="O934" t="s">
        <v>3110</v>
      </c>
      <c r="P934" t="s">
        <v>2637</v>
      </c>
      <c r="Q934" t="s">
        <v>3112</v>
      </c>
      <c r="R934" t="s">
        <v>3547</v>
      </c>
      <c r="S934">
        <v>2000000</v>
      </c>
      <c r="T934">
        <v>7</v>
      </c>
      <c r="V934" t="s">
        <v>227</v>
      </c>
      <c r="W934" t="s">
        <v>3539</v>
      </c>
      <c r="X934" t="str">
        <f t="shared" si="14"/>
        <v>BL508410@TRAC Corp</v>
      </c>
      <c r="Y934" t="str">
        <f>_xlfn.IFNA(_xll.BDP(X934,"INTERVAL_SUM", "MARKET_DATA_OVERRIDE=px_volume", "CALC_INTERVAL=5D"), "")</f>
        <v>#N/A N/A</v>
      </c>
      <c r="Z934" t="str" cm="1">
        <f t="array" ref="Z934">_xll.BDP(B934, "CF_ACT_CASH_PAID_FOR_INT_DEBT")</f>
        <v>#N/A N/A</v>
      </c>
      <c r="AA934" t="str" cm="1">
        <f t="array" ref="AA934">_xll.BDP(B934, "TYPE_OF_BOND")</f>
        <v>#N/A Field Not Applicable</v>
      </c>
    </row>
    <row r="935" spans="1:27" x14ac:dyDescent="0.25">
      <c r="A935">
        <v>933</v>
      </c>
      <c r="B935" t="s">
        <v>3548</v>
      </c>
      <c r="C935" s="4" t="s">
        <v>3537</v>
      </c>
      <c r="D935" s="4">
        <v>26161904.760000002</v>
      </c>
      <c r="E935" t="s">
        <v>80</v>
      </c>
      <c r="F935" s="1">
        <v>47602</v>
      </c>
      <c r="G935">
        <v>7.4850000000000003</v>
      </c>
      <c r="H935" t="s">
        <v>13</v>
      </c>
      <c r="I935" t="s">
        <v>2636</v>
      </c>
      <c r="J935">
        <v>500</v>
      </c>
      <c r="L935" t="s">
        <v>1171</v>
      </c>
      <c r="M935" t="s">
        <v>10</v>
      </c>
      <c r="N935" t="s">
        <v>15</v>
      </c>
      <c r="O935" t="s">
        <v>3110</v>
      </c>
      <c r="P935" t="s">
        <v>2637</v>
      </c>
      <c r="Q935" t="s">
        <v>3112</v>
      </c>
      <c r="R935" t="s">
        <v>3549</v>
      </c>
      <c r="S935">
        <v>2000000</v>
      </c>
      <c r="T935">
        <v>3</v>
      </c>
      <c r="V935" t="s">
        <v>256</v>
      </c>
      <c r="W935" t="s">
        <v>3539</v>
      </c>
      <c r="X935" t="str">
        <f t="shared" si="14"/>
        <v>BL508409@TRAC Corp</v>
      </c>
      <c r="Y935" t="str">
        <f>_xlfn.IFNA(_xll.BDP(X935,"INTERVAL_SUM", "MARKET_DATA_OVERRIDE=px_volume", "CALC_INTERVAL=5D"), "")</f>
        <v>#N/A N/A</v>
      </c>
      <c r="Z935" t="str" cm="1">
        <f t="array" ref="Z935">_xll.BDP(B935, "CF_ACT_CASH_PAID_FOR_INT_DEBT")</f>
        <v>#N/A N/A</v>
      </c>
      <c r="AA935" t="str" cm="1">
        <f t="array" ref="AA935">_xll.BDP(B935, "TYPE_OF_BOND")</f>
        <v>#N/A Field Not Applicable</v>
      </c>
    </row>
    <row r="936" spans="1:27" x14ac:dyDescent="0.25">
      <c r="A936">
        <v>934</v>
      </c>
      <c r="B936" t="s">
        <v>3550</v>
      </c>
      <c r="C936" s="4" t="s">
        <v>3537</v>
      </c>
      <c r="D936" s="4">
        <v>232691125.81999999</v>
      </c>
      <c r="E936" t="s">
        <v>80</v>
      </c>
      <c r="F936" s="1">
        <v>47602</v>
      </c>
      <c r="G936">
        <v>9.6525999999999996</v>
      </c>
      <c r="H936" t="s">
        <v>13</v>
      </c>
      <c r="I936" t="s">
        <v>2631</v>
      </c>
      <c r="J936">
        <v>600</v>
      </c>
      <c r="L936" t="s">
        <v>1168</v>
      </c>
      <c r="M936" t="s">
        <v>10</v>
      </c>
      <c r="N936" t="s">
        <v>15</v>
      </c>
      <c r="O936" t="s">
        <v>3110</v>
      </c>
      <c r="P936" t="s">
        <v>2637</v>
      </c>
      <c r="Q936" t="s">
        <v>3112</v>
      </c>
      <c r="R936" t="s">
        <v>3551</v>
      </c>
      <c r="S936">
        <v>3000000</v>
      </c>
      <c r="T936">
        <v>11</v>
      </c>
      <c r="V936" t="s">
        <v>256</v>
      </c>
      <c r="W936" t="s">
        <v>3539</v>
      </c>
      <c r="X936" t="str">
        <f t="shared" si="14"/>
        <v>BL508407@TRAC Corp</v>
      </c>
      <c r="Y936" t="str">
        <f>_xlfn.IFNA(_xll.BDP(X936,"INTERVAL_SUM", "MARKET_DATA_OVERRIDE=px_volume", "CALC_INTERVAL=5D"), "")</f>
        <v>#N/A N/A</v>
      </c>
      <c r="Z936" t="str" cm="1">
        <f t="array" ref="Z936">_xll.BDP(B936, "CF_ACT_CASH_PAID_FOR_INT_DEBT")</f>
        <v>#N/A N/A</v>
      </c>
      <c r="AA936" t="str" cm="1">
        <f t="array" ref="AA936">_xll.BDP(B936, "TYPE_OF_BOND")</f>
        <v>#N/A Field Not Applicable</v>
      </c>
    </row>
    <row r="937" spans="1:27" x14ac:dyDescent="0.25">
      <c r="A937">
        <v>935</v>
      </c>
      <c r="B937" t="s">
        <v>1932</v>
      </c>
      <c r="C937" s="4" t="s">
        <v>1933</v>
      </c>
      <c r="D937" s="4">
        <v>1027287435.15625</v>
      </c>
      <c r="E937" t="s">
        <v>11</v>
      </c>
      <c r="F937" s="1">
        <v>47081</v>
      </c>
      <c r="G937">
        <v>6.1463000000000001</v>
      </c>
      <c r="H937" t="s">
        <v>13</v>
      </c>
      <c r="I937" t="s">
        <v>2635</v>
      </c>
      <c r="J937">
        <v>250</v>
      </c>
      <c r="L937" t="s">
        <v>1168</v>
      </c>
      <c r="M937" t="s">
        <v>10</v>
      </c>
      <c r="N937" t="s">
        <v>537</v>
      </c>
      <c r="O937" t="s">
        <v>3160</v>
      </c>
      <c r="P937" t="s">
        <v>2639</v>
      </c>
      <c r="Q937" t="s">
        <v>3125</v>
      </c>
      <c r="R937" t="s">
        <v>1934</v>
      </c>
      <c r="S937">
        <v>2000000</v>
      </c>
      <c r="T937">
        <v>12</v>
      </c>
      <c r="V937" t="s">
        <v>227</v>
      </c>
      <c r="W937" t="s">
        <v>1935</v>
      </c>
      <c r="X937" t="str">
        <f t="shared" si="14"/>
        <v>BL499582@TRAC Corp</v>
      </c>
      <c r="Y937" t="str">
        <f>_xlfn.IFNA(_xll.BDP(X937,"INTERVAL_SUM", "MARKET_DATA_OVERRIDE=px_volume", "CALC_INTERVAL=5D"), "")</f>
        <v>#N/A N/A</v>
      </c>
      <c r="Z937" t="str" cm="1">
        <f t="array" ref="Z937">_xll.BDP(B937, "CF_ACT_CASH_PAID_FOR_INT_DEBT")</f>
        <v>#N/A N/A</v>
      </c>
      <c r="AA937" t="str" cm="1">
        <f t="array" ref="AA937">_xll.BDP(B937, "TYPE_OF_BOND")</f>
        <v>#N/A Field Not Applicable</v>
      </c>
    </row>
    <row r="938" spans="1:27" x14ac:dyDescent="0.25">
      <c r="A938">
        <v>936</v>
      </c>
      <c r="B938" t="s">
        <v>1946</v>
      </c>
      <c r="C938" s="4" t="s">
        <v>1947</v>
      </c>
      <c r="D938" s="4">
        <v>1025000000</v>
      </c>
      <c r="E938" t="s">
        <v>11</v>
      </c>
      <c r="F938" s="1">
        <v>46520</v>
      </c>
      <c r="G938">
        <v>10.644</v>
      </c>
      <c r="H938" t="s">
        <v>13</v>
      </c>
      <c r="I938" t="s">
        <v>2635</v>
      </c>
      <c r="J938">
        <v>700</v>
      </c>
      <c r="L938" t="s">
        <v>1168</v>
      </c>
      <c r="M938" t="s">
        <v>10</v>
      </c>
      <c r="N938" t="s">
        <v>16</v>
      </c>
      <c r="O938" t="s">
        <v>3157</v>
      </c>
      <c r="P938" t="s">
        <v>2644</v>
      </c>
      <c r="Q938" t="s">
        <v>3158</v>
      </c>
      <c r="R938" t="s">
        <v>1948</v>
      </c>
      <c r="S938">
        <v>2000000</v>
      </c>
      <c r="T938">
        <v>9</v>
      </c>
      <c r="V938" t="s">
        <v>227</v>
      </c>
      <c r="W938" t="s">
        <v>1949</v>
      </c>
      <c r="X938" t="str">
        <f t="shared" si="14"/>
        <v>BL390762@TRAC Corp</v>
      </c>
      <c r="Y938" t="str">
        <f>_xlfn.IFNA(_xll.BDP(X938,"INTERVAL_SUM", "MARKET_DATA_OVERRIDE=px_volume", "CALC_INTERVAL=5D"), "")</f>
        <v>#N/A N/A</v>
      </c>
      <c r="Z938" cm="1">
        <f t="array" ref="Z938">_xll.BDP(B938, "CF_ACT_CASH_PAID_FOR_INT_DEBT")</f>
        <v>146.06800000000001</v>
      </c>
      <c r="AA938" t="str" cm="1">
        <f t="array" ref="AA938">_xll.BDP(B938, "TYPE_OF_BOND")</f>
        <v>#N/A Field Not Applicable</v>
      </c>
    </row>
    <row r="939" spans="1:27" x14ac:dyDescent="0.25">
      <c r="A939">
        <v>937</v>
      </c>
      <c r="B939" t="s">
        <v>1936</v>
      </c>
      <c r="C939" s="4" t="s">
        <v>1937</v>
      </c>
      <c r="D939" s="4">
        <v>4973778.28</v>
      </c>
      <c r="E939" t="s">
        <v>33</v>
      </c>
      <c r="F939" s="1">
        <v>47116</v>
      </c>
      <c r="G939">
        <v>12.7102</v>
      </c>
      <c r="H939" t="s">
        <v>13</v>
      </c>
      <c r="I939" t="s">
        <v>2652</v>
      </c>
      <c r="J939">
        <v>775</v>
      </c>
      <c r="L939" t="s">
        <v>1168</v>
      </c>
      <c r="N939" t="s">
        <v>460</v>
      </c>
      <c r="O939" t="s">
        <v>2655</v>
      </c>
      <c r="R939" t="s">
        <v>1938</v>
      </c>
      <c r="V939" t="s">
        <v>227</v>
      </c>
      <c r="W939" t="s">
        <v>1939</v>
      </c>
      <c r="X939" t="str">
        <f t="shared" si="14"/>
        <v>BL540834@TRAC Corp</v>
      </c>
      <c r="Y939" t="str">
        <f>_xlfn.IFNA(_xll.BDP(X939,"INTERVAL_SUM", "MARKET_DATA_OVERRIDE=px_volume", "CALC_INTERVAL=5D"), "")</f>
        <v>#N/A N/A</v>
      </c>
      <c r="Z939" t="str" cm="1">
        <f t="array" ref="Z939">_xll.BDP(B939, "CF_ACT_CASH_PAID_FOR_INT_DEBT")</f>
        <v>#N/A N/A</v>
      </c>
      <c r="AA939" t="str" cm="1">
        <f t="array" ref="AA939">_xll.BDP(B939, "TYPE_OF_BOND")</f>
        <v>#N/A Field Not Applicable</v>
      </c>
    </row>
    <row r="940" spans="1:27" x14ac:dyDescent="0.25">
      <c r="A940">
        <v>938</v>
      </c>
      <c r="B940" t="s">
        <v>1940</v>
      </c>
      <c r="C940" s="4" t="s">
        <v>1937</v>
      </c>
      <c r="D940" s="4">
        <v>130000000</v>
      </c>
      <c r="E940" s="1" t="s">
        <v>11</v>
      </c>
      <c r="F940" s="1">
        <v>47847</v>
      </c>
      <c r="G940">
        <v>6</v>
      </c>
      <c r="H940" t="s">
        <v>9</v>
      </c>
      <c r="I940" t="s">
        <v>2630</v>
      </c>
      <c r="L940" t="s">
        <v>1168</v>
      </c>
      <c r="M940" t="s">
        <v>10</v>
      </c>
      <c r="N940" t="s">
        <v>460</v>
      </c>
      <c r="O940" t="s">
        <v>2655</v>
      </c>
      <c r="P940" t="s">
        <v>2655</v>
      </c>
      <c r="Q940" t="s">
        <v>3139</v>
      </c>
      <c r="R940" t="s">
        <v>1941</v>
      </c>
      <c r="V940" t="s">
        <v>256</v>
      </c>
      <c r="W940" t="s">
        <v>1939</v>
      </c>
      <c r="X940" t="str">
        <f t="shared" si="14"/>
        <v>BL460248@TRAC Corp</v>
      </c>
      <c r="Y940" t="str">
        <f>_xlfn.IFNA(_xll.BDP(X940,"INTERVAL_SUM", "MARKET_DATA_OVERRIDE=px_volume", "CALC_INTERVAL=5D"), "")</f>
        <v>#N/A N/A</v>
      </c>
      <c r="Z940" t="str" cm="1">
        <f t="array" ref="Z940">_xll.BDP(B940, "CF_ACT_CASH_PAID_FOR_INT_DEBT")</f>
        <v>#N/A N/A</v>
      </c>
      <c r="AA940" t="str" cm="1">
        <f t="array" ref="AA940">_xll.BDP(B940, "TYPE_OF_BOND")</f>
        <v>#N/A Field Not Applicable</v>
      </c>
    </row>
    <row r="941" spans="1:27" x14ac:dyDescent="0.25">
      <c r="A941">
        <v>939</v>
      </c>
      <c r="B941" t="s">
        <v>1942</v>
      </c>
      <c r="C941" s="4" t="s">
        <v>1937</v>
      </c>
      <c r="D941" s="4">
        <v>80000000</v>
      </c>
      <c r="E941" s="1" t="s">
        <v>11</v>
      </c>
      <c r="F941" s="1">
        <v>46750</v>
      </c>
      <c r="G941">
        <v>6</v>
      </c>
      <c r="H941" t="s">
        <v>9</v>
      </c>
      <c r="I941" t="s">
        <v>2630</v>
      </c>
      <c r="L941" t="s">
        <v>1168</v>
      </c>
      <c r="M941" t="s">
        <v>10</v>
      </c>
      <c r="N941" t="s">
        <v>460</v>
      </c>
      <c r="O941" t="s">
        <v>2655</v>
      </c>
      <c r="P941" t="s">
        <v>2655</v>
      </c>
      <c r="Q941" t="s">
        <v>3139</v>
      </c>
      <c r="R941" t="s">
        <v>1943</v>
      </c>
      <c r="V941" t="s">
        <v>256</v>
      </c>
      <c r="W941" t="s">
        <v>1939</v>
      </c>
      <c r="X941" t="str">
        <f t="shared" si="14"/>
        <v>BL411041@TRAC Corp</v>
      </c>
      <c r="Y941" t="str">
        <f>_xlfn.IFNA(_xll.BDP(X941,"INTERVAL_SUM", "MARKET_DATA_OVERRIDE=px_volume", "CALC_INTERVAL=5D"), "")</f>
        <v>#N/A N/A</v>
      </c>
      <c r="Z941" t="str" cm="1">
        <f t="array" ref="Z941">_xll.BDP(B941, "CF_ACT_CASH_PAID_FOR_INT_DEBT")</f>
        <v>#N/A N/A</v>
      </c>
      <c r="AA941" t="str" cm="1">
        <f t="array" ref="AA941">_xll.BDP(B941, "TYPE_OF_BOND")</f>
        <v>#N/A Field Not Applicable</v>
      </c>
    </row>
    <row r="942" spans="1:27" x14ac:dyDescent="0.25">
      <c r="A942">
        <v>940</v>
      </c>
      <c r="B942" t="s">
        <v>1944</v>
      </c>
      <c r="C942" s="4" t="s">
        <v>1937</v>
      </c>
      <c r="D942" s="4">
        <v>1025000000</v>
      </c>
      <c r="E942" s="1" t="s">
        <v>11</v>
      </c>
      <c r="F942" s="1">
        <v>46750</v>
      </c>
      <c r="G942">
        <v>7.6578999999999997</v>
      </c>
      <c r="H942" t="s">
        <v>13</v>
      </c>
      <c r="I942" t="s">
        <v>2635</v>
      </c>
      <c r="J942">
        <v>375</v>
      </c>
      <c r="L942" t="s">
        <v>1168</v>
      </c>
      <c r="M942" t="s">
        <v>10</v>
      </c>
      <c r="N942" t="s">
        <v>460</v>
      </c>
      <c r="O942" t="s">
        <v>2655</v>
      </c>
      <c r="P942" t="s">
        <v>2655</v>
      </c>
      <c r="Q942" t="s">
        <v>3139</v>
      </c>
      <c r="R942" t="s">
        <v>1945</v>
      </c>
      <c r="S942">
        <v>3709323.5199066098</v>
      </c>
      <c r="T942">
        <v>4</v>
      </c>
      <c r="V942" t="s">
        <v>227</v>
      </c>
      <c r="W942" t="s">
        <v>1939</v>
      </c>
      <c r="X942" t="str">
        <f t="shared" si="14"/>
        <v>BL353837@TRAC Corp</v>
      </c>
      <c r="Y942" t="str">
        <f>_xlfn.IFNA(_xll.BDP(X942,"INTERVAL_SUM", "MARKET_DATA_OVERRIDE=px_volume", "CALC_INTERVAL=5D"), "")</f>
        <v>#N/A N/A</v>
      </c>
      <c r="Z942" t="str" cm="1">
        <f t="array" ref="Z942">_xll.BDP(B942, "CF_ACT_CASH_PAID_FOR_INT_DEBT")</f>
        <v>#N/A N/A</v>
      </c>
      <c r="AA942" t="str" cm="1">
        <f t="array" ref="AA942">_xll.BDP(B942, "TYPE_OF_BOND")</f>
        <v>#N/A Field Not Applicable</v>
      </c>
    </row>
    <row r="943" spans="1:27" x14ac:dyDescent="0.25">
      <c r="A943">
        <v>941</v>
      </c>
      <c r="B943" t="s">
        <v>1950</v>
      </c>
      <c r="C943" s="4" t="s">
        <v>1951</v>
      </c>
      <c r="D943" s="4">
        <v>6520000</v>
      </c>
      <c r="E943" t="s">
        <v>80</v>
      </c>
      <c r="F943" s="1">
        <v>47340</v>
      </c>
      <c r="G943">
        <v>8.2738999999999994</v>
      </c>
      <c r="H943" t="s">
        <v>13</v>
      </c>
      <c r="I943" t="s">
        <v>2631</v>
      </c>
      <c r="J943">
        <v>450</v>
      </c>
      <c r="L943" t="s">
        <v>1168</v>
      </c>
      <c r="M943" t="s">
        <v>10</v>
      </c>
      <c r="N943" t="s">
        <v>333</v>
      </c>
      <c r="O943" t="s">
        <v>3210</v>
      </c>
      <c r="P943" t="s">
        <v>2643</v>
      </c>
      <c r="Q943" t="s">
        <v>3224</v>
      </c>
      <c r="R943" t="s">
        <v>1952</v>
      </c>
      <c r="S943">
        <v>1696789.3316026099</v>
      </c>
      <c r="T943">
        <v>6</v>
      </c>
      <c r="V943" t="s">
        <v>256</v>
      </c>
      <c r="W943" t="s">
        <v>1953</v>
      </c>
      <c r="X943" t="str">
        <f t="shared" si="14"/>
        <v>BL500764@TRAC Corp</v>
      </c>
      <c r="Y943" t="str">
        <f>_xlfn.IFNA(_xll.BDP(X943,"INTERVAL_SUM", "MARKET_DATA_OVERRIDE=px_volume", "CALC_INTERVAL=5D"), "")</f>
        <v>#N/A N/A</v>
      </c>
      <c r="Z943" t="str" cm="1">
        <f t="array" ref="Z943">_xll.BDP(B943, "CF_ACT_CASH_PAID_FOR_INT_DEBT")</f>
        <v>#N/A N/A</v>
      </c>
      <c r="AA943" t="str" cm="1">
        <f t="array" ref="AA943">_xll.BDP(B943, "TYPE_OF_BOND")</f>
        <v>#N/A Field Not Applicable</v>
      </c>
    </row>
    <row r="944" spans="1:27" x14ac:dyDescent="0.25">
      <c r="A944">
        <v>942</v>
      </c>
      <c r="B944" t="s">
        <v>1954</v>
      </c>
      <c r="C944" s="4" t="s">
        <v>1951</v>
      </c>
      <c r="D944" s="4">
        <v>312000000</v>
      </c>
      <c r="E944" t="s">
        <v>80</v>
      </c>
      <c r="F944" s="1">
        <v>47120</v>
      </c>
      <c r="G944">
        <v>9.9906000000000006</v>
      </c>
      <c r="H944" t="s">
        <v>13</v>
      </c>
      <c r="I944" t="s">
        <v>2635</v>
      </c>
      <c r="J944">
        <v>625</v>
      </c>
      <c r="L944" t="s">
        <v>1168</v>
      </c>
      <c r="M944" t="s">
        <v>10</v>
      </c>
      <c r="N944" t="s">
        <v>333</v>
      </c>
      <c r="O944" t="s">
        <v>3210</v>
      </c>
      <c r="P944" t="s">
        <v>2643</v>
      </c>
      <c r="Q944" t="s">
        <v>3224</v>
      </c>
      <c r="R944" t="s">
        <v>1955</v>
      </c>
      <c r="V944" t="s">
        <v>227</v>
      </c>
      <c r="W944" t="s">
        <v>1953</v>
      </c>
      <c r="X944" t="str">
        <f t="shared" si="14"/>
        <v>BL481053@TRAC Corp</v>
      </c>
      <c r="Y944" t="str">
        <f>_xlfn.IFNA(_xll.BDP(X944,"INTERVAL_SUM", "MARKET_DATA_OVERRIDE=px_volume", "CALC_INTERVAL=5D"), "")</f>
        <v>#N/A N/A</v>
      </c>
      <c r="Z944" t="str" cm="1">
        <f t="array" ref="Z944">_xll.BDP(B944, "CF_ACT_CASH_PAID_FOR_INT_DEBT")</f>
        <v>#N/A N/A</v>
      </c>
      <c r="AA944" t="str" cm="1">
        <f t="array" ref="AA944">_xll.BDP(B944, "TYPE_OF_BOND")</f>
        <v>#N/A Field Not Applicable</v>
      </c>
    </row>
    <row r="945" spans="1:27" x14ac:dyDescent="0.25">
      <c r="A945">
        <v>943</v>
      </c>
      <c r="B945" t="s">
        <v>1956</v>
      </c>
      <c r="C945" s="4" t="s">
        <v>1951</v>
      </c>
      <c r="D945" s="4">
        <v>1024645608.0353</v>
      </c>
      <c r="E945" t="s">
        <v>80</v>
      </c>
      <c r="F945" s="1">
        <v>47340</v>
      </c>
      <c r="G945">
        <v>8.2738999999999994</v>
      </c>
      <c r="H945" t="s">
        <v>13</v>
      </c>
      <c r="I945" t="s">
        <v>2631</v>
      </c>
      <c r="J945">
        <v>450</v>
      </c>
      <c r="L945" t="s">
        <v>1168</v>
      </c>
      <c r="M945" t="s">
        <v>10</v>
      </c>
      <c r="N945" t="s">
        <v>333</v>
      </c>
      <c r="O945" t="s">
        <v>3210</v>
      </c>
      <c r="P945" t="s">
        <v>2643</v>
      </c>
      <c r="Q945" t="s">
        <v>3224</v>
      </c>
      <c r="R945" t="s">
        <v>1957</v>
      </c>
      <c r="S945">
        <v>3000000</v>
      </c>
      <c r="T945">
        <v>5</v>
      </c>
      <c r="V945" t="s">
        <v>256</v>
      </c>
      <c r="W945" t="s">
        <v>1953</v>
      </c>
      <c r="X945" t="str">
        <f t="shared" si="14"/>
        <v>BL481051@TRAC Corp</v>
      </c>
      <c r="Y945" t="str">
        <f>_xlfn.IFNA(_xll.BDP(X945,"INTERVAL_SUM", "MARKET_DATA_OVERRIDE=px_volume", "CALC_INTERVAL=5D"), "")</f>
        <v>#N/A N/A</v>
      </c>
      <c r="Z945" t="str" cm="1">
        <f t="array" ref="Z945">_xll.BDP(B945, "CF_ACT_CASH_PAID_FOR_INT_DEBT")</f>
        <v>#N/A N/A</v>
      </c>
      <c r="AA945" t="str" cm="1">
        <f t="array" ref="AA945">_xll.BDP(B945, "TYPE_OF_BOND")</f>
        <v>#N/A Field Not Applicable</v>
      </c>
    </row>
    <row r="946" spans="1:27" x14ac:dyDescent="0.25">
      <c r="A946">
        <v>944</v>
      </c>
      <c r="B946" t="s">
        <v>1958</v>
      </c>
      <c r="C946" s="4" t="s">
        <v>1951</v>
      </c>
      <c r="D946" s="4">
        <v>202490026</v>
      </c>
      <c r="E946" t="s">
        <v>80</v>
      </c>
      <c r="F946" s="1">
        <v>47120</v>
      </c>
      <c r="G946">
        <v>10.6594</v>
      </c>
      <c r="H946" t="s">
        <v>13</v>
      </c>
      <c r="I946" t="s">
        <v>2631</v>
      </c>
      <c r="J946">
        <v>700</v>
      </c>
      <c r="L946" t="s">
        <v>1168</v>
      </c>
      <c r="M946" t="s">
        <v>10</v>
      </c>
      <c r="N946" t="s">
        <v>333</v>
      </c>
      <c r="O946" t="s">
        <v>3210</v>
      </c>
      <c r="P946" t="s">
        <v>2643</v>
      </c>
      <c r="Q946" t="s">
        <v>3224</v>
      </c>
      <c r="R946" t="s">
        <v>1959</v>
      </c>
      <c r="S946">
        <v>2000000</v>
      </c>
      <c r="T946">
        <v>5</v>
      </c>
      <c r="V946" t="s">
        <v>256</v>
      </c>
      <c r="W946" t="s">
        <v>1953</v>
      </c>
      <c r="X946" t="str">
        <f t="shared" si="14"/>
        <v>BL481050@TRAC Corp</v>
      </c>
      <c r="Y946" t="str">
        <f>_xlfn.IFNA(_xll.BDP(X946,"INTERVAL_SUM", "MARKET_DATA_OVERRIDE=px_volume", "CALC_INTERVAL=5D"), "")</f>
        <v>#N/A N/A</v>
      </c>
      <c r="Z946" t="str" cm="1">
        <f t="array" ref="Z946">_xll.BDP(B946, "CF_ACT_CASH_PAID_FOR_INT_DEBT")</f>
        <v>#N/A N/A</v>
      </c>
      <c r="AA946" t="str" cm="1">
        <f t="array" ref="AA946">_xll.BDP(B946, "TYPE_OF_BOND")</f>
        <v>#N/A Field Not Applicable</v>
      </c>
    </row>
    <row r="947" spans="1:27" x14ac:dyDescent="0.25">
      <c r="A947">
        <v>945</v>
      </c>
      <c r="B947" t="s">
        <v>1960</v>
      </c>
      <c r="C947" s="4" t="s">
        <v>1951</v>
      </c>
      <c r="D947" s="4">
        <v>191610723.61215001</v>
      </c>
      <c r="E947" t="s">
        <v>80</v>
      </c>
      <c r="F947" s="1">
        <v>47340</v>
      </c>
      <c r="G947">
        <v>8.2738999999999994</v>
      </c>
      <c r="H947" t="s">
        <v>13</v>
      </c>
      <c r="I947" t="s">
        <v>2631</v>
      </c>
      <c r="J947">
        <v>450</v>
      </c>
      <c r="L947" t="s">
        <v>1168</v>
      </c>
      <c r="M947" t="s">
        <v>10</v>
      </c>
      <c r="N947" t="s">
        <v>333</v>
      </c>
      <c r="O947" t="s">
        <v>3210</v>
      </c>
      <c r="P947" t="s">
        <v>2643</v>
      </c>
      <c r="Q947" t="s">
        <v>3224</v>
      </c>
      <c r="R947" t="s">
        <v>1961</v>
      </c>
      <c r="S947">
        <v>3000000</v>
      </c>
      <c r="T947">
        <v>1</v>
      </c>
      <c r="V947" t="s">
        <v>256</v>
      </c>
      <c r="W947" t="s">
        <v>1953</v>
      </c>
      <c r="X947" t="str">
        <f t="shared" si="14"/>
        <v>BL481049@TRAC Corp</v>
      </c>
      <c r="Y947" t="str">
        <f>_xlfn.IFNA(_xll.BDP(X947,"INTERVAL_SUM", "MARKET_DATA_OVERRIDE=px_volume", "CALC_INTERVAL=5D"), "")</f>
        <v>#N/A N/A</v>
      </c>
      <c r="Z947" t="str" cm="1">
        <f t="array" ref="Z947">_xll.BDP(B947, "CF_ACT_CASH_PAID_FOR_INT_DEBT")</f>
        <v>#N/A N/A</v>
      </c>
      <c r="AA947" t="str" cm="1">
        <f t="array" ref="AA947">_xll.BDP(B947, "TYPE_OF_BOND")</f>
        <v>#N/A Field Not Applicable</v>
      </c>
    </row>
    <row r="948" spans="1:27" x14ac:dyDescent="0.25">
      <c r="A948">
        <v>946</v>
      </c>
      <c r="B948" t="s">
        <v>1962</v>
      </c>
      <c r="C948" s="4" t="s">
        <v>1951</v>
      </c>
      <c r="D948" s="4">
        <v>318527373.06</v>
      </c>
      <c r="E948" t="s">
        <v>80</v>
      </c>
      <c r="F948" s="1">
        <v>47340</v>
      </c>
      <c r="G948">
        <v>11.273899999999999</v>
      </c>
      <c r="H948" t="s">
        <v>13</v>
      </c>
      <c r="I948" t="s">
        <v>2631</v>
      </c>
      <c r="J948">
        <v>750</v>
      </c>
      <c r="L948" t="s">
        <v>1168</v>
      </c>
      <c r="M948" t="s">
        <v>10</v>
      </c>
      <c r="N948" t="s">
        <v>333</v>
      </c>
      <c r="O948" t="s">
        <v>3210</v>
      </c>
      <c r="P948" t="s">
        <v>2643</v>
      </c>
      <c r="Q948" t="s">
        <v>3224</v>
      </c>
      <c r="R948" t="s">
        <v>1963</v>
      </c>
      <c r="S948">
        <v>2000000</v>
      </c>
      <c r="T948">
        <v>1</v>
      </c>
      <c r="V948" t="s">
        <v>256</v>
      </c>
      <c r="W948" t="s">
        <v>1953</v>
      </c>
      <c r="X948" t="str">
        <f t="shared" si="14"/>
        <v>BL481047@TRAC Corp</v>
      </c>
      <c r="Y948" t="str">
        <f>_xlfn.IFNA(_xll.BDP(X948,"INTERVAL_SUM", "MARKET_DATA_OVERRIDE=px_volume", "CALC_INTERVAL=5D"), "")</f>
        <v>#N/A N/A</v>
      </c>
      <c r="Z948" t="str" cm="1">
        <f t="array" ref="Z948">_xll.BDP(B948, "CF_ACT_CASH_PAID_FOR_INT_DEBT")</f>
        <v>#N/A N/A</v>
      </c>
      <c r="AA948" t="str" cm="1">
        <f t="array" ref="AA948">_xll.BDP(B948, "TYPE_OF_BOND")</f>
        <v>#N/A Field Not Applicable</v>
      </c>
    </row>
    <row r="949" spans="1:27" x14ac:dyDescent="0.25">
      <c r="A949">
        <v>947</v>
      </c>
      <c r="B949" t="s">
        <v>1964</v>
      </c>
      <c r="C949" s="4" t="s">
        <v>1951</v>
      </c>
      <c r="D949" s="4">
        <v>10490000</v>
      </c>
      <c r="E949" t="s">
        <v>33</v>
      </c>
      <c r="F949" s="1">
        <v>47245</v>
      </c>
      <c r="G949">
        <v>11.252000000000001</v>
      </c>
      <c r="H949" t="s">
        <v>13</v>
      </c>
      <c r="I949" t="s">
        <v>2635</v>
      </c>
      <c r="J949">
        <v>750</v>
      </c>
      <c r="L949" t="s">
        <v>1168</v>
      </c>
      <c r="M949" t="s">
        <v>10</v>
      </c>
      <c r="N949" t="s">
        <v>333</v>
      </c>
      <c r="O949" t="s">
        <v>3210</v>
      </c>
      <c r="P949" t="s">
        <v>2643</v>
      </c>
      <c r="Q949" t="s">
        <v>3224</v>
      </c>
      <c r="R949" t="s">
        <v>1965</v>
      </c>
      <c r="S949">
        <v>3197943.5495269299</v>
      </c>
      <c r="T949">
        <v>1</v>
      </c>
      <c r="V949" t="s">
        <v>227</v>
      </c>
      <c r="W949" t="s">
        <v>1953</v>
      </c>
      <c r="X949" t="str">
        <f t="shared" si="14"/>
        <v>BL360879@TRAC Corp</v>
      </c>
      <c r="Y949" t="str">
        <f>_xlfn.IFNA(_xll.BDP(X949,"INTERVAL_SUM", "MARKET_DATA_OVERRIDE=px_volume", "CALC_INTERVAL=5D"), "")</f>
        <v>#N/A N/A</v>
      </c>
      <c r="Z949" t="str" cm="1">
        <f t="array" ref="Z949">_xll.BDP(B949, "CF_ACT_CASH_PAID_FOR_INT_DEBT")</f>
        <v>#N/A N/A</v>
      </c>
      <c r="AA949" t="str" cm="1">
        <f t="array" ref="AA949">_xll.BDP(B949, "TYPE_OF_BOND")</f>
        <v>#N/A Field Not Applicable</v>
      </c>
    </row>
    <row r="950" spans="1:27" x14ac:dyDescent="0.25">
      <c r="A950">
        <v>948</v>
      </c>
      <c r="B950" t="s">
        <v>1966</v>
      </c>
      <c r="C950" s="4" t="s">
        <v>1951</v>
      </c>
      <c r="D950" s="4">
        <v>7391937</v>
      </c>
      <c r="E950" t="s">
        <v>11</v>
      </c>
      <c r="F950" s="1">
        <v>46881</v>
      </c>
      <c r="G950">
        <v>8.1567000000000007</v>
      </c>
      <c r="H950" t="s">
        <v>13</v>
      </c>
      <c r="I950" t="s">
        <v>2635</v>
      </c>
      <c r="J950">
        <v>450</v>
      </c>
      <c r="L950" t="s">
        <v>1168</v>
      </c>
      <c r="M950" t="s">
        <v>10</v>
      </c>
      <c r="N950" t="s">
        <v>333</v>
      </c>
      <c r="O950" t="s">
        <v>3210</v>
      </c>
      <c r="P950" t="s">
        <v>2643</v>
      </c>
      <c r="Q950" t="s">
        <v>3224</v>
      </c>
      <c r="R950" t="s">
        <v>1967</v>
      </c>
      <c r="S950">
        <v>3771987.03863745</v>
      </c>
      <c r="T950">
        <v>3</v>
      </c>
      <c r="V950" t="s">
        <v>227</v>
      </c>
      <c r="W950" t="s">
        <v>1953</v>
      </c>
      <c r="X950" t="str">
        <f t="shared" si="14"/>
        <v>BL360877@TRAC Corp</v>
      </c>
      <c r="Y950" t="str">
        <f>_xlfn.IFNA(_xll.BDP(X950,"INTERVAL_SUM", "MARKET_DATA_OVERRIDE=px_volume", "CALC_INTERVAL=5D"), "")</f>
        <v>#N/A N/A</v>
      </c>
      <c r="Z950" t="str" cm="1">
        <f t="array" ref="Z950">_xll.BDP(B950, "CF_ACT_CASH_PAID_FOR_INT_DEBT")</f>
        <v>#N/A N/A</v>
      </c>
      <c r="AA950" t="str" cm="1">
        <f t="array" ref="AA950">_xll.BDP(B950, "TYPE_OF_BOND")</f>
        <v>#N/A Field Not Applicable</v>
      </c>
    </row>
    <row r="951" spans="1:27" x14ac:dyDescent="0.25">
      <c r="A951">
        <v>949</v>
      </c>
      <c r="B951" t="s">
        <v>1917</v>
      </c>
      <c r="C951" s="4" t="s">
        <v>1918</v>
      </c>
      <c r="D951" s="4">
        <v>473961180</v>
      </c>
      <c r="E951" t="s">
        <v>33</v>
      </c>
      <c r="F951" s="1">
        <v>48745</v>
      </c>
      <c r="G951">
        <v>9.75</v>
      </c>
      <c r="H951" t="s">
        <v>9</v>
      </c>
      <c r="L951" t="s">
        <v>1168</v>
      </c>
      <c r="M951" t="s">
        <v>10</v>
      </c>
      <c r="N951" t="s">
        <v>14</v>
      </c>
      <c r="O951" t="s">
        <v>3120</v>
      </c>
      <c r="P951" t="s">
        <v>2650</v>
      </c>
      <c r="Q951" t="s">
        <v>3147</v>
      </c>
      <c r="R951" t="s">
        <v>1919</v>
      </c>
      <c r="S951">
        <v>5522401.8554759398</v>
      </c>
      <c r="T951">
        <v>21</v>
      </c>
      <c r="U951" t="s">
        <v>1170</v>
      </c>
      <c r="W951" t="s">
        <v>1920</v>
      </c>
      <c r="X951" t="str">
        <f t="shared" si="14"/>
        <v>DL904663@TRAC Corp</v>
      </c>
      <c r="Y951">
        <f>_xlfn.IFNA(_xll.BDP(X951,"INTERVAL_SUM", "MARKET_DATA_OVERRIDE=px_volume", "CALC_INTERVAL=5D"), "")</f>
        <v>3867</v>
      </c>
      <c r="Z951" cm="1">
        <f t="array" ref="Z951">_xll.BDP(B951, "CF_ACT_CASH_PAID_FOR_INT_DEBT")</f>
        <v>134.71</v>
      </c>
      <c r="AA951" t="str" cm="1">
        <f t="array" ref="AA951">_xll.BDP(B951, "TYPE_OF_BOND")</f>
        <v>#N/A Field Not Applicable</v>
      </c>
    </row>
    <row r="952" spans="1:27" x14ac:dyDescent="0.25">
      <c r="A952">
        <v>950</v>
      </c>
      <c r="B952" t="s">
        <v>1921</v>
      </c>
      <c r="C952" s="4" t="s">
        <v>1918</v>
      </c>
      <c r="D952" s="4">
        <v>224009574</v>
      </c>
      <c r="E952" t="s">
        <v>33</v>
      </c>
      <c r="F952" s="1">
        <v>48745</v>
      </c>
      <c r="G952">
        <v>9.75</v>
      </c>
      <c r="H952" t="s">
        <v>9</v>
      </c>
      <c r="L952" t="s">
        <v>1168</v>
      </c>
      <c r="M952" t="s">
        <v>10</v>
      </c>
      <c r="N952" t="s">
        <v>14</v>
      </c>
      <c r="O952" t="s">
        <v>3120</v>
      </c>
      <c r="P952" t="s">
        <v>2650</v>
      </c>
      <c r="Q952" t="s">
        <v>3147</v>
      </c>
      <c r="R952" t="s">
        <v>1919</v>
      </c>
      <c r="S952">
        <v>5925433.6004559901</v>
      </c>
      <c r="T952">
        <v>17</v>
      </c>
      <c r="U952" t="s">
        <v>1169</v>
      </c>
      <c r="W952" t="s">
        <v>1920</v>
      </c>
      <c r="X952" t="str">
        <f t="shared" si="14"/>
        <v>DL904530@TRAC Corp</v>
      </c>
      <c r="Y952">
        <f>_xlfn.IFNA(_xll.BDP(X952,"INTERVAL_SUM", "MARKET_DATA_OVERRIDE=px_volume", "CALC_INTERVAL=5D"), "")</f>
        <v>878</v>
      </c>
      <c r="Z952" cm="1">
        <f t="array" ref="Z952">_xll.BDP(B952, "CF_ACT_CASH_PAID_FOR_INT_DEBT")</f>
        <v>134.71</v>
      </c>
      <c r="AA952" t="str" cm="1">
        <f t="array" ref="AA952">_xll.BDP(B952, "TYPE_OF_BOND")</f>
        <v>#N/A Field Not Applicable</v>
      </c>
    </row>
    <row r="953" spans="1:27" x14ac:dyDescent="0.25">
      <c r="A953">
        <v>951</v>
      </c>
      <c r="B953" t="s">
        <v>1922</v>
      </c>
      <c r="C953" s="4" t="s">
        <v>1918</v>
      </c>
      <c r="D953" s="4">
        <v>539249947</v>
      </c>
      <c r="E953" t="s">
        <v>11</v>
      </c>
      <c r="F953" s="1">
        <v>48380</v>
      </c>
      <c r="G953">
        <v>9</v>
      </c>
      <c r="H953" t="s">
        <v>9</v>
      </c>
      <c r="L953" t="s">
        <v>1168</v>
      </c>
      <c r="M953" t="s">
        <v>10</v>
      </c>
      <c r="N953" t="s">
        <v>14</v>
      </c>
      <c r="O953" t="s">
        <v>3120</v>
      </c>
      <c r="P953" t="s">
        <v>2650</v>
      </c>
      <c r="Q953" t="s">
        <v>3147</v>
      </c>
      <c r="R953" t="s">
        <v>1923</v>
      </c>
      <c r="S953">
        <v>5535212.4186048796</v>
      </c>
      <c r="T953">
        <v>35</v>
      </c>
      <c r="U953" t="s">
        <v>1169</v>
      </c>
      <c r="W953" t="s">
        <v>1920</v>
      </c>
      <c r="X953" t="str">
        <f t="shared" si="14"/>
        <v>DL871470@TRAC Corp</v>
      </c>
      <c r="Y953">
        <f>_xlfn.IFNA(_xll.BDP(X953,"INTERVAL_SUM", "MARKET_DATA_OVERRIDE=px_volume", "CALC_INTERVAL=5D"), "")</f>
        <v>1800</v>
      </c>
      <c r="Z953" cm="1">
        <f t="array" ref="Z953">_xll.BDP(B953, "CF_ACT_CASH_PAID_FOR_INT_DEBT")</f>
        <v>134.71</v>
      </c>
      <c r="AA953" t="str" cm="1">
        <f t="array" ref="AA953">_xll.BDP(B953, "TYPE_OF_BOND")</f>
        <v>#N/A Field Not Applicable</v>
      </c>
    </row>
    <row r="954" spans="1:27" x14ac:dyDescent="0.25">
      <c r="A954">
        <v>952</v>
      </c>
      <c r="B954" t="s">
        <v>1924</v>
      </c>
      <c r="C954" s="4" t="s">
        <v>1918</v>
      </c>
      <c r="D954" s="4">
        <v>4257000</v>
      </c>
      <c r="E954" t="s">
        <v>17</v>
      </c>
      <c r="F954" s="1">
        <v>47574</v>
      </c>
      <c r="G954">
        <v>6.625</v>
      </c>
      <c r="H954" t="s">
        <v>9</v>
      </c>
      <c r="L954" t="s">
        <v>1168</v>
      </c>
      <c r="M954" t="s">
        <v>10</v>
      </c>
      <c r="N954" t="s">
        <v>14</v>
      </c>
      <c r="O954" t="s">
        <v>3120</v>
      </c>
      <c r="P954" t="s">
        <v>2650</v>
      </c>
      <c r="Q954" t="s">
        <v>3147</v>
      </c>
      <c r="R954" t="s">
        <v>1925</v>
      </c>
      <c r="S954">
        <v>-9997</v>
      </c>
      <c r="U954" t="s">
        <v>1169</v>
      </c>
      <c r="W954" t="s">
        <v>1920</v>
      </c>
      <c r="X954" t="str">
        <f t="shared" si="14"/>
        <v>BV376172@TRAC Corp</v>
      </c>
      <c r="Y954" t="str">
        <f>_xlfn.IFNA(_xll.BDP(X954,"INTERVAL_SUM", "MARKET_DATA_OVERRIDE=px_volume", "CALC_INTERVAL=5D"), "")</f>
        <v>#N/A N/A</v>
      </c>
      <c r="Z954" cm="1">
        <f t="array" ref="Z954">_xll.BDP(B954, "CF_ACT_CASH_PAID_FOR_INT_DEBT")</f>
        <v>134.71</v>
      </c>
      <c r="AA954" t="str" cm="1">
        <f t="array" ref="AA954">_xll.BDP(B954, "TYPE_OF_BOND")</f>
        <v>#N/A Field Not Applicable</v>
      </c>
    </row>
    <row r="955" spans="1:27" x14ac:dyDescent="0.25">
      <c r="A955">
        <v>953</v>
      </c>
      <c r="B955" t="s">
        <v>1926</v>
      </c>
      <c r="C955" s="4" t="s">
        <v>1918</v>
      </c>
      <c r="D955" s="4">
        <v>363000</v>
      </c>
      <c r="E955" t="s">
        <v>17</v>
      </c>
      <c r="F955" s="1">
        <v>47208</v>
      </c>
      <c r="G955">
        <v>4.5</v>
      </c>
      <c r="H955" t="s">
        <v>9</v>
      </c>
      <c r="L955" t="s">
        <v>1168</v>
      </c>
      <c r="M955" t="s">
        <v>10</v>
      </c>
      <c r="N955" t="s">
        <v>14</v>
      </c>
      <c r="O955" t="s">
        <v>3120</v>
      </c>
      <c r="P955" t="s">
        <v>2650</v>
      </c>
      <c r="Q955" t="s">
        <v>3147</v>
      </c>
      <c r="R955" t="s">
        <v>1927</v>
      </c>
      <c r="S955">
        <v>-9997</v>
      </c>
      <c r="U955" t="s">
        <v>1169</v>
      </c>
      <c r="W955" t="s">
        <v>1920</v>
      </c>
      <c r="X955" t="str">
        <f t="shared" si="14"/>
        <v>BO363350@TRAC Corp</v>
      </c>
      <c r="Y955" t="str">
        <f>_xlfn.IFNA(_xll.BDP(X955,"INTERVAL_SUM", "MARKET_DATA_OVERRIDE=px_volume", "CALC_INTERVAL=5D"), "")</f>
        <v>#N/A N/A</v>
      </c>
      <c r="Z955" cm="1">
        <f t="array" ref="Z955">_xll.BDP(B955, "CF_ACT_CASH_PAID_FOR_INT_DEBT")</f>
        <v>134.71</v>
      </c>
      <c r="AA955" t="str" cm="1">
        <f t="array" ref="AA955">_xll.BDP(B955, "TYPE_OF_BOND")</f>
        <v>#N/A Field Not Applicable</v>
      </c>
    </row>
    <row r="956" spans="1:27" x14ac:dyDescent="0.25">
      <c r="A956">
        <v>954</v>
      </c>
      <c r="B956" t="s">
        <v>1928</v>
      </c>
      <c r="C956" s="4" t="s">
        <v>1918</v>
      </c>
      <c r="D956" s="4">
        <v>511000000</v>
      </c>
      <c r="E956" t="s">
        <v>11</v>
      </c>
      <c r="F956" s="1">
        <v>47206</v>
      </c>
      <c r="G956">
        <v>7.5026000000000002</v>
      </c>
      <c r="H956" t="s">
        <v>13</v>
      </c>
      <c r="I956" t="s">
        <v>2631</v>
      </c>
      <c r="J956">
        <v>375</v>
      </c>
      <c r="L956" t="s">
        <v>1168</v>
      </c>
      <c r="M956" t="s">
        <v>10</v>
      </c>
      <c r="N956" t="s">
        <v>14</v>
      </c>
      <c r="O956" t="s">
        <v>3120</v>
      </c>
      <c r="P956" t="s">
        <v>2650</v>
      </c>
      <c r="Q956" t="s">
        <v>3147</v>
      </c>
      <c r="R956" t="s">
        <v>1929</v>
      </c>
      <c r="S956">
        <v>3000000</v>
      </c>
      <c r="T956">
        <v>9</v>
      </c>
      <c r="V956" t="s">
        <v>227</v>
      </c>
      <c r="W956" t="s">
        <v>1920</v>
      </c>
      <c r="X956" t="str">
        <f t="shared" si="14"/>
        <v>BL387075@TRAC Corp</v>
      </c>
      <c r="Y956" t="str">
        <f>_xlfn.IFNA(_xll.BDP(X956,"INTERVAL_SUM", "MARKET_DATA_OVERRIDE=px_volume", "CALC_INTERVAL=5D"), "")</f>
        <v>#N/A N/A</v>
      </c>
      <c r="Z956" cm="1">
        <f t="array" ref="Z956">_xll.BDP(B956, "CF_ACT_CASH_PAID_FOR_INT_DEBT")</f>
        <v>134.71</v>
      </c>
      <c r="AA956" t="str" cm="1">
        <f t="array" ref="AA956">_xll.BDP(B956, "TYPE_OF_BOND")</f>
        <v>#N/A Field Not Applicable</v>
      </c>
    </row>
    <row r="957" spans="1:27" x14ac:dyDescent="0.25">
      <c r="A957">
        <v>955</v>
      </c>
      <c r="B957" t="s">
        <v>1930</v>
      </c>
      <c r="C957" s="4" t="s">
        <v>1918</v>
      </c>
      <c r="D957" s="4">
        <v>255000000</v>
      </c>
      <c r="E957" t="s">
        <v>11</v>
      </c>
      <c r="F957" s="1">
        <v>47514</v>
      </c>
      <c r="G957">
        <v>7.1439000000000004</v>
      </c>
      <c r="H957" t="s">
        <v>13</v>
      </c>
      <c r="I957" t="s">
        <v>2631</v>
      </c>
      <c r="J957">
        <v>350</v>
      </c>
      <c r="L957" t="s">
        <v>1168</v>
      </c>
      <c r="M957" t="s">
        <v>10</v>
      </c>
      <c r="N957" t="s">
        <v>14</v>
      </c>
      <c r="O957" t="s">
        <v>3120</v>
      </c>
      <c r="P957" t="s">
        <v>2650</v>
      </c>
      <c r="Q957" t="s">
        <v>3147</v>
      </c>
      <c r="R957" t="s">
        <v>1931</v>
      </c>
      <c r="V957" t="s">
        <v>226</v>
      </c>
      <c r="W957" t="s">
        <v>1920</v>
      </c>
      <c r="X957" t="str">
        <f t="shared" si="14"/>
        <v>BL357919@TRAC Corp</v>
      </c>
      <c r="Y957" t="str">
        <f>_xlfn.IFNA(_xll.BDP(X957,"INTERVAL_SUM", "MARKET_DATA_OVERRIDE=px_volume", "CALC_INTERVAL=5D"), "")</f>
        <v>#N/A N/A</v>
      </c>
      <c r="Z957" cm="1">
        <f t="array" ref="Z957">_xll.BDP(B957, "CF_ACT_CASH_PAID_FOR_INT_DEBT")</f>
        <v>134.71</v>
      </c>
      <c r="AA957" t="str" cm="1">
        <f t="array" ref="AA957">_xll.BDP(B957, "TYPE_OF_BOND")</f>
        <v>#N/A Field Not Applicable</v>
      </c>
    </row>
    <row r="958" spans="1:27" x14ac:dyDescent="0.25">
      <c r="A958">
        <v>956</v>
      </c>
      <c r="B958" t="s">
        <v>1291</v>
      </c>
      <c r="C958" s="4" t="s">
        <v>1292</v>
      </c>
      <c r="D958" s="4">
        <v>675000000</v>
      </c>
      <c r="E958" t="s">
        <v>17</v>
      </c>
      <c r="F958" s="1">
        <v>48030</v>
      </c>
      <c r="G958">
        <v>9.25</v>
      </c>
      <c r="H958" t="s">
        <v>9</v>
      </c>
      <c r="L958" t="s">
        <v>1168</v>
      </c>
      <c r="M958" t="s">
        <v>10</v>
      </c>
      <c r="N958" t="s">
        <v>537</v>
      </c>
      <c r="O958" t="s">
        <v>3165</v>
      </c>
      <c r="P958" t="s">
        <v>2664</v>
      </c>
      <c r="Q958" t="s">
        <v>3180</v>
      </c>
      <c r="R958" t="s">
        <v>1293</v>
      </c>
      <c r="S958">
        <v>11610152.419339299</v>
      </c>
      <c r="T958">
        <v>45</v>
      </c>
      <c r="U958" t="s">
        <v>1169</v>
      </c>
      <c r="W958" t="s">
        <v>1294</v>
      </c>
      <c r="X958" t="str">
        <f t="shared" si="14"/>
        <v>ZJ054417@TRAC Corp</v>
      </c>
      <c r="Y958">
        <f>_xlfn.IFNA(_xll.BDP(X958,"INTERVAL_SUM", "MARKET_DATA_OVERRIDE=px_volume", "CALC_INTERVAL=5D"), "")</f>
        <v>11922</v>
      </c>
      <c r="Z958" cm="1">
        <f t="array" ref="Z958">_xll.BDP(B958, "CF_ACT_CASH_PAID_FOR_INT_DEBT")</f>
        <v>97.944999999999993</v>
      </c>
      <c r="AA958" t="str" cm="1">
        <f t="array" ref="AA958">_xll.BDP(B958, "TYPE_OF_BOND")</f>
        <v>#N/A Field Not Applicable</v>
      </c>
    </row>
    <row r="959" spans="1:27" x14ac:dyDescent="0.25">
      <c r="A959">
        <v>957</v>
      </c>
      <c r="B959" t="s">
        <v>1295</v>
      </c>
      <c r="C959" s="4" t="s">
        <v>1292</v>
      </c>
      <c r="D959" s="4">
        <v>500000000</v>
      </c>
      <c r="E959" t="s">
        <v>17</v>
      </c>
      <c r="F959" s="1">
        <v>48775</v>
      </c>
      <c r="G959">
        <v>7.5</v>
      </c>
      <c r="H959" t="s">
        <v>9</v>
      </c>
      <c r="L959" t="s">
        <v>1168</v>
      </c>
      <c r="M959" t="s">
        <v>10</v>
      </c>
      <c r="N959" t="s">
        <v>537</v>
      </c>
      <c r="O959" t="s">
        <v>3165</v>
      </c>
      <c r="P959" t="s">
        <v>2664</v>
      </c>
      <c r="Q959" t="s">
        <v>3180</v>
      </c>
      <c r="R959" t="s">
        <v>1296</v>
      </c>
      <c r="S959">
        <v>10917325.4150654</v>
      </c>
      <c r="T959">
        <v>38</v>
      </c>
      <c r="U959" t="s">
        <v>1169</v>
      </c>
      <c r="W959" t="s">
        <v>1294</v>
      </c>
      <c r="X959" t="str">
        <f t="shared" si="14"/>
        <v>YM095755@TRAC Corp</v>
      </c>
      <c r="Y959">
        <f>_xlfn.IFNA(_xll.BDP(X959,"INTERVAL_SUM", "MARKET_DATA_OVERRIDE=px_volume", "CALC_INTERVAL=5D"), "")</f>
        <v>12537</v>
      </c>
      <c r="Z959" cm="1">
        <f t="array" ref="Z959">_xll.BDP(B959, "CF_ACT_CASH_PAID_FOR_INT_DEBT")</f>
        <v>97.944999999999993</v>
      </c>
      <c r="AA959" t="str" cm="1">
        <f t="array" ref="AA959">_xll.BDP(B959, "TYPE_OF_BOND")</f>
        <v>#N/A Field Not Applicable</v>
      </c>
    </row>
    <row r="960" spans="1:27" x14ac:dyDescent="0.25">
      <c r="A960">
        <v>958</v>
      </c>
      <c r="B960" t="s">
        <v>1297</v>
      </c>
      <c r="C960" s="4" t="s">
        <v>1292</v>
      </c>
      <c r="D960" s="4">
        <v>500000000</v>
      </c>
      <c r="E960" t="s">
        <v>17</v>
      </c>
      <c r="F960" s="1">
        <v>48959</v>
      </c>
      <c r="G960">
        <v>8.5</v>
      </c>
      <c r="H960" t="s">
        <v>9</v>
      </c>
      <c r="L960" t="s">
        <v>1168</v>
      </c>
      <c r="M960" t="s">
        <v>10</v>
      </c>
      <c r="N960" t="s">
        <v>537</v>
      </c>
      <c r="O960" t="s">
        <v>3165</v>
      </c>
      <c r="P960" t="s">
        <v>2664</v>
      </c>
      <c r="Q960" t="s">
        <v>3180</v>
      </c>
      <c r="R960" t="s">
        <v>1298</v>
      </c>
      <c r="S960">
        <v>10355417.4554013</v>
      </c>
      <c r="T960">
        <v>35</v>
      </c>
      <c r="U960" t="s">
        <v>1169</v>
      </c>
      <c r="W960" t="s">
        <v>1294</v>
      </c>
      <c r="X960" t="str">
        <f t="shared" si="14"/>
        <v>DC969041@TRAC Corp</v>
      </c>
      <c r="Y960">
        <f>_xlfn.IFNA(_xll.BDP(X960,"INTERVAL_SUM", "MARKET_DATA_OVERRIDE=px_volume", "CALC_INTERVAL=5D"), "")</f>
        <v>12022</v>
      </c>
      <c r="Z960" cm="1">
        <f t="array" ref="Z960">_xll.BDP(B960, "CF_ACT_CASH_PAID_FOR_INT_DEBT")</f>
        <v>97.944999999999993</v>
      </c>
      <c r="AA960" t="str" cm="1">
        <f t="array" ref="AA960">_xll.BDP(B960, "TYPE_OF_BOND")</f>
        <v>#N/A Field Not Applicable</v>
      </c>
    </row>
    <row r="961" spans="1:27" x14ac:dyDescent="0.25">
      <c r="A961">
        <v>959</v>
      </c>
      <c r="B961" t="s">
        <v>1299</v>
      </c>
      <c r="C961" s="4" t="s">
        <v>1292</v>
      </c>
      <c r="D961" s="4">
        <v>360000000</v>
      </c>
      <c r="E961" t="s">
        <v>17</v>
      </c>
      <c r="F961" s="1">
        <v>47588</v>
      </c>
      <c r="G961">
        <v>6.875</v>
      </c>
      <c r="H961" t="s">
        <v>9</v>
      </c>
      <c r="L961" t="s">
        <v>1168</v>
      </c>
      <c r="M961" t="s">
        <v>10</v>
      </c>
      <c r="N961" t="s">
        <v>537</v>
      </c>
      <c r="O961" t="s">
        <v>3165</v>
      </c>
      <c r="P961" t="s">
        <v>2664</v>
      </c>
      <c r="Q961" t="s">
        <v>3180</v>
      </c>
      <c r="R961" t="s">
        <v>1300</v>
      </c>
      <c r="S961">
        <v>4654477.7307276204</v>
      </c>
      <c r="T961">
        <v>39</v>
      </c>
      <c r="U961" t="s">
        <v>1169</v>
      </c>
      <c r="W961" t="s">
        <v>1294</v>
      </c>
      <c r="X961" t="str">
        <f t="shared" si="14"/>
        <v>BV723667@TRAC Corp</v>
      </c>
      <c r="Y961">
        <f>_xlfn.IFNA(_xll.BDP(X961,"INTERVAL_SUM", "MARKET_DATA_OVERRIDE=px_volume", "CALC_INTERVAL=5D"), "")</f>
        <v>2810</v>
      </c>
      <c r="Z961" cm="1">
        <f t="array" ref="Z961">_xll.BDP(B961, "CF_ACT_CASH_PAID_FOR_INT_DEBT")</f>
        <v>97.944999999999993</v>
      </c>
      <c r="AA961" t="str" cm="1">
        <f t="array" ref="AA961">_xll.BDP(B961, "TYPE_OF_BOND")</f>
        <v>#N/A Field Not Applicable</v>
      </c>
    </row>
    <row r="962" spans="1:27" x14ac:dyDescent="0.25">
      <c r="A962">
        <v>960</v>
      </c>
      <c r="B962" t="s">
        <v>1301</v>
      </c>
      <c r="C962" s="4" t="s">
        <v>1292</v>
      </c>
      <c r="D962" s="4">
        <v>400000000</v>
      </c>
      <c r="E962" t="s">
        <v>17</v>
      </c>
      <c r="F962" s="1">
        <v>46858</v>
      </c>
      <c r="G962">
        <v>6.25</v>
      </c>
      <c r="H962" t="s">
        <v>9</v>
      </c>
      <c r="L962" t="s">
        <v>1168</v>
      </c>
      <c r="M962" t="s">
        <v>10</v>
      </c>
      <c r="N962" t="s">
        <v>537</v>
      </c>
      <c r="O962" t="s">
        <v>3165</v>
      </c>
      <c r="P962" t="s">
        <v>2664</v>
      </c>
      <c r="Q962" t="s">
        <v>3180</v>
      </c>
      <c r="R962" t="s">
        <v>1302</v>
      </c>
      <c r="S962">
        <v>11002450.280654499</v>
      </c>
      <c r="T962">
        <v>49</v>
      </c>
      <c r="U962" t="s">
        <v>1169</v>
      </c>
      <c r="W962" t="s">
        <v>1294</v>
      </c>
      <c r="X962" t="str">
        <f t="shared" si="14"/>
        <v>BO773061@TRAC Corp</v>
      </c>
      <c r="Y962">
        <f>_xlfn.IFNA(_xll.BDP(X962,"INTERVAL_SUM", "MARKET_DATA_OVERRIDE=px_volume", "CALC_INTERVAL=5D"), "")</f>
        <v>7476</v>
      </c>
      <c r="Z962" cm="1">
        <f t="array" ref="Z962">_xll.BDP(B962, "CF_ACT_CASH_PAID_FOR_INT_DEBT")</f>
        <v>97.944999999999993</v>
      </c>
      <c r="AA962" t="str" cm="1">
        <f t="array" ref="AA962">_xll.BDP(B962, "TYPE_OF_BOND")</f>
        <v>#N/A Field Not Applicable</v>
      </c>
    </row>
    <row r="963" spans="1:27" x14ac:dyDescent="0.25">
      <c r="A963">
        <v>961</v>
      </c>
      <c r="B963" t="s">
        <v>3769</v>
      </c>
      <c r="C963" s="4" t="s">
        <v>3770</v>
      </c>
      <c r="D963" s="4">
        <v>999000000</v>
      </c>
      <c r="E963" t="s">
        <v>17</v>
      </c>
      <c r="F963" s="1">
        <v>46935</v>
      </c>
      <c r="G963">
        <v>7.375</v>
      </c>
      <c r="H963" t="s">
        <v>34</v>
      </c>
      <c r="L963" t="s">
        <v>1168</v>
      </c>
      <c r="M963" t="s">
        <v>10</v>
      </c>
      <c r="N963" t="s">
        <v>16</v>
      </c>
      <c r="O963" t="s">
        <v>3106</v>
      </c>
      <c r="P963" t="s">
        <v>2629</v>
      </c>
      <c r="Q963" t="s">
        <v>3107</v>
      </c>
      <c r="R963" t="s">
        <v>3771</v>
      </c>
      <c r="S963">
        <v>13307324.8090492</v>
      </c>
      <c r="T963">
        <v>41</v>
      </c>
      <c r="W963" t="s">
        <v>3772</v>
      </c>
      <c r="X963" t="str">
        <f t="shared" ref="X963:X1026" si="15">SUBSTITUTE(B963," Corp","@TRAC Corp")</f>
        <v>ZO253424@TRAC Corp</v>
      </c>
      <c r="Y963">
        <f>_xlfn.IFNA(_xll.BDP(X963,"INTERVAL_SUM", "MARKET_DATA_OVERRIDE=px_volume", "CALC_INTERVAL=5D"), "")</f>
        <v>5038</v>
      </c>
      <c r="Z963" cm="1">
        <f t="array" ref="Z963">_xll.BDP(B963, "CF_ACT_CASH_PAID_FOR_INT_DEBT")</f>
        <v>774.34799999999996</v>
      </c>
      <c r="AA963" t="str" cm="1">
        <f t="array" ref="AA963">_xll.BDP(B963, "TYPE_OF_BOND")</f>
        <v>#N/A Field Not Applicable</v>
      </c>
    </row>
    <row r="964" spans="1:27" x14ac:dyDescent="0.25">
      <c r="A964">
        <v>962</v>
      </c>
      <c r="B964" t="s">
        <v>3773</v>
      </c>
      <c r="C964" s="4" t="s">
        <v>3770</v>
      </c>
      <c r="D964" s="4">
        <v>3500000000</v>
      </c>
      <c r="E964" t="s">
        <v>11</v>
      </c>
      <c r="F964" s="1">
        <v>46706</v>
      </c>
      <c r="G964">
        <v>11.75</v>
      </c>
      <c r="H964" t="s">
        <v>9</v>
      </c>
      <c r="L964" t="s">
        <v>1168</v>
      </c>
      <c r="M964" t="s">
        <v>10</v>
      </c>
      <c r="N964" t="s">
        <v>16</v>
      </c>
      <c r="O964" t="s">
        <v>3106</v>
      </c>
      <c r="P964" t="s">
        <v>2629</v>
      </c>
      <c r="Q964" t="s">
        <v>3107</v>
      </c>
      <c r="R964" t="s">
        <v>3774</v>
      </c>
      <c r="S964">
        <v>43178661.794090703</v>
      </c>
      <c r="T964">
        <v>70</v>
      </c>
      <c r="U964" t="s">
        <v>1169</v>
      </c>
      <c r="W964" t="s">
        <v>3772</v>
      </c>
      <c r="X964" t="str">
        <f t="shared" si="15"/>
        <v>ZN138286@TRAC Corp</v>
      </c>
      <c r="Y964">
        <f>_xlfn.IFNA(_xll.BDP(X964,"INTERVAL_SUM", "MARKET_DATA_OVERRIDE=px_volume", "CALC_INTERVAL=5D"), "")</f>
        <v>8193</v>
      </c>
      <c r="Z964" cm="1">
        <f t="array" ref="Z964">_xll.BDP(B964, "CF_ACT_CASH_PAID_FOR_INT_DEBT")</f>
        <v>2286.9850000000001</v>
      </c>
      <c r="AA964" t="str" cm="1">
        <f t="array" ref="AA964">_xll.BDP(B964, "TYPE_OF_BOND")</f>
        <v>#N/A Field Not Applicable</v>
      </c>
    </row>
    <row r="965" spans="1:27" x14ac:dyDescent="0.25">
      <c r="A965">
        <v>963</v>
      </c>
      <c r="B965" t="s">
        <v>3775</v>
      </c>
      <c r="C965" s="4" t="s">
        <v>3770</v>
      </c>
      <c r="D965" s="4">
        <v>5355999854</v>
      </c>
      <c r="E965" t="s">
        <v>11</v>
      </c>
      <c r="F965" s="1">
        <v>47452</v>
      </c>
      <c r="G965">
        <v>10.75</v>
      </c>
      <c r="H965" t="s">
        <v>9</v>
      </c>
      <c r="L965" t="s">
        <v>1168</v>
      </c>
      <c r="M965" t="s">
        <v>10</v>
      </c>
      <c r="N965" t="s">
        <v>16</v>
      </c>
      <c r="O965" t="s">
        <v>3106</v>
      </c>
      <c r="P965" t="s">
        <v>2629</v>
      </c>
      <c r="Q965" t="s">
        <v>3107</v>
      </c>
      <c r="R965" t="s">
        <v>3776</v>
      </c>
      <c r="S965">
        <v>55255296.294690304</v>
      </c>
      <c r="T965">
        <v>89</v>
      </c>
      <c r="U965" t="s">
        <v>1968</v>
      </c>
      <c r="W965" t="s">
        <v>3772</v>
      </c>
      <c r="X965" t="str">
        <f t="shared" si="15"/>
        <v>YT184153@TRAC Corp</v>
      </c>
      <c r="Y965">
        <f>_xlfn.IFNA(_xll.BDP(X965,"INTERVAL_SUM", "MARKET_DATA_OVERRIDE=px_volume", "CALC_INTERVAL=5D"), "")</f>
        <v>10798</v>
      </c>
      <c r="Z965" cm="1">
        <f t="array" ref="Z965">_xll.BDP(B965, "CF_ACT_CASH_PAID_FOR_INT_DEBT")</f>
        <v>2087.1329999999998</v>
      </c>
      <c r="AA965" t="str" cm="1">
        <f t="array" ref="AA965">_xll.BDP(B965, "TYPE_OF_BOND")</f>
        <v>#N/A Field Not Applicable</v>
      </c>
    </row>
    <row r="966" spans="1:27" x14ac:dyDescent="0.25">
      <c r="A966">
        <v>964</v>
      </c>
      <c r="B966" t="s">
        <v>3777</v>
      </c>
      <c r="C966" s="4" t="s">
        <v>3770</v>
      </c>
      <c r="D966" s="4">
        <v>1946855971.2809999</v>
      </c>
      <c r="E966" t="s">
        <v>12</v>
      </c>
      <c r="F966" s="1">
        <v>47817</v>
      </c>
      <c r="G966">
        <v>3.875</v>
      </c>
      <c r="H966" t="s">
        <v>64</v>
      </c>
      <c r="L966" t="s">
        <v>1168</v>
      </c>
      <c r="M966" t="s">
        <v>10</v>
      </c>
      <c r="N966" t="s">
        <v>16</v>
      </c>
      <c r="O966" t="s">
        <v>3106</v>
      </c>
      <c r="P966" t="s">
        <v>2629</v>
      </c>
      <c r="Q966" t="s">
        <v>3107</v>
      </c>
      <c r="R966" t="s">
        <v>3778</v>
      </c>
      <c r="S966">
        <v>1604071.5280756601</v>
      </c>
      <c r="T966">
        <v>90</v>
      </c>
      <c r="W966" t="s">
        <v>3772</v>
      </c>
      <c r="X966" t="str">
        <f t="shared" si="15"/>
        <v>YT134692@TRAC Corp</v>
      </c>
      <c r="Y966">
        <f>_xlfn.IFNA(_xll.BDP(X966,"INTERVAL_SUM", "MARKET_DATA_OVERRIDE=px_volume", "CALC_INTERVAL=5D"), "")</f>
        <v>25591</v>
      </c>
      <c r="Z966" cm="1">
        <f t="array" ref="Z966">_xll.BDP(B966, "CF_ACT_CASH_PAID_FOR_INT_DEBT")</f>
        <v>2087.1329999999998</v>
      </c>
      <c r="AA966" t="str" cm="1">
        <f t="array" ref="AA966">_xll.BDP(B966, "TYPE_OF_BOND")</f>
        <v>Toggle</v>
      </c>
    </row>
    <row r="967" spans="1:27" x14ac:dyDescent="0.25">
      <c r="A967">
        <v>965</v>
      </c>
      <c r="B967" t="s">
        <v>3779</v>
      </c>
      <c r="C967" s="4" t="s">
        <v>3770</v>
      </c>
      <c r="D967" s="4">
        <v>2372670497.2690001</v>
      </c>
      <c r="E967" t="s">
        <v>11</v>
      </c>
      <c r="F967" s="1">
        <v>47817</v>
      </c>
      <c r="G967">
        <v>6.75</v>
      </c>
      <c r="H967" t="s">
        <v>64</v>
      </c>
      <c r="L967" t="s">
        <v>1168</v>
      </c>
      <c r="M967" t="s">
        <v>10</v>
      </c>
      <c r="N967" t="s">
        <v>16</v>
      </c>
      <c r="O967" t="s">
        <v>3106</v>
      </c>
      <c r="P967" t="s">
        <v>2629</v>
      </c>
      <c r="Q967" t="s">
        <v>3107</v>
      </c>
      <c r="R967" t="s">
        <v>3780</v>
      </c>
      <c r="S967">
        <v>17803642.689874399</v>
      </c>
      <c r="T967">
        <v>62</v>
      </c>
      <c r="W967" t="s">
        <v>3772</v>
      </c>
      <c r="X967" t="str">
        <f t="shared" si="15"/>
        <v>YT123670@TRAC Corp</v>
      </c>
      <c r="Y967">
        <f>_xlfn.IFNA(_xll.BDP(X967,"INTERVAL_SUM", "MARKET_DATA_OVERRIDE=px_volume", "CALC_INTERVAL=5D"), "")</f>
        <v>4588</v>
      </c>
      <c r="Z967" cm="1">
        <f t="array" ref="Z967">_xll.BDP(B967, "CF_ACT_CASH_PAID_FOR_INT_DEBT")</f>
        <v>2087.1329999999998</v>
      </c>
      <c r="AA967" t="str" cm="1">
        <f t="array" ref="AA967">_xll.BDP(B967, "TYPE_OF_BOND")</f>
        <v>Toggle</v>
      </c>
    </row>
    <row r="968" spans="1:27" x14ac:dyDescent="0.25">
      <c r="A968">
        <v>966</v>
      </c>
      <c r="B968" t="s">
        <v>3781</v>
      </c>
      <c r="C968" s="4" t="s">
        <v>3770</v>
      </c>
      <c r="D968" s="4">
        <v>1999830000</v>
      </c>
      <c r="E968" t="s">
        <v>17</v>
      </c>
      <c r="F968" s="1"/>
      <c r="G968">
        <v>7.75</v>
      </c>
      <c r="H968" t="s">
        <v>34</v>
      </c>
      <c r="L968" t="s">
        <v>1168</v>
      </c>
      <c r="M968" t="s">
        <v>10</v>
      </c>
      <c r="N968" t="s">
        <v>16</v>
      </c>
      <c r="O968" t="s">
        <v>3106</v>
      </c>
      <c r="P968" t="s">
        <v>2629</v>
      </c>
      <c r="Q968" t="s">
        <v>3107</v>
      </c>
      <c r="R968" t="s">
        <v>3782</v>
      </c>
      <c r="S968">
        <v>20766422.925700899</v>
      </c>
      <c r="T968">
        <v>26</v>
      </c>
      <c r="W968" t="s">
        <v>3772</v>
      </c>
      <c r="X968" t="str">
        <f t="shared" si="15"/>
        <v>QZ429974@TRAC Corp</v>
      </c>
      <c r="Y968">
        <f>_xlfn.IFNA(_xll.BDP(X968,"INTERVAL_SUM", "MARKET_DATA_OVERRIDE=px_volume", "CALC_INTERVAL=5D"), "")</f>
        <v>10173</v>
      </c>
      <c r="Z968" cm="1">
        <f t="array" ref="Z968">_xll.BDP(B968, "CF_ACT_CASH_PAID_FOR_INT_DEBT")</f>
        <v>774.34799999999996</v>
      </c>
      <c r="AA968" t="str" cm="1">
        <f t="array" ref="AA968">_xll.BDP(B968, "TYPE_OF_BOND")</f>
        <v>#N/A Field Not Applicable</v>
      </c>
    </row>
    <row r="969" spans="1:27" x14ac:dyDescent="0.25">
      <c r="A969">
        <v>967</v>
      </c>
      <c r="B969" t="s">
        <v>3783</v>
      </c>
      <c r="C969" s="4" t="s">
        <v>3770</v>
      </c>
      <c r="D969" s="4">
        <v>45209000</v>
      </c>
      <c r="E969" t="s">
        <v>17</v>
      </c>
      <c r="F969" s="1">
        <v>46249</v>
      </c>
      <c r="G969">
        <v>3.375</v>
      </c>
      <c r="H969" t="s">
        <v>9</v>
      </c>
      <c r="L969" t="s">
        <v>1168</v>
      </c>
      <c r="M969" t="s">
        <v>10</v>
      </c>
      <c r="N969" t="s">
        <v>16</v>
      </c>
      <c r="O969" t="s">
        <v>3106</v>
      </c>
      <c r="P969" t="s">
        <v>2629</v>
      </c>
      <c r="Q969" t="s">
        <v>3107</v>
      </c>
      <c r="R969" t="s">
        <v>3784</v>
      </c>
      <c r="S969">
        <v>3424433.0663720001</v>
      </c>
      <c r="T969">
        <v>7</v>
      </c>
      <c r="W969" t="s">
        <v>3772</v>
      </c>
      <c r="X969" t="str">
        <f t="shared" si="15"/>
        <v>QZ123790@TRAC Corp</v>
      </c>
      <c r="Y969">
        <f>_xlfn.IFNA(_xll.BDP(X969,"INTERVAL_SUM", "MARKET_DATA_OVERRIDE=px_volume", "CALC_INTERVAL=5D"), "")</f>
        <v>1923</v>
      </c>
      <c r="Z969" cm="1">
        <f t="array" ref="Z969">_xll.BDP(B969, "CF_ACT_CASH_PAID_FOR_INT_DEBT")</f>
        <v>2286.9850000000001</v>
      </c>
      <c r="AA969" t="str" cm="1">
        <f t="array" ref="AA969">_xll.BDP(B969, "TYPE_OF_BOND")</f>
        <v>Convertible</v>
      </c>
    </row>
    <row r="970" spans="1:27" x14ac:dyDescent="0.25">
      <c r="A970">
        <v>968</v>
      </c>
      <c r="B970" t="s">
        <v>3785</v>
      </c>
      <c r="C970" s="4" t="s">
        <v>3770</v>
      </c>
      <c r="D970" s="4">
        <v>1067000</v>
      </c>
      <c r="E970" t="s">
        <v>17</v>
      </c>
      <c r="F970" s="1">
        <v>46235</v>
      </c>
      <c r="G970">
        <v>6.625</v>
      </c>
      <c r="H970" t="s">
        <v>9</v>
      </c>
      <c r="L970" t="s">
        <v>1168</v>
      </c>
      <c r="M970" t="s">
        <v>10</v>
      </c>
      <c r="N970" t="s">
        <v>16</v>
      </c>
      <c r="O970" t="s">
        <v>3157</v>
      </c>
      <c r="P970" t="s">
        <v>2644</v>
      </c>
      <c r="Q970" t="s">
        <v>3209</v>
      </c>
      <c r="R970" t="s">
        <v>3786</v>
      </c>
      <c r="S970">
        <v>-9997</v>
      </c>
      <c r="U970" t="s">
        <v>1170</v>
      </c>
      <c r="W970" t="s">
        <v>3772</v>
      </c>
      <c r="X970" t="str">
        <f t="shared" si="15"/>
        <v>LW952636@TRAC Corp</v>
      </c>
      <c r="Y970" t="str">
        <f>_xlfn.IFNA(_xll.BDP(X970,"INTERVAL_SUM", "MARKET_DATA_OVERRIDE=px_volume", "CALC_INTERVAL=5D"), "")</f>
        <v>#N/A N/A</v>
      </c>
      <c r="Z970" cm="1">
        <f t="array" ref="Z970">_xll.BDP(B970, "CF_ACT_CASH_PAID_FOR_INT_DEBT")</f>
        <v>96.230999999999995</v>
      </c>
      <c r="AA970" t="str" cm="1">
        <f t="array" ref="AA970">_xll.BDP(B970, "TYPE_OF_BOND")</f>
        <v>#N/A Field Not Applicable</v>
      </c>
    </row>
    <row r="971" spans="1:27" x14ac:dyDescent="0.25">
      <c r="A971">
        <v>969</v>
      </c>
      <c r="B971" t="s">
        <v>3787</v>
      </c>
      <c r="C971" s="4" t="s">
        <v>3770</v>
      </c>
      <c r="D971" s="4">
        <v>2002000</v>
      </c>
      <c r="E971" t="s">
        <v>11</v>
      </c>
      <c r="F971" s="1">
        <v>46235</v>
      </c>
      <c r="G971">
        <v>5.25</v>
      </c>
      <c r="H971" t="s">
        <v>9</v>
      </c>
      <c r="L971" t="s">
        <v>1168</v>
      </c>
      <c r="M971" t="s">
        <v>10</v>
      </c>
      <c r="N971" t="s">
        <v>16</v>
      </c>
      <c r="O971" t="s">
        <v>3157</v>
      </c>
      <c r="P971" t="s">
        <v>2644</v>
      </c>
      <c r="Q971" t="s">
        <v>3209</v>
      </c>
      <c r="R971" t="s">
        <v>3788</v>
      </c>
      <c r="S971">
        <v>-9997</v>
      </c>
      <c r="U971" t="s">
        <v>1169</v>
      </c>
      <c r="W971" t="s">
        <v>3772</v>
      </c>
      <c r="X971" t="str">
        <f t="shared" si="15"/>
        <v>LW952624@TRAC Corp</v>
      </c>
      <c r="Y971" t="str">
        <f>_xlfn.IFNA(_xll.BDP(X971,"INTERVAL_SUM", "MARKET_DATA_OVERRIDE=px_volume", "CALC_INTERVAL=5D"), "")</f>
        <v>#N/A N/A</v>
      </c>
      <c r="Z971" cm="1">
        <f t="array" ref="Z971">_xll.BDP(B971, "CF_ACT_CASH_PAID_FOR_INT_DEBT")</f>
        <v>96.230999999999995</v>
      </c>
      <c r="AA971" t="str" cm="1">
        <f t="array" ref="AA971">_xll.BDP(B971, "TYPE_OF_BOND")</f>
        <v>#N/A Field Not Applicable</v>
      </c>
    </row>
    <row r="972" spans="1:27" x14ac:dyDescent="0.25">
      <c r="A972">
        <v>970</v>
      </c>
      <c r="B972" t="s">
        <v>3789</v>
      </c>
      <c r="C972" s="4" t="s">
        <v>3770</v>
      </c>
      <c r="D972" s="4">
        <v>170000</v>
      </c>
      <c r="E972" t="s">
        <v>17</v>
      </c>
      <c r="F972" s="1"/>
      <c r="G972">
        <v>7.75</v>
      </c>
      <c r="H972" t="s">
        <v>34</v>
      </c>
      <c r="L972" t="s">
        <v>1168</v>
      </c>
      <c r="M972" t="s">
        <v>10</v>
      </c>
      <c r="N972" t="s">
        <v>16</v>
      </c>
      <c r="O972" t="s">
        <v>3106</v>
      </c>
      <c r="P972" t="s">
        <v>2629</v>
      </c>
      <c r="Q972" t="s">
        <v>3107</v>
      </c>
      <c r="R972" t="s">
        <v>3782</v>
      </c>
      <c r="S972">
        <v>2486.1782946164599</v>
      </c>
      <c r="T972">
        <v>1</v>
      </c>
      <c r="U972" t="s">
        <v>1169</v>
      </c>
      <c r="W972" t="s">
        <v>3772</v>
      </c>
      <c r="X972" t="str">
        <f t="shared" si="15"/>
        <v>LW378927@TRAC Corp</v>
      </c>
      <c r="Y972" t="str">
        <f>_xlfn.IFNA(_xll.BDP(X972,"INTERVAL_SUM", "MARKET_DATA_OVERRIDE=px_volume", "CALC_INTERVAL=5D"), "")</f>
        <v>#N/A N/A</v>
      </c>
      <c r="Z972" cm="1">
        <f t="array" ref="Z972">_xll.BDP(B972, "CF_ACT_CASH_PAID_FOR_INT_DEBT")</f>
        <v>774.34799999999996</v>
      </c>
      <c r="AA972" t="str" cm="1">
        <f t="array" ref="AA972">_xll.BDP(B972, "TYPE_OF_BOND")</f>
        <v>#N/A Field Not Applicable</v>
      </c>
    </row>
    <row r="973" spans="1:27" x14ac:dyDescent="0.25">
      <c r="A973">
        <v>971</v>
      </c>
      <c r="B973" t="s">
        <v>3790</v>
      </c>
      <c r="C973" s="4" t="s">
        <v>3770</v>
      </c>
      <c r="D973" s="4">
        <v>2500000000</v>
      </c>
      <c r="E973" t="s">
        <v>11</v>
      </c>
      <c r="F973" s="1">
        <v>47088</v>
      </c>
      <c r="G973">
        <v>5.75</v>
      </c>
      <c r="H973" t="s">
        <v>34</v>
      </c>
      <c r="L973" t="s">
        <v>1168</v>
      </c>
      <c r="M973" t="s">
        <v>10</v>
      </c>
      <c r="N973" t="s">
        <v>16</v>
      </c>
      <c r="O973" t="s">
        <v>3106</v>
      </c>
      <c r="P973" t="s">
        <v>2629</v>
      </c>
      <c r="Q973" t="s">
        <v>3107</v>
      </c>
      <c r="R973" t="s">
        <v>3791</v>
      </c>
      <c r="S973">
        <v>20951066.823387399</v>
      </c>
      <c r="T973">
        <v>41</v>
      </c>
      <c r="U973" t="s">
        <v>1169</v>
      </c>
      <c r="W973" t="s">
        <v>3772</v>
      </c>
      <c r="X973" t="str">
        <f t="shared" si="15"/>
        <v>BS363560@TRAC Corp</v>
      </c>
      <c r="Y973">
        <f>_xlfn.IFNA(_xll.BDP(X973,"INTERVAL_SUM", "MARKET_DATA_OVERRIDE=px_volume", "CALC_INTERVAL=5D"), "")</f>
        <v>7178</v>
      </c>
      <c r="Z973" cm="1">
        <f t="array" ref="Z973">_xll.BDP(B973, "CF_ACT_CASH_PAID_FOR_INT_DEBT")</f>
        <v>774.34799999999996</v>
      </c>
      <c r="AA973" t="str" cm="1">
        <f t="array" ref="AA973">_xll.BDP(B973, "TYPE_OF_BOND")</f>
        <v>#N/A Field Not Applicable</v>
      </c>
    </row>
    <row r="974" spans="1:27" x14ac:dyDescent="0.25">
      <c r="A974">
        <v>972</v>
      </c>
      <c r="B974" t="s">
        <v>3792</v>
      </c>
      <c r="C974" s="4" t="s">
        <v>3770</v>
      </c>
      <c r="D974" s="4">
        <v>2750000000</v>
      </c>
      <c r="E974" t="s">
        <v>11</v>
      </c>
      <c r="F974" s="1">
        <v>46357</v>
      </c>
      <c r="G974">
        <v>5.25</v>
      </c>
      <c r="H974" t="s">
        <v>34</v>
      </c>
      <c r="L974" t="s">
        <v>1168</v>
      </c>
      <c r="M974" t="s">
        <v>10</v>
      </c>
      <c r="N974" t="s">
        <v>16</v>
      </c>
      <c r="O974" t="s">
        <v>3106</v>
      </c>
      <c r="P974" t="s">
        <v>2629</v>
      </c>
      <c r="Q974" t="s">
        <v>3107</v>
      </c>
      <c r="R974" t="s">
        <v>3793</v>
      </c>
      <c r="S974">
        <v>31046942.8178281</v>
      </c>
      <c r="T974">
        <v>49</v>
      </c>
      <c r="U974" t="s">
        <v>1169</v>
      </c>
      <c r="W974" t="s">
        <v>3772</v>
      </c>
      <c r="X974" t="str">
        <f t="shared" si="15"/>
        <v>BS363543@TRAC Corp</v>
      </c>
      <c r="Y974">
        <f>_xlfn.IFNA(_xll.BDP(X974,"INTERVAL_SUM", "MARKET_DATA_OVERRIDE=px_volume", "CALC_INTERVAL=5D"), "")</f>
        <v>2329</v>
      </c>
      <c r="Z974" cm="1">
        <f t="array" ref="Z974">_xll.BDP(B974, "CF_ACT_CASH_PAID_FOR_INT_DEBT")</f>
        <v>774.34799999999996</v>
      </c>
      <c r="AA974" t="str" cm="1">
        <f t="array" ref="AA974">_xll.BDP(B974, "TYPE_OF_BOND")</f>
        <v>#N/A Field Not Applicable</v>
      </c>
    </row>
    <row r="975" spans="1:27" x14ac:dyDescent="0.25">
      <c r="A975">
        <v>973</v>
      </c>
      <c r="B975" t="s">
        <v>3794</v>
      </c>
      <c r="C975" s="4" t="s">
        <v>3770</v>
      </c>
      <c r="D975" s="4">
        <v>1499868000</v>
      </c>
      <c r="E975" t="s">
        <v>17</v>
      </c>
      <c r="F975" s="1">
        <v>47270</v>
      </c>
      <c r="G975">
        <v>5.125</v>
      </c>
      <c r="H975" t="s">
        <v>34</v>
      </c>
      <c r="L975" t="s">
        <v>1168</v>
      </c>
      <c r="M975" t="s">
        <v>10</v>
      </c>
      <c r="N975" t="s">
        <v>16</v>
      </c>
      <c r="O975" t="s">
        <v>3106</v>
      </c>
      <c r="P975" t="s">
        <v>2629</v>
      </c>
      <c r="Q975" t="s">
        <v>3107</v>
      </c>
      <c r="R975" t="s">
        <v>3795</v>
      </c>
      <c r="S975">
        <v>28843668.2273602</v>
      </c>
      <c r="T975">
        <v>32</v>
      </c>
      <c r="W975" t="s">
        <v>3772</v>
      </c>
      <c r="X975" t="str">
        <f t="shared" si="15"/>
        <v>BQ855070@TRAC Corp</v>
      </c>
      <c r="Y975">
        <f>_xlfn.IFNA(_xll.BDP(X975,"INTERVAL_SUM", "MARKET_DATA_OVERRIDE=px_volume", "CALC_INTERVAL=5D"), "")</f>
        <v>8890</v>
      </c>
      <c r="Z975" cm="1">
        <f t="array" ref="Z975">_xll.BDP(B975, "CF_ACT_CASH_PAID_FOR_INT_DEBT")</f>
        <v>774.34799999999996</v>
      </c>
      <c r="AA975" t="str" cm="1">
        <f t="array" ref="AA975">_xll.BDP(B975, "TYPE_OF_BOND")</f>
        <v>#N/A Field Not Applicable</v>
      </c>
    </row>
    <row r="976" spans="1:27" x14ac:dyDescent="0.25">
      <c r="A976">
        <v>974</v>
      </c>
      <c r="B976" t="s">
        <v>3796</v>
      </c>
      <c r="C976" s="4" t="s">
        <v>3770</v>
      </c>
      <c r="D976" s="4">
        <v>132000</v>
      </c>
      <c r="E976" t="s">
        <v>17</v>
      </c>
      <c r="F976" s="1">
        <v>47270</v>
      </c>
      <c r="G976">
        <v>5.125</v>
      </c>
      <c r="H976" t="s">
        <v>34</v>
      </c>
      <c r="L976" t="s">
        <v>1168</v>
      </c>
      <c r="M976" t="s">
        <v>10</v>
      </c>
      <c r="N976" t="s">
        <v>16</v>
      </c>
      <c r="O976" t="s">
        <v>3106</v>
      </c>
      <c r="P976" t="s">
        <v>2629</v>
      </c>
      <c r="Q976" t="s">
        <v>3107</v>
      </c>
      <c r="R976" t="s">
        <v>3795</v>
      </c>
      <c r="S976">
        <v>2862.2563945000802</v>
      </c>
      <c r="T976">
        <v>1</v>
      </c>
      <c r="U976" t="s">
        <v>1169</v>
      </c>
      <c r="W976" t="s">
        <v>3772</v>
      </c>
      <c r="X976" t="str">
        <f t="shared" si="15"/>
        <v>BP472819@TRAC Corp</v>
      </c>
      <c r="Y976" t="str">
        <f>_xlfn.IFNA(_xll.BDP(X976,"INTERVAL_SUM", "MARKET_DATA_OVERRIDE=px_volume", "CALC_INTERVAL=5D"), "")</f>
        <v>#N/A N/A</v>
      </c>
      <c r="Z976" cm="1">
        <f t="array" ref="Z976">_xll.BDP(B976, "CF_ACT_CASH_PAID_FOR_INT_DEBT")</f>
        <v>774.34799999999996</v>
      </c>
      <c r="AA976" t="str" cm="1">
        <f t="array" ref="AA976">_xll.BDP(B976, "TYPE_OF_BOND")</f>
        <v>#N/A Field Not Applicable</v>
      </c>
    </row>
    <row r="977" spans="1:27" x14ac:dyDescent="0.25">
      <c r="A977">
        <v>975</v>
      </c>
      <c r="B977" t="s">
        <v>3797</v>
      </c>
      <c r="C977" s="4" t="s">
        <v>3770</v>
      </c>
      <c r="D977" s="4">
        <v>1000000</v>
      </c>
      <c r="E977" t="s">
        <v>17</v>
      </c>
      <c r="F977" s="1">
        <v>46935</v>
      </c>
      <c r="G977">
        <v>7.375</v>
      </c>
      <c r="H977" t="s">
        <v>34</v>
      </c>
      <c r="L977" t="s">
        <v>1168</v>
      </c>
      <c r="M977" t="s">
        <v>10</v>
      </c>
      <c r="N977" t="s">
        <v>16</v>
      </c>
      <c r="O977" s="6" t="s">
        <v>3106</v>
      </c>
      <c r="P977" t="s">
        <v>2629</v>
      </c>
      <c r="Q977" t="s">
        <v>3107</v>
      </c>
      <c r="R977" t="s">
        <v>3771</v>
      </c>
      <c r="S977">
        <v>28349.7898579711</v>
      </c>
      <c r="T977">
        <v>4</v>
      </c>
      <c r="U977" t="s">
        <v>1169</v>
      </c>
      <c r="W977" t="s">
        <v>3772</v>
      </c>
      <c r="X977" t="str">
        <f t="shared" si="15"/>
        <v>BK232014@TRAC Corp</v>
      </c>
      <c r="Y977" t="str">
        <f>_xlfn.IFNA(_xll.BDP(X977,"INTERVAL_SUM", "MARKET_DATA_OVERRIDE=px_volume", "CALC_INTERVAL=5D"), "")</f>
        <v>#N/A N/A</v>
      </c>
      <c r="Z977" cm="1">
        <f t="array" ref="Z977">_xll.BDP(B977, "CF_ACT_CASH_PAID_FOR_INT_DEBT")</f>
        <v>774.34799999999996</v>
      </c>
      <c r="AA977" t="str" cm="1">
        <f t="array" ref="AA977">_xll.BDP(B977, "TYPE_OF_BOND")</f>
        <v>#N/A Field Not Applicable</v>
      </c>
    </row>
    <row r="978" spans="1:27" x14ac:dyDescent="0.25">
      <c r="A978">
        <v>976</v>
      </c>
      <c r="B978" t="s">
        <v>3798</v>
      </c>
      <c r="C978" s="4" t="s">
        <v>3770</v>
      </c>
      <c r="D978" s="4">
        <v>748933000</v>
      </c>
      <c r="E978" t="s">
        <v>17</v>
      </c>
      <c r="F978" s="1">
        <v>46235</v>
      </c>
      <c r="G978">
        <v>6.625</v>
      </c>
      <c r="H978" t="s">
        <v>9</v>
      </c>
      <c r="L978" t="s">
        <v>1168</v>
      </c>
      <c r="M978" t="s">
        <v>10</v>
      </c>
      <c r="N978" t="s">
        <v>16</v>
      </c>
      <c r="O978" t="s">
        <v>3157</v>
      </c>
      <c r="P978" t="s">
        <v>2644</v>
      </c>
      <c r="Q978" t="s">
        <v>3209</v>
      </c>
      <c r="R978" t="s">
        <v>3786</v>
      </c>
      <c r="S978">
        <v>9827173.2267249506</v>
      </c>
      <c r="T978">
        <v>15</v>
      </c>
      <c r="W978" t="s">
        <v>3772</v>
      </c>
      <c r="X978" t="str">
        <f t="shared" si="15"/>
        <v>AN258612@TRAC Corp</v>
      </c>
      <c r="Y978">
        <f>_xlfn.IFNA(_xll.BDP(X978,"INTERVAL_SUM", "MARKET_DATA_OVERRIDE=px_volume", "CALC_INTERVAL=5D"), "")</f>
        <v>11384</v>
      </c>
      <c r="Z978" cm="1">
        <f t="array" ref="Z978">_xll.BDP(B978, "CF_ACT_CASH_PAID_FOR_INT_DEBT")</f>
        <v>96.230999999999995</v>
      </c>
      <c r="AA978" t="str" cm="1">
        <f t="array" ref="AA978">_xll.BDP(B978, "TYPE_OF_BOND")</f>
        <v>#N/A Field Not Applicable</v>
      </c>
    </row>
    <row r="979" spans="1:27" x14ac:dyDescent="0.25">
      <c r="A979">
        <v>977</v>
      </c>
      <c r="B979" t="s">
        <v>3799</v>
      </c>
      <c r="C979" s="4" t="s">
        <v>3770</v>
      </c>
      <c r="D979" s="4">
        <v>747998000</v>
      </c>
      <c r="E979" t="s">
        <v>11</v>
      </c>
      <c r="F979" s="1">
        <v>46235</v>
      </c>
      <c r="G979">
        <v>5.25</v>
      </c>
      <c r="H979" t="s">
        <v>9</v>
      </c>
      <c r="L979" t="s">
        <v>1168</v>
      </c>
      <c r="M979" t="s">
        <v>10</v>
      </c>
      <c r="N979" t="s">
        <v>16</v>
      </c>
      <c r="O979" t="s">
        <v>3157</v>
      </c>
      <c r="P979" t="s">
        <v>2644</v>
      </c>
      <c r="Q979" t="s">
        <v>3209</v>
      </c>
      <c r="R979" t="s">
        <v>3788</v>
      </c>
      <c r="S979">
        <v>5961000.0934668398</v>
      </c>
      <c r="T979">
        <v>21</v>
      </c>
      <c r="W979" t="s">
        <v>3772</v>
      </c>
      <c r="X979" t="str">
        <f t="shared" si="15"/>
        <v>AN258530@TRAC Corp</v>
      </c>
      <c r="Y979">
        <f>_xlfn.IFNA(_xll.BDP(X979,"INTERVAL_SUM", "MARKET_DATA_OVERRIDE=px_volume", "CALC_INTERVAL=5D"), "")</f>
        <v>4749</v>
      </c>
      <c r="Z979" cm="1">
        <f t="array" ref="Z979">_xll.BDP(B979, "CF_ACT_CASH_PAID_FOR_INT_DEBT")</f>
        <v>96.230999999999995</v>
      </c>
      <c r="AA979" t="str" cm="1">
        <f t="array" ref="AA979">_xll.BDP(B979, "TYPE_OF_BOND")</f>
        <v>#N/A Field Not Applicable</v>
      </c>
    </row>
    <row r="980" spans="1:27" x14ac:dyDescent="0.25">
      <c r="A980">
        <v>978</v>
      </c>
      <c r="B980" t="s">
        <v>3552</v>
      </c>
      <c r="C980" s="4" t="s">
        <v>3553</v>
      </c>
      <c r="D980" s="4">
        <v>995000000</v>
      </c>
      <c r="E980" t="s">
        <v>11</v>
      </c>
      <c r="F980" s="1">
        <v>48121</v>
      </c>
      <c r="G980">
        <v>6.4081000000000001</v>
      </c>
      <c r="H980" t="s">
        <v>13</v>
      </c>
      <c r="I980" t="s">
        <v>2635</v>
      </c>
      <c r="J980">
        <v>275</v>
      </c>
      <c r="L980" t="s">
        <v>1168</v>
      </c>
      <c r="M980" t="s">
        <v>10</v>
      </c>
      <c r="N980" t="s">
        <v>537</v>
      </c>
      <c r="O980" t="s">
        <v>3129</v>
      </c>
      <c r="P980" t="s">
        <v>2648</v>
      </c>
      <c r="Q980" t="s">
        <v>2648</v>
      </c>
      <c r="R980" t="s">
        <v>3554</v>
      </c>
      <c r="S980">
        <v>5000000</v>
      </c>
      <c r="T980">
        <v>7</v>
      </c>
      <c r="V980" t="s">
        <v>227</v>
      </c>
      <c r="W980" t="s">
        <v>3555</v>
      </c>
      <c r="X980" t="str">
        <f t="shared" si="15"/>
        <v>BL517985@TRAC Corp</v>
      </c>
      <c r="Y980" t="str">
        <f>_xlfn.IFNA(_xll.BDP(X980,"INTERVAL_SUM", "MARKET_DATA_OVERRIDE=px_volume", "CALC_INTERVAL=5D"), "")</f>
        <v>#N/A N/A</v>
      </c>
      <c r="Z980" t="str" cm="1">
        <f t="array" ref="Z980">_xll.BDP(B980, "CF_ACT_CASH_PAID_FOR_INT_DEBT")</f>
        <v>#N/A N/A</v>
      </c>
      <c r="AA980" t="str" cm="1">
        <f t="array" ref="AA980">_xll.BDP(B980, "TYPE_OF_BOND")</f>
        <v>#N/A Field Not Applicable</v>
      </c>
    </row>
    <row r="981" spans="1:27" x14ac:dyDescent="0.25">
      <c r="A981">
        <v>979</v>
      </c>
      <c r="B981" t="s">
        <v>1708</v>
      </c>
      <c r="C981" s="4" t="s">
        <v>1709</v>
      </c>
      <c r="D981" s="4">
        <v>419602296</v>
      </c>
      <c r="E981" t="s">
        <v>11</v>
      </c>
      <c r="F981" s="1">
        <v>46874</v>
      </c>
      <c r="G981">
        <v>5.5</v>
      </c>
      <c r="H981" t="s">
        <v>9</v>
      </c>
      <c r="L981" t="s">
        <v>1168</v>
      </c>
      <c r="M981" t="s">
        <v>10</v>
      </c>
      <c r="N981" t="s">
        <v>15</v>
      </c>
      <c r="O981" t="s">
        <v>3110</v>
      </c>
      <c r="P981" t="s">
        <v>2644</v>
      </c>
      <c r="Q981" t="s">
        <v>3225</v>
      </c>
      <c r="R981" t="s">
        <v>1710</v>
      </c>
      <c r="S981">
        <v>4953829.21631278</v>
      </c>
      <c r="T981">
        <v>5</v>
      </c>
      <c r="U981" t="s">
        <v>1170</v>
      </c>
      <c r="W981" t="s">
        <v>1711</v>
      </c>
      <c r="X981" t="str">
        <f t="shared" si="15"/>
        <v>ZF902058@TRAC Corp</v>
      </c>
      <c r="Y981">
        <f>_xlfn.IFNA(_xll.BDP(X981,"INTERVAL_SUM", "MARKET_DATA_OVERRIDE=px_volume", "CALC_INTERVAL=5D"), "")</f>
        <v>266</v>
      </c>
      <c r="Z981" cm="1">
        <f t="array" ref="Z981">_xll.BDP(B981, "CF_ACT_CASH_PAID_FOR_INT_DEBT")</f>
        <v>6.3179999999999996</v>
      </c>
      <c r="AA981" t="str" cm="1">
        <f t="array" ref="AA981">_xll.BDP(B981, "TYPE_OF_BOND")</f>
        <v>#N/A Field Not Applicable</v>
      </c>
    </row>
    <row r="982" spans="1:27" x14ac:dyDescent="0.25">
      <c r="A982">
        <v>980</v>
      </c>
      <c r="B982" t="s">
        <v>1712</v>
      </c>
      <c r="C982" s="4" t="s">
        <v>1709</v>
      </c>
      <c r="D982" s="4">
        <v>360600344</v>
      </c>
      <c r="E982" t="s">
        <v>11</v>
      </c>
      <c r="F982" s="1">
        <v>46874</v>
      </c>
      <c r="G982">
        <v>5.5</v>
      </c>
      <c r="H982" t="s">
        <v>9</v>
      </c>
      <c r="L982" t="s">
        <v>1168</v>
      </c>
      <c r="M982" t="s">
        <v>10</v>
      </c>
      <c r="N982" t="s">
        <v>15</v>
      </c>
      <c r="O982" t="s">
        <v>3110</v>
      </c>
      <c r="P982" t="s">
        <v>2644</v>
      </c>
      <c r="Q982" t="s">
        <v>3225</v>
      </c>
      <c r="R982" t="s">
        <v>1710</v>
      </c>
      <c r="S982">
        <v>2150372.7201481699</v>
      </c>
      <c r="T982">
        <v>17</v>
      </c>
      <c r="U982" t="s">
        <v>1169</v>
      </c>
      <c r="W982" t="s">
        <v>1711</v>
      </c>
      <c r="X982" t="str">
        <f t="shared" si="15"/>
        <v>ZF900348@TRAC Corp</v>
      </c>
      <c r="Y982" t="str">
        <f>_xlfn.IFNA(_xll.BDP(X982,"INTERVAL_SUM", "MARKET_DATA_OVERRIDE=px_volume", "CALC_INTERVAL=5D"), "")</f>
        <v>#N/A N/A</v>
      </c>
      <c r="Z982" cm="1">
        <f t="array" ref="Z982">_xll.BDP(B982, "CF_ACT_CASH_PAID_FOR_INT_DEBT")</f>
        <v>6.3179999999999996</v>
      </c>
      <c r="AA982" t="str" cm="1">
        <f t="array" ref="AA982">_xll.BDP(B982, "TYPE_OF_BOND")</f>
        <v>#N/A Field Not Applicable</v>
      </c>
    </row>
    <row r="983" spans="1:27" x14ac:dyDescent="0.25">
      <c r="A983">
        <v>981</v>
      </c>
      <c r="B983" t="s">
        <v>1713</v>
      </c>
      <c r="C983" s="4" t="s">
        <v>1709</v>
      </c>
      <c r="D983" s="4">
        <v>1888000</v>
      </c>
      <c r="E983" t="s">
        <v>12</v>
      </c>
      <c r="F983" s="1">
        <v>46631</v>
      </c>
      <c r="G983">
        <v>5.5</v>
      </c>
      <c r="H983" t="s">
        <v>9</v>
      </c>
      <c r="L983" t="s">
        <v>1168</v>
      </c>
      <c r="M983" t="s">
        <v>10</v>
      </c>
      <c r="N983" t="s">
        <v>15</v>
      </c>
      <c r="O983" t="s">
        <v>3110</v>
      </c>
      <c r="P983" t="s">
        <v>2644</v>
      </c>
      <c r="Q983" t="s">
        <v>3225</v>
      </c>
      <c r="R983" t="s">
        <v>1714</v>
      </c>
      <c r="S983">
        <v>-9997</v>
      </c>
      <c r="U983" t="s">
        <v>1169</v>
      </c>
      <c r="W983" t="s">
        <v>1711</v>
      </c>
      <c r="X983" t="str">
        <f t="shared" si="15"/>
        <v>BK880741@TRAC Corp</v>
      </c>
      <c r="Y983" t="str">
        <f>_xlfn.IFNA(_xll.BDP(X983,"INTERVAL_SUM", "MARKET_DATA_OVERRIDE=px_volume", "CALC_INTERVAL=5D"), "")</f>
        <v>#N/A N/A</v>
      </c>
      <c r="Z983" cm="1">
        <f t="array" ref="Z983">_xll.BDP(B983, "CF_ACT_CASH_PAID_FOR_INT_DEBT")</f>
        <v>6.3179999999999996</v>
      </c>
      <c r="AA983" t="str" cm="1">
        <f t="array" ref="AA983">_xll.BDP(B983, "TYPE_OF_BOND")</f>
        <v>#N/A Field Not Applicable</v>
      </c>
    </row>
    <row r="984" spans="1:27" x14ac:dyDescent="0.25">
      <c r="A984">
        <v>982</v>
      </c>
      <c r="B984" t="s">
        <v>1715</v>
      </c>
      <c r="C984" s="4" t="s">
        <v>1709</v>
      </c>
      <c r="D984" s="4">
        <v>937312111.05999994</v>
      </c>
      <c r="E984" t="s">
        <v>11</v>
      </c>
      <c r="F984" s="1">
        <v>46871</v>
      </c>
      <c r="G984">
        <v>8.5140999999999991</v>
      </c>
      <c r="H984" t="s">
        <v>13</v>
      </c>
      <c r="I984" t="s">
        <v>2631</v>
      </c>
      <c r="J984">
        <v>475</v>
      </c>
      <c r="L984" t="s">
        <v>1168</v>
      </c>
      <c r="M984" t="s">
        <v>10</v>
      </c>
      <c r="N984" t="s">
        <v>15</v>
      </c>
      <c r="O984" t="s">
        <v>3110</v>
      </c>
      <c r="P984" t="s">
        <v>2644</v>
      </c>
      <c r="Q984" t="s">
        <v>3225</v>
      </c>
      <c r="R984" t="s">
        <v>1716</v>
      </c>
      <c r="S984">
        <v>2000000</v>
      </c>
      <c r="T984">
        <v>2</v>
      </c>
      <c r="V984" t="s">
        <v>227</v>
      </c>
      <c r="W984" t="s">
        <v>1711</v>
      </c>
      <c r="X984" t="str">
        <f t="shared" si="15"/>
        <v>BL458897@TRAC Corp</v>
      </c>
      <c r="Y984" t="str">
        <f>_xlfn.IFNA(_xll.BDP(X984,"INTERVAL_SUM", "MARKET_DATA_OVERRIDE=px_volume", "CALC_INTERVAL=5D"), "")</f>
        <v>#N/A N/A</v>
      </c>
      <c r="Z984" cm="1">
        <f t="array" ref="Z984">_xll.BDP(B984, "CF_ACT_CASH_PAID_FOR_INT_DEBT")</f>
        <v>6.3179999999999996</v>
      </c>
      <c r="AA984" t="str" cm="1">
        <f t="array" ref="AA984">_xll.BDP(B984, "TYPE_OF_BOND")</f>
        <v>#N/A Field Not Applicable</v>
      </c>
    </row>
    <row r="985" spans="1:27" x14ac:dyDescent="0.25">
      <c r="A985">
        <v>983</v>
      </c>
      <c r="B985" t="s">
        <v>1717</v>
      </c>
      <c r="C985" s="4" t="s">
        <v>1709</v>
      </c>
      <c r="D985" s="4">
        <v>981742032.18999898</v>
      </c>
      <c r="E985" t="s">
        <v>11</v>
      </c>
      <c r="F985" s="1">
        <v>46871</v>
      </c>
      <c r="G985">
        <v>8.5140999999999991</v>
      </c>
      <c r="H985" t="s">
        <v>13</v>
      </c>
      <c r="I985" t="s">
        <v>2631</v>
      </c>
      <c r="J985">
        <v>475</v>
      </c>
      <c r="L985" t="s">
        <v>1168</v>
      </c>
      <c r="M985" t="s">
        <v>10</v>
      </c>
      <c r="N985" t="s">
        <v>15</v>
      </c>
      <c r="O985" t="s">
        <v>3110</v>
      </c>
      <c r="P985" t="s">
        <v>2644</v>
      </c>
      <c r="Q985" t="s">
        <v>3225</v>
      </c>
      <c r="R985" t="s">
        <v>1716</v>
      </c>
      <c r="S985">
        <v>3955416.16349738</v>
      </c>
      <c r="T985">
        <v>17</v>
      </c>
      <c r="V985" t="s">
        <v>227</v>
      </c>
      <c r="W985" t="s">
        <v>1711</v>
      </c>
      <c r="X985" t="str">
        <f t="shared" si="15"/>
        <v>BL458894@TRAC Corp</v>
      </c>
      <c r="Y985" t="str">
        <f>_xlfn.IFNA(_xll.BDP(X985,"INTERVAL_SUM", "MARKET_DATA_OVERRIDE=px_volume", "CALC_INTERVAL=5D"), "")</f>
        <v>#N/A N/A</v>
      </c>
      <c r="Z985" cm="1">
        <f t="array" ref="Z985">_xll.BDP(B985, "CF_ACT_CASH_PAID_FOR_INT_DEBT")</f>
        <v>6.3179999999999996</v>
      </c>
      <c r="AA985" t="str" cm="1">
        <f t="array" ref="AA985">_xll.BDP(B985, "TYPE_OF_BOND")</f>
        <v>#N/A Field Not Applicable</v>
      </c>
    </row>
    <row r="986" spans="1:27" x14ac:dyDescent="0.25">
      <c r="A986">
        <v>984</v>
      </c>
      <c r="B986" t="s">
        <v>1969</v>
      </c>
      <c r="C986" s="4" t="s">
        <v>1970</v>
      </c>
      <c r="D986" s="4">
        <v>310000000</v>
      </c>
      <c r="E986" t="s">
        <v>11</v>
      </c>
      <c r="F986" s="1">
        <v>47618</v>
      </c>
      <c r="G986">
        <v>8.25</v>
      </c>
      <c r="H986" t="s">
        <v>9</v>
      </c>
      <c r="L986" t="s">
        <v>1171</v>
      </c>
      <c r="M986" t="s">
        <v>28</v>
      </c>
      <c r="N986" t="s">
        <v>460</v>
      </c>
      <c r="O986" t="s">
        <v>3137</v>
      </c>
      <c r="P986" t="s">
        <v>2660</v>
      </c>
      <c r="Q986" t="s">
        <v>3138</v>
      </c>
      <c r="R986" t="s">
        <v>1971</v>
      </c>
      <c r="S986">
        <v>5824330.6652811198</v>
      </c>
      <c r="T986">
        <v>19</v>
      </c>
      <c r="U986" t="s">
        <v>1192</v>
      </c>
      <c r="W986" t="s">
        <v>1972</v>
      </c>
      <c r="X986" t="str">
        <f t="shared" si="15"/>
        <v>YO101774@TRAC Corp</v>
      </c>
      <c r="Y986" t="str">
        <f>_xlfn.IFNA(_xll.BDP(X986,"INTERVAL_SUM", "MARKET_DATA_OVERRIDE=px_volume", "CALC_INTERVAL=5D"), "")</f>
        <v>#N/A N/A</v>
      </c>
      <c r="Z986" t="str" cm="1">
        <f t="array" ref="Z986">_xll.BDP(B986, "CF_ACT_CASH_PAID_FOR_INT_DEBT")</f>
        <v>#N/A N/A</v>
      </c>
      <c r="AA986" t="str" cm="1">
        <f t="array" ref="AA986">_xll.BDP(B986, "TYPE_OF_BOND")</f>
        <v>#N/A Field Not Applicable</v>
      </c>
    </row>
    <row r="987" spans="1:27" x14ac:dyDescent="0.25">
      <c r="A987">
        <v>985</v>
      </c>
      <c r="B987" t="s">
        <v>1973</v>
      </c>
      <c r="C987" s="4" t="s">
        <v>1970</v>
      </c>
      <c r="D987" s="4">
        <v>975000000</v>
      </c>
      <c r="E987" t="s">
        <v>12</v>
      </c>
      <c r="F987" s="1">
        <v>47618</v>
      </c>
      <c r="G987">
        <v>9.5</v>
      </c>
      <c r="H987" t="s">
        <v>9</v>
      </c>
      <c r="L987" t="s">
        <v>1168</v>
      </c>
      <c r="M987" t="s">
        <v>28</v>
      </c>
      <c r="N987" t="s">
        <v>460</v>
      </c>
      <c r="O987" t="s">
        <v>3137</v>
      </c>
      <c r="P987" t="s">
        <v>2660</v>
      </c>
      <c r="Q987" t="s">
        <v>3138</v>
      </c>
      <c r="R987" t="s">
        <v>1974</v>
      </c>
      <c r="S987">
        <v>1973375.5210158499</v>
      </c>
      <c r="T987">
        <v>26</v>
      </c>
      <c r="U987" t="s">
        <v>1169</v>
      </c>
      <c r="W987" t="s">
        <v>1972</v>
      </c>
      <c r="X987" t="str">
        <f t="shared" si="15"/>
        <v>YO098165@TRAC Corp</v>
      </c>
      <c r="Y987">
        <f>_xlfn.IFNA(_xll.BDP(X987,"INTERVAL_SUM", "MARKET_DATA_OVERRIDE=px_volume", "CALC_INTERVAL=5D"), "")</f>
        <v>17629</v>
      </c>
      <c r="Z987" t="str" cm="1">
        <f t="array" ref="Z987">_xll.BDP(B987, "CF_ACT_CASH_PAID_FOR_INT_DEBT")</f>
        <v>#N/A N/A</v>
      </c>
      <c r="AA987" t="str" cm="1">
        <f t="array" ref="AA987">_xll.BDP(B987, "TYPE_OF_BOND")</f>
        <v>#N/A Field Not Applicable</v>
      </c>
    </row>
    <row r="988" spans="1:27" x14ac:dyDescent="0.25">
      <c r="A988">
        <v>986</v>
      </c>
      <c r="B988" t="s">
        <v>2013</v>
      </c>
      <c r="C988" s="4" t="s">
        <v>2014</v>
      </c>
      <c r="D988" s="4">
        <v>970000000.05999994</v>
      </c>
      <c r="E988" t="s">
        <v>11</v>
      </c>
      <c r="F988" s="1">
        <v>47954</v>
      </c>
      <c r="G988">
        <v>6.9253</v>
      </c>
      <c r="H988" t="s">
        <v>13</v>
      </c>
      <c r="I988" t="s">
        <v>2631</v>
      </c>
      <c r="J988">
        <v>325</v>
      </c>
      <c r="L988" t="s">
        <v>1168</v>
      </c>
      <c r="M988" t="s">
        <v>10</v>
      </c>
      <c r="N988" t="s">
        <v>15</v>
      </c>
      <c r="O988" t="s">
        <v>3110</v>
      </c>
      <c r="P988" t="s">
        <v>2637</v>
      </c>
      <c r="Q988" t="s">
        <v>3123</v>
      </c>
      <c r="R988" t="s">
        <v>2015</v>
      </c>
      <c r="S988">
        <v>2000000</v>
      </c>
      <c r="T988">
        <v>6</v>
      </c>
      <c r="V988" t="s">
        <v>227</v>
      </c>
      <c r="W988" t="s">
        <v>2016</v>
      </c>
      <c r="X988" t="str">
        <f t="shared" si="15"/>
        <v>BL501964@TRAC Corp</v>
      </c>
      <c r="Y988" t="str">
        <f>_xlfn.IFNA(_xll.BDP(X988,"INTERVAL_SUM", "MARKET_DATA_OVERRIDE=px_volume", "CALC_INTERVAL=5D"), "")</f>
        <v>#N/A N/A</v>
      </c>
      <c r="Z988" t="str" cm="1">
        <f t="array" ref="Z988">_xll.BDP(B988, "CF_ACT_CASH_PAID_FOR_INT_DEBT")</f>
        <v>#N/A N/A</v>
      </c>
      <c r="AA988" t="str" cm="1">
        <f t="array" ref="AA988">_xll.BDP(B988, "TYPE_OF_BOND")</f>
        <v>#N/A Field Not Applicable</v>
      </c>
    </row>
    <row r="989" spans="1:27" x14ac:dyDescent="0.25">
      <c r="A989">
        <v>987</v>
      </c>
      <c r="B989" t="s">
        <v>1975</v>
      </c>
      <c r="C989" s="4" t="s">
        <v>1976</v>
      </c>
      <c r="D989" s="4">
        <v>3833000</v>
      </c>
      <c r="E989" t="s">
        <v>17</v>
      </c>
      <c r="F989" s="1">
        <v>47102</v>
      </c>
      <c r="G989">
        <v>9.875</v>
      </c>
      <c r="H989" t="s">
        <v>9</v>
      </c>
      <c r="L989" t="s">
        <v>1168</v>
      </c>
      <c r="M989" t="s">
        <v>10</v>
      </c>
      <c r="N989" t="s">
        <v>460</v>
      </c>
      <c r="O989" t="s">
        <v>2655</v>
      </c>
      <c r="P989" t="s">
        <v>2681</v>
      </c>
      <c r="Q989" t="s">
        <v>3197</v>
      </c>
      <c r="R989" t="s">
        <v>1977</v>
      </c>
      <c r="S989">
        <v>-9997</v>
      </c>
      <c r="U989" t="s">
        <v>1169</v>
      </c>
      <c r="W989" t="s">
        <v>1978</v>
      </c>
      <c r="X989" t="str">
        <f t="shared" si="15"/>
        <v>ZJ054712@TRAC Corp</v>
      </c>
      <c r="Y989" t="str">
        <f>_xlfn.IFNA(_xll.BDP(X989,"INTERVAL_SUM", "MARKET_DATA_OVERRIDE=px_volume", "CALC_INTERVAL=5D"), "")</f>
        <v>#N/A N/A</v>
      </c>
      <c r="Z989" cm="1">
        <f t="array" ref="Z989">_xll.BDP(B989, "CF_ACT_CASH_PAID_FOR_INT_DEBT")</f>
        <v>93.275999999999996</v>
      </c>
      <c r="AA989" t="str" cm="1">
        <f t="array" ref="AA989">_xll.BDP(B989, "TYPE_OF_BOND")</f>
        <v>#N/A Field Not Applicable</v>
      </c>
    </row>
    <row r="990" spans="1:27" x14ac:dyDescent="0.25">
      <c r="A990">
        <v>988</v>
      </c>
      <c r="B990" t="s">
        <v>1979</v>
      </c>
      <c r="C990" s="4" t="s">
        <v>1976</v>
      </c>
      <c r="D990" s="4">
        <v>446167000</v>
      </c>
      <c r="E990" t="s">
        <v>33</v>
      </c>
      <c r="F990" s="1">
        <v>47475</v>
      </c>
      <c r="G990">
        <v>9.875</v>
      </c>
      <c r="H990" t="s">
        <v>9</v>
      </c>
      <c r="L990" t="s">
        <v>1168</v>
      </c>
      <c r="M990" t="s">
        <v>10</v>
      </c>
      <c r="N990" t="s">
        <v>460</v>
      </c>
      <c r="O990" t="s">
        <v>2655</v>
      </c>
      <c r="P990" t="s">
        <v>2681</v>
      </c>
      <c r="Q990" t="s">
        <v>3197</v>
      </c>
      <c r="R990" t="s">
        <v>1980</v>
      </c>
      <c r="S990">
        <v>9896048.1547902897</v>
      </c>
      <c r="T990">
        <v>17</v>
      </c>
      <c r="U990" t="s">
        <v>1169</v>
      </c>
      <c r="W990" t="s">
        <v>1978</v>
      </c>
      <c r="X990" t="str">
        <f t="shared" si="15"/>
        <v>YS257893@TRAC Corp</v>
      </c>
      <c r="Y990">
        <f>_xlfn.IFNA(_xll.BDP(X990,"INTERVAL_SUM", "MARKET_DATA_OVERRIDE=px_volume", "CALC_INTERVAL=5D"), "")</f>
        <v>420</v>
      </c>
      <c r="Z990" cm="1">
        <f t="array" ref="Z990">_xll.BDP(B990, "CF_ACT_CASH_PAID_FOR_INT_DEBT")</f>
        <v>93.275999999999996</v>
      </c>
      <c r="AA990" t="str" cm="1">
        <f t="array" ref="AA990">_xll.BDP(B990, "TYPE_OF_BOND")</f>
        <v>#N/A Field Not Applicable</v>
      </c>
    </row>
    <row r="991" spans="1:27" x14ac:dyDescent="0.25">
      <c r="A991">
        <v>989</v>
      </c>
      <c r="B991" t="s">
        <v>1981</v>
      </c>
      <c r="C991" s="4" t="s">
        <v>1976</v>
      </c>
      <c r="D991" s="4">
        <v>498245000</v>
      </c>
      <c r="E991" t="s">
        <v>33</v>
      </c>
      <c r="F991" s="1">
        <v>47475</v>
      </c>
      <c r="G991">
        <v>4.625</v>
      </c>
      <c r="H991" t="s">
        <v>9</v>
      </c>
      <c r="L991" t="s">
        <v>1168</v>
      </c>
      <c r="M991" t="s">
        <v>10</v>
      </c>
      <c r="N991" t="s">
        <v>333</v>
      </c>
      <c r="O991" t="s">
        <v>3226</v>
      </c>
      <c r="P991" t="s">
        <v>2690</v>
      </c>
      <c r="Q991" t="s">
        <v>3227</v>
      </c>
      <c r="R991" t="s">
        <v>1982</v>
      </c>
      <c r="S991">
        <v>9255382.9967142195</v>
      </c>
      <c r="T991">
        <v>13</v>
      </c>
      <c r="U991" t="s">
        <v>1169</v>
      </c>
      <c r="W991" t="s">
        <v>1978</v>
      </c>
      <c r="X991" t="str">
        <f t="shared" si="15"/>
        <v>YS257811@TRAC Corp</v>
      </c>
      <c r="Y991">
        <f>_xlfn.IFNA(_xll.BDP(X991,"INTERVAL_SUM", "MARKET_DATA_OVERRIDE=px_volume", "CALC_INTERVAL=5D"), "")</f>
        <v>1010</v>
      </c>
      <c r="Z991" cm="1">
        <f t="array" ref="Z991">_xll.BDP(B991, "CF_ACT_CASH_PAID_FOR_INT_DEBT")</f>
        <v>93.275999999999996</v>
      </c>
      <c r="AA991" t="str" cm="1">
        <f t="array" ref="AA991">_xll.BDP(B991, "TYPE_OF_BOND")</f>
        <v>#N/A Field Not Applicable</v>
      </c>
    </row>
    <row r="992" spans="1:27" x14ac:dyDescent="0.25">
      <c r="A992">
        <v>990</v>
      </c>
      <c r="B992" t="s">
        <v>1983</v>
      </c>
      <c r="C992" s="4" t="s">
        <v>1976</v>
      </c>
      <c r="D992" s="4">
        <v>1755000</v>
      </c>
      <c r="E992" t="s">
        <v>17</v>
      </c>
      <c r="F992" s="1">
        <v>47102</v>
      </c>
      <c r="G992">
        <v>4.625</v>
      </c>
      <c r="H992" t="s">
        <v>9</v>
      </c>
      <c r="L992" t="s">
        <v>1168</v>
      </c>
      <c r="M992" t="s">
        <v>10</v>
      </c>
      <c r="N992" t="s">
        <v>333</v>
      </c>
      <c r="O992" t="s">
        <v>3226</v>
      </c>
      <c r="P992" t="s">
        <v>2690</v>
      </c>
      <c r="Q992" t="s">
        <v>3227</v>
      </c>
      <c r="R992" t="s">
        <v>1984</v>
      </c>
      <c r="S992">
        <v>-9997</v>
      </c>
      <c r="U992" t="s">
        <v>1169</v>
      </c>
      <c r="W992" t="s">
        <v>1978</v>
      </c>
      <c r="X992" t="str">
        <f t="shared" si="15"/>
        <v>BM949150@TRAC Corp</v>
      </c>
      <c r="Y992" t="str">
        <f>_xlfn.IFNA(_xll.BDP(X992,"INTERVAL_SUM", "MARKET_DATA_OVERRIDE=px_volume", "CALC_INTERVAL=5D"), "")</f>
        <v>#N/A N/A</v>
      </c>
      <c r="Z992" cm="1">
        <f t="array" ref="Z992">_xll.BDP(B992, "CF_ACT_CASH_PAID_FOR_INT_DEBT")</f>
        <v>93.275999999999996</v>
      </c>
      <c r="AA992" t="str" cm="1">
        <f t="array" ref="AA992">_xll.BDP(B992, "TYPE_OF_BOND")</f>
        <v>#N/A Field Not Applicable</v>
      </c>
    </row>
    <row r="993" spans="1:27" x14ac:dyDescent="0.25">
      <c r="A993">
        <v>991</v>
      </c>
      <c r="B993" t="s">
        <v>1985</v>
      </c>
      <c r="C993" s="4" t="s">
        <v>1976</v>
      </c>
      <c r="D993" s="4">
        <v>175000000</v>
      </c>
      <c r="E993" t="s">
        <v>11</v>
      </c>
      <c r="F993" s="1">
        <v>47473</v>
      </c>
      <c r="G993">
        <v>9.6795000000000009</v>
      </c>
      <c r="H993" t="s">
        <v>13</v>
      </c>
      <c r="I993" t="s">
        <v>2631</v>
      </c>
      <c r="J993">
        <v>600</v>
      </c>
      <c r="L993" t="s">
        <v>1168</v>
      </c>
      <c r="M993" t="s">
        <v>10</v>
      </c>
      <c r="N993" t="s">
        <v>460</v>
      </c>
      <c r="O993" t="s">
        <v>2655</v>
      </c>
      <c r="P993" t="s">
        <v>2681</v>
      </c>
      <c r="Q993" t="s">
        <v>3197</v>
      </c>
      <c r="R993" t="s">
        <v>1986</v>
      </c>
      <c r="S993">
        <v>5000000</v>
      </c>
      <c r="T993">
        <v>19</v>
      </c>
      <c r="V993" t="s">
        <v>227</v>
      </c>
      <c r="W993" t="s">
        <v>1978</v>
      </c>
      <c r="X993" t="str">
        <f t="shared" si="15"/>
        <v>BL492274@TRAC Corp</v>
      </c>
      <c r="Y993" t="str">
        <f>_xlfn.IFNA(_xll.BDP(X993,"INTERVAL_SUM", "MARKET_DATA_OVERRIDE=px_volume", "CALC_INTERVAL=5D"), "")</f>
        <v>#N/A N/A</v>
      </c>
      <c r="Z993" cm="1">
        <f t="array" ref="Z993">_xll.BDP(B993, "CF_ACT_CASH_PAID_FOR_INT_DEBT")</f>
        <v>93.275999999999996</v>
      </c>
      <c r="AA993" t="str" cm="1">
        <f t="array" ref="AA993">_xll.BDP(B993, "TYPE_OF_BOND")</f>
        <v>#N/A Field Not Applicable</v>
      </c>
    </row>
    <row r="994" spans="1:27" x14ac:dyDescent="0.25">
      <c r="A994">
        <v>992</v>
      </c>
      <c r="B994" t="s">
        <v>1987</v>
      </c>
      <c r="C994" s="4" t="s">
        <v>1988</v>
      </c>
      <c r="D994" s="4">
        <v>935000000</v>
      </c>
      <c r="E994" t="s">
        <v>11</v>
      </c>
      <c r="F994" s="1">
        <v>48123</v>
      </c>
      <c r="G994">
        <v>7.2336999999999998</v>
      </c>
      <c r="H994" t="s">
        <v>13</v>
      </c>
      <c r="I994" t="s">
        <v>2635</v>
      </c>
      <c r="J994">
        <v>350</v>
      </c>
      <c r="L994" t="s">
        <v>1168</v>
      </c>
      <c r="M994" t="s">
        <v>10</v>
      </c>
      <c r="N994" t="s">
        <v>15</v>
      </c>
      <c r="O994" t="s">
        <v>3110</v>
      </c>
      <c r="P994" t="s">
        <v>2634</v>
      </c>
      <c r="Q994" t="s">
        <v>3114</v>
      </c>
      <c r="R994" t="s">
        <v>1989</v>
      </c>
      <c r="S994">
        <v>5000000</v>
      </c>
      <c r="T994">
        <v>5</v>
      </c>
      <c r="V994" t="s">
        <v>227</v>
      </c>
      <c r="W994" t="s">
        <v>1990</v>
      </c>
      <c r="X994" t="str">
        <f t="shared" si="15"/>
        <v>BL472696@TRAC Corp</v>
      </c>
      <c r="Y994" t="str">
        <f>_xlfn.IFNA(_xll.BDP(X994,"INTERVAL_SUM", "MARKET_DATA_OVERRIDE=px_volume", "CALC_INTERVAL=5D"), "")</f>
        <v>#N/A N/A</v>
      </c>
      <c r="Z994" t="str" cm="1">
        <f t="array" ref="Z994">_xll.BDP(B994, "CF_ACT_CASH_PAID_FOR_INT_DEBT")</f>
        <v>#N/A N/A</v>
      </c>
      <c r="AA994" t="str" cm="1">
        <f t="array" ref="AA994">_xll.BDP(B994, "TYPE_OF_BOND")</f>
        <v>#N/A Field Not Applicable</v>
      </c>
    </row>
    <row r="995" spans="1:27" x14ac:dyDescent="0.25">
      <c r="A995">
        <v>993</v>
      </c>
      <c r="B995" t="s">
        <v>3556</v>
      </c>
      <c r="C995" s="4" t="s">
        <v>3557</v>
      </c>
      <c r="D995" s="4">
        <v>11745000</v>
      </c>
      <c r="E995" t="s">
        <v>11</v>
      </c>
      <c r="F995" s="1">
        <v>47695</v>
      </c>
      <c r="G995">
        <v>5.1439000000000004</v>
      </c>
      <c r="H995" t="s">
        <v>13</v>
      </c>
      <c r="I995" t="s">
        <v>2631</v>
      </c>
      <c r="J995">
        <v>150</v>
      </c>
      <c r="L995" t="s">
        <v>1168</v>
      </c>
      <c r="M995" t="s">
        <v>10</v>
      </c>
      <c r="N995" t="s">
        <v>36</v>
      </c>
      <c r="O995" t="s">
        <v>3113</v>
      </c>
      <c r="R995" t="s">
        <v>3558</v>
      </c>
      <c r="V995" t="s">
        <v>256</v>
      </c>
      <c r="W995" t="s">
        <v>3559</v>
      </c>
      <c r="X995" t="str">
        <f t="shared" si="15"/>
        <v>BL571355@TRAC Corp</v>
      </c>
      <c r="Y995" t="str">
        <f>_xlfn.IFNA(_xll.BDP(X995,"INTERVAL_SUM", "MARKET_DATA_OVERRIDE=px_volume", "CALC_INTERVAL=5D"), "")</f>
        <v>#N/A N/A</v>
      </c>
      <c r="Z995" t="str" cm="1">
        <f t="array" ref="Z995">_xll.BDP(B995, "CF_ACT_CASH_PAID_FOR_INT_DEBT")</f>
        <v>#N/A N/A</v>
      </c>
      <c r="AA995" t="str" cm="1">
        <f t="array" ref="AA995">_xll.BDP(B995, "TYPE_OF_BOND")</f>
        <v>#N/A Field Not Applicable</v>
      </c>
    </row>
    <row r="996" spans="1:27" x14ac:dyDescent="0.25">
      <c r="A996">
        <v>994</v>
      </c>
      <c r="B996" t="s">
        <v>3560</v>
      </c>
      <c r="C996" s="4" t="s">
        <v>3557</v>
      </c>
      <c r="D996" s="4">
        <v>400000000</v>
      </c>
      <c r="E996" t="s">
        <v>33</v>
      </c>
      <c r="F996" s="1">
        <v>47602</v>
      </c>
      <c r="H996" t="s">
        <v>13</v>
      </c>
      <c r="L996" t="s">
        <v>1168</v>
      </c>
      <c r="M996" t="s">
        <v>10</v>
      </c>
      <c r="N996" t="s">
        <v>36</v>
      </c>
      <c r="O996" t="s">
        <v>3113</v>
      </c>
      <c r="P996" t="s">
        <v>2639</v>
      </c>
      <c r="Q996" t="s">
        <v>3246</v>
      </c>
      <c r="R996" t="s">
        <v>3561</v>
      </c>
      <c r="V996" t="s">
        <v>227</v>
      </c>
      <c r="W996" t="s">
        <v>3559</v>
      </c>
      <c r="X996" t="str">
        <f t="shared" si="15"/>
        <v>BL390437@TRAC Corp</v>
      </c>
      <c r="Y996" t="str">
        <f>_xlfn.IFNA(_xll.BDP(X996,"INTERVAL_SUM", "MARKET_DATA_OVERRIDE=px_volume", "CALC_INTERVAL=5D"), "")</f>
        <v>#N/A N/A</v>
      </c>
      <c r="Z996" t="str" cm="1">
        <f t="array" ref="Z996">_xll.BDP(B996, "CF_ACT_CASH_PAID_FOR_INT_DEBT")</f>
        <v>#N/A N/A</v>
      </c>
      <c r="AA996" t="str" cm="1">
        <f t="array" ref="AA996">_xll.BDP(B996, "TYPE_OF_BOND")</f>
        <v>#N/A Field Not Applicable</v>
      </c>
    </row>
    <row r="997" spans="1:27" x14ac:dyDescent="0.25">
      <c r="A997">
        <v>995</v>
      </c>
      <c r="B997" t="s">
        <v>3562</v>
      </c>
      <c r="C997" s="4" t="s">
        <v>3557</v>
      </c>
      <c r="D997" s="4">
        <v>104000000</v>
      </c>
      <c r="E997" t="s">
        <v>11</v>
      </c>
      <c r="F997" s="1">
        <v>46507</v>
      </c>
      <c r="H997" t="s">
        <v>13</v>
      </c>
      <c r="L997" t="s">
        <v>1168</v>
      </c>
      <c r="M997" t="s">
        <v>10</v>
      </c>
      <c r="N997" t="s">
        <v>36</v>
      </c>
      <c r="O997" t="s">
        <v>3113</v>
      </c>
      <c r="P997" t="s">
        <v>2639</v>
      </c>
      <c r="Q997" t="s">
        <v>3246</v>
      </c>
      <c r="R997" t="s">
        <v>3563</v>
      </c>
      <c r="V997" t="s">
        <v>226</v>
      </c>
      <c r="W997" t="s">
        <v>3559</v>
      </c>
      <c r="X997" t="str">
        <f t="shared" si="15"/>
        <v>BL390435@TRAC Corp</v>
      </c>
      <c r="Y997" t="str">
        <f>_xlfn.IFNA(_xll.BDP(X997,"INTERVAL_SUM", "MARKET_DATA_OVERRIDE=px_volume", "CALC_INTERVAL=5D"), "")</f>
        <v>#N/A N/A</v>
      </c>
      <c r="Z997" t="str" cm="1">
        <f t="array" ref="Z997">_xll.BDP(B997, "CF_ACT_CASH_PAID_FOR_INT_DEBT")</f>
        <v>#N/A N/A</v>
      </c>
      <c r="AA997" t="str" cm="1">
        <f t="array" ref="AA997">_xll.BDP(B997, "TYPE_OF_BOND")</f>
        <v>#N/A Field Not Applicable</v>
      </c>
    </row>
    <row r="998" spans="1:27" x14ac:dyDescent="0.25">
      <c r="A998">
        <v>996</v>
      </c>
      <c r="B998" t="s">
        <v>3564</v>
      </c>
      <c r="C998" s="4" t="s">
        <v>3557</v>
      </c>
      <c r="D998" s="4">
        <v>930240000</v>
      </c>
      <c r="E998" t="s">
        <v>11</v>
      </c>
      <c r="F998" s="1">
        <v>47238</v>
      </c>
      <c r="G998">
        <v>8.4074000000000009</v>
      </c>
      <c r="H998" t="s">
        <v>13</v>
      </c>
      <c r="I998" t="s">
        <v>2635</v>
      </c>
      <c r="J998">
        <v>475</v>
      </c>
      <c r="L998" t="s">
        <v>1168</v>
      </c>
      <c r="M998" t="s">
        <v>10</v>
      </c>
      <c r="N998" t="s">
        <v>36</v>
      </c>
      <c r="O998" t="s">
        <v>3113</v>
      </c>
      <c r="P998" t="s">
        <v>2639</v>
      </c>
      <c r="Q998" t="s">
        <v>3246</v>
      </c>
      <c r="R998" t="s">
        <v>3565</v>
      </c>
      <c r="S998">
        <v>2000000</v>
      </c>
      <c r="T998">
        <v>6</v>
      </c>
      <c r="V998" t="s">
        <v>227</v>
      </c>
      <c r="W998" t="s">
        <v>3559</v>
      </c>
      <c r="X998" t="str">
        <f t="shared" si="15"/>
        <v>BL390217@TRAC Corp</v>
      </c>
      <c r="Y998" t="str">
        <f>_xlfn.IFNA(_xll.BDP(X998,"INTERVAL_SUM", "MARKET_DATA_OVERRIDE=px_volume", "CALC_INTERVAL=5D"), "")</f>
        <v>#N/A N/A</v>
      </c>
      <c r="Z998" t="str" cm="1">
        <f t="array" ref="Z998">_xll.BDP(B998, "CF_ACT_CASH_PAID_FOR_INT_DEBT")</f>
        <v>#N/A N/A</v>
      </c>
      <c r="AA998" t="str" cm="1">
        <f t="array" ref="AA998">_xll.BDP(B998, "TYPE_OF_BOND")</f>
        <v>#N/A Field Not Applicable</v>
      </c>
    </row>
    <row r="999" spans="1:27" x14ac:dyDescent="0.25">
      <c r="A999">
        <v>997</v>
      </c>
      <c r="B999" t="s">
        <v>1991</v>
      </c>
      <c r="C999" s="4" t="s">
        <v>1992</v>
      </c>
      <c r="D999" s="4">
        <v>389788183.89200002</v>
      </c>
      <c r="E999" t="s">
        <v>33</v>
      </c>
      <c r="F999" s="1">
        <v>47241</v>
      </c>
      <c r="G999">
        <v>7.625</v>
      </c>
      <c r="H999" t="s">
        <v>34</v>
      </c>
      <c r="L999" t="s">
        <v>1168</v>
      </c>
      <c r="M999" t="s">
        <v>35</v>
      </c>
      <c r="N999" t="s">
        <v>460</v>
      </c>
      <c r="O999" t="s">
        <v>2655</v>
      </c>
      <c r="P999" t="s">
        <v>2655</v>
      </c>
      <c r="Q999" t="s">
        <v>3156</v>
      </c>
      <c r="R999" t="s">
        <v>1993</v>
      </c>
      <c r="S999">
        <v>1393310.0733310699</v>
      </c>
      <c r="T999">
        <v>4</v>
      </c>
      <c r="U999" t="s">
        <v>1169</v>
      </c>
      <c r="W999" t="s">
        <v>1994</v>
      </c>
      <c r="X999" t="str">
        <f t="shared" si="15"/>
        <v>YS783088@TRAC Corp</v>
      </c>
      <c r="Y999" t="str">
        <f>_xlfn.IFNA(_xll.BDP(X999,"INTERVAL_SUM", "MARKET_DATA_OVERRIDE=px_volume", "CALC_INTERVAL=5D"), "")</f>
        <v>#N/A N/A</v>
      </c>
      <c r="Z999" cm="1">
        <f t="array" ref="Z999">_xll.BDP(B999, "CF_ACT_CASH_PAID_FOR_INT_DEBT")</f>
        <v>194.7</v>
      </c>
      <c r="AA999" t="str" cm="1">
        <f t="array" ref="AA999">_xll.BDP(B999, "TYPE_OF_BOND")</f>
        <v>PIK</v>
      </c>
    </row>
    <row r="1000" spans="1:27" x14ac:dyDescent="0.25">
      <c r="A1000">
        <v>998</v>
      </c>
      <c r="B1000" t="s">
        <v>1995</v>
      </c>
      <c r="C1000" s="4" t="s">
        <v>1992</v>
      </c>
      <c r="D1000" s="4">
        <v>10400000</v>
      </c>
      <c r="E1000" t="s">
        <v>11</v>
      </c>
      <c r="F1000" s="1">
        <v>46785</v>
      </c>
      <c r="G1000">
        <v>12.784800000000001</v>
      </c>
      <c r="H1000" t="s">
        <v>13</v>
      </c>
      <c r="I1000" t="s">
        <v>2631</v>
      </c>
      <c r="J1000">
        <v>900</v>
      </c>
      <c r="L1000" t="s">
        <v>1168</v>
      </c>
      <c r="M1000" t="s">
        <v>35</v>
      </c>
      <c r="N1000" t="s">
        <v>460</v>
      </c>
      <c r="O1000" t="s">
        <v>2655</v>
      </c>
      <c r="P1000" t="s">
        <v>2655</v>
      </c>
      <c r="Q1000" t="s">
        <v>3156</v>
      </c>
      <c r="R1000" t="s">
        <v>1996</v>
      </c>
      <c r="V1000" t="s">
        <v>226</v>
      </c>
      <c r="W1000" t="s">
        <v>1994</v>
      </c>
      <c r="X1000" t="str">
        <f t="shared" si="15"/>
        <v>BL567091@TRAC Corp</v>
      </c>
      <c r="Y1000" t="str">
        <f>_xlfn.IFNA(_xll.BDP(X1000,"INTERVAL_SUM", "MARKET_DATA_OVERRIDE=px_volume", "CALC_INTERVAL=5D"), "")</f>
        <v>#N/A N/A</v>
      </c>
      <c r="Z1000" cm="1">
        <f t="array" ref="Z1000">_xll.BDP(B1000, "CF_ACT_CASH_PAID_FOR_INT_DEBT")</f>
        <v>194.7</v>
      </c>
      <c r="AA1000" t="str" cm="1">
        <f t="array" ref="AA1000">_xll.BDP(B1000, "TYPE_OF_BOND")</f>
        <v>#N/A Field Not Applicable</v>
      </c>
    </row>
    <row r="1001" spans="1:27" x14ac:dyDescent="0.25">
      <c r="A1001">
        <v>999</v>
      </c>
      <c r="B1001" t="s">
        <v>1997</v>
      </c>
      <c r="C1001" s="4" t="s">
        <v>1992</v>
      </c>
      <c r="D1001" s="4">
        <v>379494400</v>
      </c>
      <c r="E1001" t="s">
        <v>11</v>
      </c>
      <c r="F1001" s="1">
        <v>47606</v>
      </c>
      <c r="G1001">
        <v>11.304500000000001</v>
      </c>
      <c r="H1001" t="s">
        <v>13</v>
      </c>
      <c r="I1001" t="s">
        <v>2631</v>
      </c>
      <c r="J1001">
        <v>762.5</v>
      </c>
      <c r="L1001" t="s">
        <v>1168</v>
      </c>
      <c r="M1001" t="s">
        <v>35</v>
      </c>
      <c r="N1001" t="s">
        <v>460</v>
      </c>
      <c r="O1001" t="s">
        <v>2655</v>
      </c>
      <c r="P1001" t="s">
        <v>2655</v>
      </c>
      <c r="Q1001" t="s">
        <v>3156</v>
      </c>
      <c r="R1001" t="s">
        <v>1998</v>
      </c>
      <c r="V1001" t="s">
        <v>256</v>
      </c>
      <c r="W1001" t="s">
        <v>1994</v>
      </c>
      <c r="X1001" t="str">
        <f t="shared" si="15"/>
        <v>BL511344@TRAC Corp</v>
      </c>
      <c r="Y1001" t="str">
        <f>_xlfn.IFNA(_xll.BDP(X1001,"INTERVAL_SUM", "MARKET_DATA_OVERRIDE=px_volume", "CALC_INTERVAL=5D"), "")</f>
        <v>#N/A N/A</v>
      </c>
      <c r="Z1001" cm="1">
        <f t="array" ref="Z1001">_xll.BDP(B1001, "CF_ACT_CASH_PAID_FOR_INT_DEBT")</f>
        <v>194.7</v>
      </c>
      <c r="AA1001" t="str" cm="1">
        <f t="array" ref="AA1001">_xll.BDP(B1001, "TYPE_OF_BOND")</f>
        <v>#N/A Field Not Applicable</v>
      </c>
    </row>
    <row r="1002" spans="1:27" x14ac:dyDescent="0.25">
      <c r="A1002">
        <v>1000</v>
      </c>
      <c r="B1002" t="s">
        <v>1999</v>
      </c>
      <c r="C1002" s="4" t="s">
        <v>1992</v>
      </c>
      <c r="D1002" s="4">
        <v>113562500</v>
      </c>
      <c r="E1002" t="s">
        <v>11</v>
      </c>
      <c r="F1002" s="1">
        <v>47606</v>
      </c>
      <c r="G1002">
        <v>12.179500000000001</v>
      </c>
      <c r="H1002" t="s">
        <v>13</v>
      </c>
      <c r="I1002" t="s">
        <v>2631</v>
      </c>
      <c r="J1002">
        <v>850</v>
      </c>
      <c r="L1002" t="s">
        <v>1168</v>
      </c>
      <c r="M1002" t="s">
        <v>35</v>
      </c>
      <c r="N1002" t="s">
        <v>460</v>
      </c>
      <c r="O1002" t="s">
        <v>2655</v>
      </c>
      <c r="P1002" t="s">
        <v>2655</v>
      </c>
      <c r="Q1002" t="s">
        <v>3156</v>
      </c>
      <c r="R1002" t="s">
        <v>2000</v>
      </c>
      <c r="V1002" t="s">
        <v>256</v>
      </c>
      <c r="W1002" t="s">
        <v>1994</v>
      </c>
      <c r="X1002" t="str">
        <f t="shared" si="15"/>
        <v>BL511343@TRAC Corp</v>
      </c>
      <c r="Y1002" t="str">
        <f>_xlfn.IFNA(_xll.BDP(X1002,"INTERVAL_SUM", "MARKET_DATA_OVERRIDE=px_volume", "CALC_INTERVAL=5D"), "")</f>
        <v>#N/A N/A</v>
      </c>
      <c r="Z1002" cm="1">
        <f t="array" ref="Z1002">_xll.BDP(B1002, "CF_ACT_CASH_PAID_FOR_INT_DEBT")</f>
        <v>194.7</v>
      </c>
      <c r="AA1002" t="str" cm="1">
        <f t="array" ref="AA1002">_xll.BDP(B1002, "TYPE_OF_BOND")</f>
        <v>#N/A Field Not Applicable</v>
      </c>
    </row>
    <row r="1003" spans="1:27" x14ac:dyDescent="0.25">
      <c r="A1003">
        <v>1001</v>
      </c>
      <c r="B1003" t="s">
        <v>2001</v>
      </c>
      <c r="C1003" s="4" t="s">
        <v>1992</v>
      </c>
      <c r="D1003" s="4">
        <v>265000000</v>
      </c>
      <c r="E1003" t="s">
        <v>11</v>
      </c>
      <c r="F1003" s="1">
        <v>46785</v>
      </c>
      <c r="G1003">
        <v>6.0438999999999998</v>
      </c>
      <c r="H1003" t="s">
        <v>13</v>
      </c>
      <c r="I1003" t="s">
        <v>2631</v>
      </c>
      <c r="J1003">
        <v>225</v>
      </c>
      <c r="L1003" t="s">
        <v>1168</v>
      </c>
      <c r="M1003" t="s">
        <v>35</v>
      </c>
      <c r="N1003" t="s">
        <v>460</v>
      </c>
      <c r="O1003" t="s">
        <v>2655</v>
      </c>
      <c r="P1003" t="s">
        <v>2655</v>
      </c>
      <c r="Q1003" t="s">
        <v>3156</v>
      </c>
      <c r="R1003" t="s">
        <v>1996</v>
      </c>
      <c r="V1003" t="s">
        <v>226</v>
      </c>
      <c r="W1003" t="s">
        <v>1994</v>
      </c>
      <c r="X1003" t="str">
        <f t="shared" si="15"/>
        <v>BL498637@TRAC Corp</v>
      </c>
      <c r="Y1003" t="str">
        <f>_xlfn.IFNA(_xll.BDP(X1003,"INTERVAL_SUM", "MARKET_DATA_OVERRIDE=px_volume", "CALC_INTERVAL=5D"), "")</f>
        <v>#N/A N/A</v>
      </c>
      <c r="Z1003" cm="1">
        <f t="array" ref="Z1003">_xll.BDP(B1003, "CF_ACT_CASH_PAID_FOR_INT_DEBT")</f>
        <v>194.7</v>
      </c>
      <c r="AA1003" t="str" cm="1">
        <f t="array" ref="AA1003">_xll.BDP(B1003, "TYPE_OF_BOND")</f>
        <v>#N/A Field Not Applicable</v>
      </c>
    </row>
    <row r="1004" spans="1:27" x14ac:dyDescent="0.25">
      <c r="A1004">
        <v>1002</v>
      </c>
      <c r="B1004" t="s">
        <v>2002</v>
      </c>
      <c r="C1004" s="4" t="s">
        <v>1992</v>
      </c>
      <c r="D1004" s="4">
        <v>113850000</v>
      </c>
      <c r="E1004" t="s">
        <v>11</v>
      </c>
      <c r="F1004" s="1">
        <v>46876</v>
      </c>
      <c r="G1004">
        <v>12.179500000000001</v>
      </c>
      <c r="H1004" t="s">
        <v>13</v>
      </c>
      <c r="I1004" t="s">
        <v>2631</v>
      </c>
      <c r="J1004">
        <v>850</v>
      </c>
      <c r="L1004" t="s">
        <v>1168</v>
      </c>
      <c r="M1004" t="s">
        <v>35</v>
      </c>
      <c r="N1004" t="s">
        <v>537</v>
      </c>
      <c r="O1004" t="s">
        <v>3129</v>
      </c>
      <c r="P1004" t="s">
        <v>2664</v>
      </c>
      <c r="Q1004" t="s">
        <v>3168</v>
      </c>
      <c r="R1004" t="s">
        <v>2003</v>
      </c>
      <c r="S1004">
        <v>2893386.2772248401</v>
      </c>
      <c r="T1004">
        <v>4</v>
      </c>
      <c r="V1004" t="s">
        <v>256</v>
      </c>
      <c r="W1004" t="s">
        <v>1994</v>
      </c>
      <c r="X1004" t="str">
        <f t="shared" si="15"/>
        <v>BL498601@TRAC Corp</v>
      </c>
      <c r="Y1004" t="str">
        <f>_xlfn.IFNA(_xll.BDP(X1004,"INTERVAL_SUM", "MARKET_DATA_OVERRIDE=px_volume", "CALC_INTERVAL=5D"), "")</f>
        <v>#N/A N/A</v>
      </c>
      <c r="Z1004" cm="1">
        <f t="array" ref="Z1004">_xll.BDP(B1004, "CF_ACT_CASH_PAID_FOR_INT_DEBT")</f>
        <v>194.7</v>
      </c>
      <c r="AA1004" t="str" cm="1">
        <f t="array" ref="AA1004">_xll.BDP(B1004, "TYPE_OF_BOND")</f>
        <v>#N/A Field Not Applicable</v>
      </c>
    </row>
    <row r="1005" spans="1:27" x14ac:dyDescent="0.25">
      <c r="A1005">
        <v>1003</v>
      </c>
      <c r="B1005" t="s">
        <v>2004</v>
      </c>
      <c r="C1005" s="4" t="s">
        <v>1992</v>
      </c>
      <c r="D1005" s="4">
        <v>922304714.91999996</v>
      </c>
      <c r="E1005" t="s">
        <v>11</v>
      </c>
      <c r="F1005" s="1">
        <v>47606</v>
      </c>
      <c r="G1005">
        <v>13.4414</v>
      </c>
      <c r="H1005" t="s">
        <v>13</v>
      </c>
      <c r="I1005" t="s">
        <v>2631</v>
      </c>
      <c r="J1005">
        <v>966</v>
      </c>
      <c r="L1005" t="s">
        <v>1168</v>
      </c>
      <c r="M1005" t="s">
        <v>35</v>
      </c>
      <c r="N1005" t="s">
        <v>460</v>
      </c>
      <c r="O1005" t="s">
        <v>2655</v>
      </c>
      <c r="P1005" t="s">
        <v>2655</v>
      </c>
      <c r="Q1005" t="s">
        <v>3156</v>
      </c>
      <c r="R1005" t="s">
        <v>1998</v>
      </c>
      <c r="V1005" t="s">
        <v>256</v>
      </c>
      <c r="W1005" t="s">
        <v>1994</v>
      </c>
      <c r="X1005" t="str">
        <f t="shared" si="15"/>
        <v>BL442006@TRAC Corp</v>
      </c>
      <c r="Y1005" t="str">
        <f>_xlfn.IFNA(_xll.BDP(X1005,"INTERVAL_SUM", "MARKET_DATA_OVERRIDE=px_volume", "CALC_INTERVAL=5D"), "")</f>
        <v>#N/A N/A</v>
      </c>
      <c r="Z1005" cm="1">
        <f t="array" ref="Z1005">_xll.BDP(B1005, "CF_ACT_CASH_PAID_FOR_INT_DEBT")</f>
        <v>194.7</v>
      </c>
      <c r="AA1005" t="str" cm="1">
        <f t="array" ref="AA1005">_xll.BDP(B1005, "TYPE_OF_BOND")</f>
        <v>#N/A Field Not Applicable</v>
      </c>
    </row>
    <row r="1006" spans="1:27" x14ac:dyDescent="0.25">
      <c r="A1006">
        <v>1004</v>
      </c>
      <c r="B1006" t="s">
        <v>2005</v>
      </c>
      <c r="C1006" s="4" t="s">
        <v>1992</v>
      </c>
      <c r="D1006" s="4">
        <v>922304714.91999996</v>
      </c>
      <c r="E1006" t="s">
        <v>11</v>
      </c>
      <c r="F1006" s="1">
        <v>46876</v>
      </c>
      <c r="G1006">
        <v>12.1669</v>
      </c>
      <c r="H1006" t="s">
        <v>13</v>
      </c>
      <c r="I1006" t="s">
        <v>2631</v>
      </c>
      <c r="J1006">
        <v>850</v>
      </c>
      <c r="L1006" t="s">
        <v>1168</v>
      </c>
      <c r="M1006" t="s">
        <v>35</v>
      </c>
      <c r="N1006" t="s">
        <v>537</v>
      </c>
      <c r="O1006" t="s">
        <v>3129</v>
      </c>
      <c r="P1006" t="s">
        <v>2664</v>
      </c>
      <c r="Q1006" t="s">
        <v>3168</v>
      </c>
      <c r="R1006" t="s">
        <v>1998</v>
      </c>
      <c r="S1006">
        <v>3394063.8064280399</v>
      </c>
      <c r="T1006">
        <v>3</v>
      </c>
      <c r="V1006" t="s">
        <v>256</v>
      </c>
      <c r="W1006" t="s">
        <v>1994</v>
      </c>
      <c r="X1006" t="str">
        <f t="shared" si="15"/>
        <v>BL441950@TRAC Corp</v>
      </c>
      <c r="Y1006" t="str">
        <f>_xlfn.IFNA(_xll.BDP(X1006,"INTERVAL_SUM", "MARKET_DATA_OVERRIDE=px_volume", "CALC_INTERVAL=5D"), "")</f>
        <v>#N/A N/A</v>
      </c>
      <c r="Z1006" cm="1">
        <f t="array" ref="Z1006">_xll.BDP(B1006, "CF_ACT_CASH_PAID_FOR_INT_DEBT")</f>
        <v>194.7</v>
      </c>
      <c r="AA1006" t="str" cm="1">
        <f t="array" ref="AA1006">_xll.BDP(B1006, "TYPE_OF_BOND")</f>
        <v>#N/A Field Not Applicable</v>
      </c>
    </row>
    <row r="1007" spans="1:27" x14ac:dyDescent="0.25">
      <c r="A1007">
        <v>1005</v>
      </c>
      <c r="B1007" t="s">
        <v>2006</v>
      </c>
      <c r="C1007" s="4" t="s">
        <v>1992</v>
      </c>
      <c r="D1007" s="4">
        <v>125644330.5</v>
      </c>
      <c r="E1007" t="s">
        <v>11</v>
      </c>
      <c r="F1007" s="1">
        <v>46876</v>
      </c>
      <c r="G1007">
        <v>12.1669</v>
      </c>
      <c r="H1007" t="s">
        <v>13</v>
      </c>
      <c r="I1007" t="s">
        <v>2631</v>
      </c>
      <c r="J1007">
        <v>850</v>
      </c>
      <c r="L1007" t="s">
        <v>1168</v>
      </c>
      <c r="M1007" t="s">
        <v>35</v>
      </c>
      <c r="N1007" t="s">
        <v>537</v>
      </c>
      <c r="O1007" t="s">
        <v>3129</v>
      </c>
      <c r="P1007" t="s">
        <v>2664</v>
      </c>
      <c r="Q1007" t="s">
        <v>3168</v>
      </c>
      <c r="R1007" t="s">
        <v>2000</v>
      </c>
      <c r="V1007" t="s">
        <v>256</v>
      </c>
      <c r="W1007" t="s">
        <v>1994</v>
      </c>
      <c r="X1007" t="str">
        <f t="shared" si="15"/>
        <v>BL441949@TRAC Corp</v>
      </c>
      <c r="Y1007" t="str">
        <f>_xlfn.IFNA(_xll.BDP(X1007,"INTERVAL_SUM", "MARKET_DATA_OVERRIDE=px_volume", "CALC_INTERVAL=5D"), "")</f>
        <v>#N/A N/A</v>
      </c>
      <c r="Z1007" cm="1">
        <f t="array" ref="Z1007">_xll.BDP(B1007, "CF_ACT_CASH_PAID_FOR_INT_DEBT")</f>
        <v>194.7</v>
      </c>
      <c r="AA1007" t="str" cm="1">
        <f t="array" ref="AA1007">_xll.BDP(B1007, "TYPE_OF_BOND")</f>
        <v>#N/A Field Not Applicable</v>
      </c>
    </row>
    <row r="1008" spans="1:27" x14ac:dyDescent="0.25">
      <c r="A1008">
        <v>1006</v>
      </c>
      <c r="B1008" t="s">
        <v>2007</v>
      </c>
      <c r="C1008" s="4" t="s">
        <v>1992</v>
      </c>
      <c r="D1008" s="4">
        <v>712500000</v>
      </c>
      <c r="E1008" t="s">
        <v>11</v>
      </c>
      <c r="F1008" s="1">
        <v>46876</v>
      </c>
      <c r="G1008">
        <v>6.5118</v>
      </c>
      <c r="H1008" t="s">
        <v>13</v>
      </c>
      <c r="I1008" t="s">
        <v>2635</v>
      </c>
      <c r="J1008">
        <v>250</v>
      </c>
      <c r="L1008" t="s">
        <v>1168</v>
      </c>
      <c r="M1008" t="s">
        <v>35</v>
      </c>
      <c r="N1008" t="s">
        <v>460</v>
      </c>
      <c r="O1008" t="s">
        <v>2655</v>
      </c>
      <c r="P1008" t="s">
        <v>2655</v>
      </c>
      <c r="Q1008" t="s">
        <v>3156</v>
      </c>
      <c r="R1008" t="s">
        <v>2008</v>
      </c>
      <c r="S1008">
        <v>5000000</v>
      </c>
      <c r="T1008">
        <v>1</v>
      </c>
      <c r="V1008" t="s">
        <v>227</v>
      </c>
      <c r="W1008" t="s">
        <v>1994</v>
      </c>
      <c r="X1008" t="str">
        <f t="shared" si="15"/>
        <v>BL357158@TRAC Corp</v>
      </c>
      <c r="Y1008" t="str">
        <f>_xlfn.IFNA(_xll.BDP(X1008,"INTERVAL_SUM", "MARKET_DATA_OVERRIDE=px_volume", "CALC_INTERVAL=5D"), "")</f>
        <v>#N/A N/A</v>
      </c>
      <c r="Z1008" cm="1">
        <f t="array" ref="Z1008">_xll.BDP(B1008, "CF_ACT_CASH_PAID_FOR_INT_DEBT")</f>
        <v>194.7</v>
      </c>
      <c r="AA1008" t="str" cm="1">
        <f t="array" ref="AA1008">_xll.BDP(B1008, "TYPE_OF_BOND")</f>
        <v>#N/A Field Not Applicable</v>
      </c>
    </row>
    <row r="1009" spans="1:27" x14ac:dyDescent="0.25">
      <c r="A1009">
        <v>1007</v>
      </c>
      <c r="B1009" t="s">
        <v>2009</v>
      </c>
      <c r="C1009" s="4" t="s">
        <v>2010</v>
      </c>
      <c r="D1009" s="4">
        <v>921500000</v>
      </c>
      <c r="E1009" s="1" t="s">
        <v>11</v>
      </c>
      <c r="F1009" s="1">
        <v>47473</v>
      </c>
      <c r="G1009">
        <v>7.2611999999999997</v>
      </c>
      <c r="H1009" t="s">
        <v>13</v>
      </c>
      <c r="I1009" t="s">
        <v>2631</v>
      </c>
      <c r="J1009">
        <v>350</v>
      </c>
      <c r="L1009" t="s">
        <v>1168</v>
      </c>
      <c r="M1009" t="s">
        <v>10</v>
      </c>
      <c r="N1009" t="s">
        <v>15</v>
      </c>
      <c r="O1009" t="s">
        <v>3110</v>
      </c>
      <c r="P1009" t="s">
        <v>2637</v>
      </c>
      <c r="Q1009" t="s">
        <v>3175</v>
      </c>
      <c r="R1009" t="s">
        <v>2011</v>
      </c>
      <c r="S1009">
        <v>3000000</v>
      </c>
      <c r="T1009">
        <v>18</v>
      </c>
      <c r="V1009" t="s">
        <v>227</v>
      </c>
      <c r="W1009" t="s">
        <v>2012</v>
      </c>
      <c r="X1009" t="str">
        <f t="shared" si="15"/>
        <v>BL456915@TRAC Corp</v>
      </c>
      <c r="Y1009" t="str">
        <f>_xlfn.IFNA(_xll.BDP(X1009,"INTERVAL_SUM", "MARKET_DATA_OVERRIDE=px_volume", "CALC_INTERVAL=5D"), "")</f>
        <v>#N/A N/A</v>
      </c>
      <c r="Z1009" t="str" cm="1">
        <f t="array" ref="Z1009">_xll.BDP(B1009, "CF_ACT_CASH_PAID_FOR_INT_DEBT")</f>
        <v>#N/A N/A</v>
      </c>
      <c r="AA1009" t="str" cm="1">
        <f t="array" ref="AA1009">_xll.BDP(B1009, "TYPE_OF_BOND")</f>
        <v>#N/A Field Not Applicable</v>
      </c>
    </row>
    <row r="1010" spans="1:27" x14ac:dyDescent="0.25">
      <c r="A1010">
        <v>1008</v>
      </c>
      <c r="B1010" t="s">
        <v>2017</v>
      </c>
      <c r="C1010" s="4" t="s">
        <v>2018</v>
      </c>
      <c r="D1010" s="4">
        <v>905515575</v>
      </c>
      <c r="E1010" s="1" t="s">
        <v>11</v>
      </c>
      <c r="F1010" s="1">
        <v>47442</v>
      </c>
      <c r="G1010">
        <v>8.1911000000000005</v>
      </c>
      <c r="H1010" t="s">
        <v>13</v>
      </c>
      <c r="I1010" t="s">
        <v>2631</v>
      </c>
      <c r="J1010">
        <v>425</v>
      </c>
      <c r="L1010" t="s">
        <v>1168</v>
      </c>
      <c r="M1010" t="s">
        <v>10</v>
      </c>
      <c r="N1010" t="s">
        <v>14</v>
      </c>
      <c r="O1010" t="s">
        <v>3120</v>
      </c>
      <c r="P1010" t="s">
        <v>2641</v>
      </c>
      <c r="Q1010" t="s">
        <v>3228</v>
      </c>
      <c r="R1010" t="s">
        <v>2019</v>
      </c>
      <c r="S1010">
        <v>3000000</v>
      </c>
      <c r="T1010">
        <v>11</v>
      </c>
      <c r="V1010" t="s">
        <v>256</v>
      </c>
      <c r="W1010" t="s">
        <v>2020</v>
      </c>
      <c r="X1010" t="str">
        <f t="shared" si="15"/>
        <v>BL539529@TRAC Corp</v>
      </c>
      <c r="Y1010" t="str">
        <f>_xlfn.IFNA(_xll.BDP(X1010,"INTERVAL_SUM", "MARKET_DATA_OVERRIDE=px_volume", "CALC_INTERVAL=5D"), "")</f>
        <v>#N/A N/A</v>
      </c>
      <c r="Z1010" t="str" cm="1">
        <f t="array" ref="Z1010">_xll.BDP(B1010, "CF_ACT_CASH_PAID_FOR_INT_DEBT")</f>
        <v>#N/A N/A</v>
      </c>
      <c r="AA1010" t="str" cm="1">
        <f t="array" ref="AA1010">_xll.BDP(B1010, "TYPE_OF_BOND")</f>
        <v>#N/A Field Not Applicable</v>
      </c>
    </row>
    <row r="1011" spans="1:27" x14ac:dyDescent="0.25">
      <c r="A1011">
        <v>1009</v>
      </c>
      <c r="B1011" t="s">
        <v>2021</v>
      </c>
      <c r="C1011" s="4" t="s">
        <v>2018</v>
      </c>
      <c r="D1011" s="4">
        <v>140000000</v>
      </c>
      <c r="E1011" s="1" t="s">
        <v>33</v>
      </c>
      <c r="F1011" s="1">
        <v>46713</v>
      </c>
      <c r="G1011">
        <v>12.177</v>
      </c>
      <c r="H1011" t="s">
        <v>13</v>
      </c>
      <c r="I1011" t="s">
        <v>2635</v>
      </c>
      <c r="J1011">
        <v>850</v>
      </c>
      <c r="L1011" t="s">
        <v>1168</v>
      </c>
      <c r="M1011" t="s">
        <v>10</v>
      </c>
      <c r="N1011" t="s">
        <v>14</v>
      </c>
      <c r="O1011" t="s">
        <v>3120</v>
      </c>
      <c r="P1011" t="s">
        <v>2641</v>
      </c>
      <c r="Q1011" t="s">
        <v>3228</v>
      </c>
      <c r="R1011" t="s">
        <v>2022</v>
      </c>
      <c r="S1011">
        <v>2654115.7826059898</v>
      </c>
      <c r="T1011">
        <v>3</v>
      </c>
      <c r="V1011" t="s">
        <v>227</v>
      </c>
      <c r="W1011" t="s">
        <v>2020</v>
      </c>
      <c r="X1011" t="str">
        <f t="shared" si="15"/>
        <v>BL319084@TRAC Corp</v>
      </c>
      <c r="Y1011" t="str">
        <f>_xlfn.IFNA(_xll.BDP(X1011,"INTERVAL_SUM", "MARKET_DATA_OVERRIDE=px_volume", "CALC_INTERVAL=5D"), "")</f>
        <v>#N/A N/A</v>
      </c>
      <c r="Z1011" t="str" cm="1">
        <f t="array" ref="Z1011">_xll.BDP(B1011, "CF_ACT_CASH_PAID_FOR_INT_DEBT")</f>
        <v>#N/A N/A</v>
      </c>
      <c r="AA1011" t="str" cm="1">
        <f t="array" ref="AA1011">_xll.BDP(B1011, "TYPE_OF_BOND")</f>
        <v>#N/A Field Not Applicable</v>
      </c>
    </row>
    <row r="1012" spans="1:27" x14ac:dyDescent="0.25">
      <c r="A1012">
        <v>1010</v>
      </c>
      <c r="B1012" t="s">
        <v>2023</v>
      </c>
      <c r="C1012" s="4" t="s">
        <v>2018</v>
      </c>
      <c r="D1012" s="4">
        <v>50000000</v>
      </c>
      <c r="E1012" s="1" t="s">
        <v>11</v>
      </c>
      <c r="F1012" s="1">
        <v>47442</v>
      </c>
      <c r="H1012" t="s">
        <v>13</v>
      </c>
      <c r="I1012" t="s">
        <v>2652</v>
      </c>
      <c r="L1012" t="s">
        <v>1168</v>
      </c>
      <c r="M1012" t="s">
        <v>10</v>
      </c>
      <c r="N1012" t="s">
        <v>14</v>
      </c>
      <c r="O1012" t="s">
        <v>3120</v>
      </c>
      <c r="P1012" t="s">
        <v>2641</v>
      </c>
      <c r="Q1012" t="s">
        <v>3228</v>
      </c>
      <c r="R1012" t="s">
        <v>2024</v>
      </c>
      <c r="V1012" t="s">
        <v>226</v>
      </c>
      <c r="W1012" t="s">
        <v>2020</v>
      </c>
      <c r="X1012" t="str">
        <f t="shared" si="15"/>
        <v>BL319073@TRAC Corp</v>
      </c>
      <c r="Y1012" t="str">
        <f>_xlfn.IFNA(_xll.BDP(X1012,"INTERVAL_SUM", "MARKET_DATA_OVERRIDE=px_volume", "CALC_INTERVAL=5D"), "")</f>
        <v>#N/A N/A</v>
      </c>
      <c r="Z1012" t="str" cm="1">
        <f t="array" ref="Z1012">_xll.BDP(B1012, "CF_ACT_CASH_PAID_FOR_INT_DEBT")</f>
        <v>#N/A N/A</v>
      </c>
      <c r="AA1012" t="str" cm="1">
        <f t="array" ref="AA1012">_xll.BDP(B1012, "TYPE_OF_BOND")</f>
        <v>#N/A Field Not Applicable</v>
      </c>
    </row>
    <row r="1013" spans="1:27" x14ac:dyDescent="0.25">
      <c r="A1013">
        <v>1011</v>
      </c>
      <c r="B1013" t="s">
        <v>1796</v>
      </c>
      <c r="C1013" s="4" t="s">
        <v>1797</v>
      </c>
      <c r="D1013" s="4">
        <v>400000000</v>
      </c>
      <c r="E1013" s="1" t="s">
        <v>17</v>
      </c>
      <c r="F1013" s="1">
        <v>47557</v>
      </c>
      <c r="G1013">
        <v>3.125</v>
      </c>
      <c r="H1013" t="s">
        <v>9</v>
      </c>
      <c r="L1013" t="s">
        <v>1168</v>
      </c>
      <c r="M1013" t="s">
        <v>10</v>
      </c>
      <c r="N1013" t="s">
        <v>313</v>
      </c>
      <c r="O1013" t="s">
        <v>3212</v>
      </c>
      <c r="P1013" t="s">
        <v>2649</v>
      </c>
      <c r="Q1013" t="s">
        <v>3213</v>
      </c>
      <c r="R1013" t="s">
        <v>1798</v>
      </c>
      <c r="S1013">
        <v>2466132.4571136902</v>
      </c>
      <c r="T1013">
        <v>12</v>
      </c>
      <c r="W1013" t="s">
        <v>1799</v>
      </c>
      <c r="X1013" t="str">
        <f t="shared" si="15"/>
        <v>ZD482894@TRAC Corp</v>
      </c>
      <c r="Y1013">
        <f>_xlfn.IFNA(_xll.BDP(X1013,"INTERVAL_SUM", "MARKET_DATA_OVERRIDE=px_volume", "CALC_INTERVAL=5D"), "")</f>
        <v>4385</v>
      </c>
      <c r="Z1013" t="str" cm="1">
        <f t="array" ref="Z1013">_xll.BDP(B1013, "CF_ACT_CASH_PAID_FOR_INT_DEBT")</f>
        <v>#N/A N/A</v>
      </c>
      <c r="AA1013" t="str" cm="1">
        <f t="array" ref="AA1013">_xll.BDP(B1013, "TYPE_OF_BOND")</f>
        <v>Convertible</v>
      </c>
    </row>
    <row r="1014" spans="1:27" x14ac:dyDescent="0.25">
      <c r="A1014">
        <v>1012</v>
      </c>
      <c r="B1014" t="s">
        <v>1800</v>
      </c>
      <c r="C1014" s="4" t="s">
        <v>1797</v>
      </c>
      <c r="D1014" s="4">
        <v>500000000</v>
      </c>
      <c r="E1014" s="1" t="s">
        <v>17</v>
      </c>
      <c r="F1014" s="1">
        <v>48122</v>
      </c>
      <c r="G1014">
        <v>8.75</v>
      </c>
      <c r="H1014" t="s">
        <v>9</v>
      </c>
      <c r="L1014" t="s">
        <v>1168</v>
      </c>
      <c r="M1014" t="s">
        <v>10</v>
      </c>
      <c r="N1014" t="s">
        <v>313</v>
      </c>
      <c r="O1014" t="s">
        <v>3212</v>
      </c>
      <c r="P1014" t="s">
        <v>2649</v>
      </c>
      <c r="Q1014" t="s">
        <v>3213</v>
      </c>
      <c r="R1014" t="s">
        <v>1801</v>
      </c>
      <c r="S1014">
        <v>2017592.1427486099</v>
      </c>
      <c r="T1014">
        <v>9</v>
      </c>
      <c r="U1014" t="s">
        <v>1169</v>
      </c>
      <c r="W1014" t="s">
        <v>1799</v>
      </c>
      <c r="X1014" t="str">
        <f t="shared" si="15"/>
        <v>YV714152@TRAC Corp</v>
      </c>
      <c r="Y1014">
        <f>_xlfn.IFNA(_xll.BDP(X1014,"INTERVAL_SUM", "MARKET_DATA_OVERRIDE=px_volume", "CALC_INTERVAL=5D"), "")</f>
        <v>800</v>
      </c>
      <c r="Z1014" t="str" cm="1">
        <f t="array" ref="Z1014">_xll.BDP(B1014, "CF_ACT_CASH_PAID_FOR_INT_DEBT")</f>
        <v>#N/A N/A</v>
      </c>
      <c r="AA1014" t="str" cm="1">
        <f t="array" ref="AA1014">_xll.BDP(B1014, "TYPE_OF_BOND")</f>
        <v>#N/A Field Not Applicable</v>
      </c>
    </row>
    <row r="1015" spans="1:27" x14ac:dyDescent="0.25">
      <c r="A1015">
        <v>1013</v>
      </c>
      <c r="B1015" t="s">
        <v>1802</v>
      </c>
      <c r="C1015" s="4" t="s">
        <v>1797</v>
      </c>
      <c r="D1015" s="4">
        <v>350000000</v>
      </c>
      <c r="E1015" t="s">
        <v>12</v>
      </c>
      <c r="F1015" s="1">
        <v>47877</v>
      </c>
      <c r="G1015">
        <v>11.25</v>
      </c>
      <c r="H1015" t="s">
        <v>9</v>
      </c>
      <c r="L1015" t="s">
        <v>1168</v>
      </c>
      <c r="M1015" t="s">
        <v>595</v>
      </c>
      <c r="N1015" t="s">
        <v>313</v>
      </c>
      <c r="O1015" t="s">
        <v>3212</v>
      </c>
      <c r="P1015" t="s">
        <v>2649</v>
      </c>
      <c r="Q1015" t="s">
        <v>3213</v>
      </c>
      <c r="R1015" t="s">
        <v>1803</v>
      </c>
      <c r="S1015">
        <v>3389423.5354913301</v>
      </c>
      <c r="T1015">
        <v>19</v>
      </c>
      <c r="W1015" t="s">
        <v>1799</v>
      </c>
      <c r="X1015" t="str">
        <f t="shared" si="15"/>
        <v>YI090864@TRAC Corp</v>
      </c>
      <c r="Y1015">
        <f>_xlfn.IFNA(_xll.BDP(X1015,"INTERVAL_SUM", "MARKET_DATA_OVERRIDE=px_volume", "CALC_INTERVAL=5D"), "")</f>
        <v>100</v>
      </c>
      <c r="Z1015" t="str" cm="1">
        <f t="array" ref="Z1015">_xll.BDP(B1015, "CF_ACT_CASH_PAID_FOR_INT_DEBT")</f>
        <v>#N/A N/A</v>
      </c>
      <c r="AA1015" t="str" cm="1">
        <f t="array" ref="AA1015">_xll.BDP(B1015, "TYPE_OF_BOND")</f>
        <v>#N/A Field Not Applicable</v>
      </c>
    </row>
    <row r="1016" spans="1:27" x14ac:dyDescent="0.25">
      <c r="A1016">
        <v>1014</v>
      </c>
      <c r="B1016" t="s">
        <v>1804</v>
      </c>
      <c r="C1016" s="4" t="s">
        <v>1797</v>
      </c>
      <c r="D1016" s="4">
        <v>99973000</v>
      </c>
      <c r="E1016" t="s">
        <v>17</v>
      </c>
      <c r="F1016" s="1">
        <v>46508</v>
      </c>
      <c r="G1016">
        <v>7.75</v>
      </c>
      <c r="H1016" t="s">
        <v>9</v>
      </c>
      <c r="L1016" t="s">
        <v>1168</v>
      </c>
      <c r="M1016" t="s">
        <v>10</v>
      </c>
      <c r="N1016" t="s">
        <v>313</v>
      </c>
      <c r="O1016" t="s">
        <v>3212</v>
      </c>
      <c r="P1016" t="s">
        <v>2649</v>
      </c>
      <c r="Q1016" t="s">
        <v>3213</v>
      </c>
      <c r="R1016" t="s">
        <v>1805</v>
      </c>
      <c r="S1016">
        <v>4727278.2423055898</v>
      </c>
      <c r="T1016">
        <v>27</v>
      </c>
      <c r="U1016" t="s">
        <v>1169</v>
      </c>
      <c r="W1016" t="s">
        <v>1799</v>
      </c>
      <c r="X1016" t="str">
        <f t="shared" si="15"/>
        <v>BS063074@TRAC Corp</v>
      </c>
      <c r="Y1016" t="str">
        <f>_xlfn.IFNA(_xll.BDP(X1016,"INTERVAL_SUM", "MARKET_DATA_OVERRIDE=px_volume", "CALC_INTERVAL=5D"), "")</f>
        <v>#N/A N/A</v>
      </c>
      <c r="Z1016" t="str" cm="1">
        <f t="array" ref="Z1016">_xll.BDP(B1016, "CF_ACT_CASH_PAID_FOR_INT_DEBT")</f>
        <v>#N/A N/A</v>
      </c>
      <c r="AA1016" t="str" cm="1">
        <f t="array" ref="AA1016">_xll.BDP(B1016, "TYPE_OF_BOND")</f>
        <v>#N/A Field Not Applicable</v>
      </c>
    </row>
    <row r="1017" spans="1:27" x14ac:dyDescent="0.25">
      <c r="A1017">
        <v>1015</v>
      </c>
      <c r="B1017" t="s">
        <v>1806</v>
      </c>
      <c r="C1017" s="4" t="s">
        <v>1797</v>
      </c>
      <c r="D1017" s="4">
        <v>400274000</v>
      </c>
      <c r="E1017" t="s">
        <v>17</v>
      </c>
      <c r="F1017" s="1">
        <v>46813</v>
      </c>
      <c r="G1017">
        <v>7.5</v>
      </c>
      <c r="H1017" t="s">
        <v>9</v>
      </c>
      <c r="L1017" t="s">
        <v>1168</v>
      </c>
      <c r="M1017" t="s">
        <v>10</v>
      </c>
      <c r="N1017" t="s">
        <v>313</v>
      </c>
      <c r="O1017" t="s">
        <v>3212</v>
      </c>
      <c r="P1017" t="s">
        <v>2649</v>
      </c>
      <c r="Q1017" t="s">
        <v>3213</v>
      </c>
      <c r="R1017" t="s">
        <v>1807</v>
      </c>
      <c r="S1017">
        <v>4081530.7903725002</v>
      </c>
      <c r="T1017">
        <v>15</v>
      </c>
      <c r="U1017" t="s">
        <v>1169</v>
      </c>
      <c r="W1017" t="s">
        <v>1799</v>
      </c>
      <c r="X1017" t="str">
        <f t="shared" si="15"/>
        <v>BO282738@TRAC Corp</v>
      </c>
      <c r="Y1017">
        <f>_xlfn.IFNA(_xll.BDP(X1017,"INTERVAL_SUM", "MARKET_DATA_OVERRIDE=px_volume", "CALC_INTERVAL=5D"), "")</f>
        <v>85</v>
      </c>
      <c r="Z1017" t="str" cm="1">
        <f t="array" ref="Z1017">_xll.BDP(B1017, "CF_ACT_CASH_PAID_FOR_INT_DEBT")</f>
        <v>#N/A N/A</v>
      </c>
      <c r="AA1017" t="str" cm="1">
        <f t="array" ref="AA1017">_xll.BDP(B1017, "TYPE_OF_BOND")</f>
        <v>#N/A Field Not Applicable</v>
      </c>
    </row>
    <row r="1018" spans="1:27" x14ac:dyDescent="0.25">
      <c r="A1018">
        <v>1016</v>
      </c>
      <c r="B1018" t="s">
        <v>1808</v>
      </c>
      <c r="C1018" s="4" t="s">
        <v>1797</v>
      </c>
      <c r="D1018" s="4">
        <v>1000000000</v>
      </c>
      <c r="E1018" s="1" t="s">
        <v>11</v>
      </c>
      <c r="F1018" s="1">
        <v>47483</v>
      </c>
      <c r="G1018">
        <v>9.3536999999999999</v>
      </c>
      <c r="H1018" t="s">
        <v>13</v>
      </c>
      <c r="I1018" t="s">
        <v>2683</v>
      </c>
      <c r="J1018">
        <v>450</v>
      </c>
      <c r="L1018" t="s">
        <v>1168</v>
      </c>
      <c r="M1018" t="s">
        <v>595</v>
      </c>
      <c r="N1018" t="s">
        <v>313</v>
      </c>
      <c r="O1018" t="s">
        <v>3212</v>
      </c>
      <c r="P1018" t="s">
        <v>2649</v>
      </c>
      <c r="Q1018" t="s">
        <v>3213</v>
      </c>
      <c r="R1018" t="s">
        <v>1809</v>
      </c>
      <c r="V1018" t="s">
        <v>1810</v>
      </c>
      <c r="W1018" t="s">
        <v>1799</v>
      </c>
      <c r="X1018" t="str">
        <f t="shared" si="15"/>
        <v>BL822059@TRAC Corp</v>
      </c>
      <c r="Y1018" t="str">
        <f>_xlfn.IFNA(_xll.BDP(X1018,"INTERVAL_SUM", "MARKET_DATA_OVERRIDE=px_volume", "CALC_INTERVAL=5D"), "")</f>
        <v>#N/A N/A</v>
      </c>
      <c r="Z1018" t="str" cm="1">
        <f t="array" ref="Z1018">_xll.BDP(B1018, "CF_ACT_CASH_PAID_FOR_INT_DEBT")</f>
        <v>#N/A N/A</v>
      </c>
      <c r="AA1018" t="str" cm="1">
        <f t="array" ref="AA1018">_xll.BDP(B1018, "TYPE_OF_BOND")</f>
        <v>#N/A Field Not Applicable</v>
      </c>
    </row>
    <row r="1019" spans="1:27" x14ac:dyDescent="0.25">
      <c r="A1019">
        <v>1017</v>
      </c>
      <c r="B1019" t="s">
        <v>1811</v>
      </c>
      <c r="C1019" s="4" t="s">
        <v>1797</v>
      </c>
      <c r="D1019" s="4">
        <v>139285714.28999999</v>
      </c>
      <c r="E1019" s="1" t="s">
        <v>11</v>
      </c>
      <c r="F1019" s="1">
        <v>47385</v>
      </c>
      <c r="G1019">
        <v>7.3967000000000001</v>
      </c>
      <c r="H1019" t="s">
        <v>13</v>
      </c>
      <c r="I1019" t="s">
        <v>2631</v>
      </c>
      <c r="J1019">
        <v>375</v>
      </c>
      <c r="L1019" t="s">
        <v>1168</v>
      </c>
      <c r="M1019" t="s">
        <v>10</v>
      </c>
      <c r="N1019" t="s">
        <v>313</v>
      </c>
      <c r="O1019" t="s">
        <v>3212</v>
      </c>
      <c r="P1019" t="s">
        <v>2649</v>
      </c>
      <c r="Q1019" t="s">
        <v>3213</v>
      </c>
      <c r="R1019" t="s">
        <v>1812</v>
      </c>
      <c r="V1019" t="s">
        <v>227</v>
      </c>
      <c r="W1019" t="s">
        <v>1799</v>
      </c>
      <c r="X1019" t="str">
        <f t="shared" si="15"/>
        <v>BL518875@TRAC Corp</v>
      </c>
      <c r="Y1019" t="str">
        <f>_xlfn.IFNA(_xll.BDP(X1019,"INTERVAL_SUM", "MARKET_DATA_OVERRIDE=px_volume", "CALC_INTERVAL=5D"), "")</f>
        <v>#N/A N/A</v>
      </c>
      <c r="Z1019" t="str" cm="1">
        <f t="array" ref="Z1019">_xll.BDP(B1019, "CF_ACT_CASH_PAID_FOR_INT_DEBT")</f>
        <v>#N/A N/A</v>
      </c>
      <c r="AA1019" t="str" cm="1">
        <f t="array" ref="AA1019">_xll.BDP(B1019, "TYPE_OF_BOND")</f>
        <v>#N/A Field Not Applicable</v>
      </c>
    </row>
    <row r="1020" spans="1:27" x14ac:dyDescent="0.25">
      <c r="A1020">
        <v>1018</v>
      </c>
      <c r="B1020" t="s">
        <v>3800</v>
      </c>
      <c r="C1020" s="4" t="s">
        <v>3801</v>
      </c>
      <c r="D1020" s="4">
        <v>893394000</v>
      </c>
      <c r="E1020" s="1" t="s">
        <v>17</v>
      </c>
      <c r="F1020" s="1">
        <v>47727</v>
      </c>
      <c r="G1020">
        <v>4.875</v>
      </c>
      <c r="H1020" t="s">
        <v>9</v>
      </c>
      <c r="L1020" t="s">
        <v>1168</v>
      </c>
      <c r="M1020" t="s">
        <v>10</v>
      </c>
      <c r="N1020" t="s">
        <v>14</v>
      </c>
      <c r="O1020" t="s">
        <v>3230</v>
      </c>
      <c r="P1020" t="s">
        <v>3230</v>
      </c>
      <c r="Q1020" t="s">
        <v>3802</v>
      </c>
      <c r="R1020" t="s">
        <v>3803</v>
      </c>
      <c r="S1020">
        <v>3298285.3395265401</v>
      </c>
      <c r="T1020">
        <v>23</v>
      </c>
      <c r="U1020" t="s">
        <v>1169</v>
      </c>
      <c r="W1020" t="s">
        <v>3804</v>
      </c>
      <c r="X1020" t="str">
        <f t="shared" si="15"/>
        <v>YL531950@TRAC Corp</v>
      </c>
      <c r="Y1020">
        <f>_xlfn.IFNA(_xll.BDP(X1020,"INTERVAL_SUM", "MARKET_DATA_OVERRIDE=px_volume", "CALC_INTERVAL=5D"), "")</f>
        <v>1082</v>
      </c>
      <c r="Z1020" cm="1">
        <f t="array" ref="Z1020">_xll.BDP(B1020, "CF_ACT_CASH_PAID_FOR_INT_DEBT")</f>
        <v>14.913</v>
      </c>
      <c r="AA1020" t="str" cm="1">
        <f t="array" ref="AA1020">_xll.BDP(B1020, "TYPE_OF_BOND")</f>
        <v>Convertible</v>
      </c>
    </row>
    <row r="1021" spans="1:27" x14ac:dyDescent="0.25">
      <c r="A1021">
        <v>1019</v>
      </c>
      <c r="B1021" t="s">
        <v>3805</v>
      </c>
      <c r="C1021" s="4" t="s">
        <v>3801</v>
      </c>
      <c r="D1021" s="4">
        <v>158608000</v>
      </c>
      <c r="E1021" s="1" t="s">
        <v>17</v>
      </c>
      <c r="F1021" s="1">
        <v>46645</v>
      </c>
      <c r="G1021">
        <v>1.25</v>
      </c>
      <c r="H1021" t="s">
        <v>9</v>
      </c>
      <c r="L1021" t="s">
        <v>1168</v>
      </c>
      <c r="M1021" t="s">
        <v>10</v>
      </c>
      <c r="N1021" t="s">
        <v>14</v>
      </c>
      <c r="O1021" t="s">
        <v>3230</v>
      </c>
      <c r="P1021" t="s">
        <v>3230</v>
      </c>
      <c r="Q1021" t="s">
        <v>3802</v>
      </c>
      <c r="R1021" t="s">
        <v>3806</v>
      </c>
      <c r="S1021">
        <v>9611362.8539745193</v>
      </c>
      <c r="T1021">
        <v>39</v>
      </c>
      <c r="W1021" t="s">
        <v>3804</v>
      </c>
      <c r="X1021" t="str">
        <f t="shared" si="15"/>
        <v>BZ029108@TRAC Corp</v>
      </c>
      <c r="Y1021" t="str">
        <f>_xlfn.IFNA(_xll.BDP(X1021,"INTERVAL_SUM", "MARKET_DATA_OVERRIDE=px_volume", "CALC_INTERVAL=5D"), "")</f>
        <v>#N/A N/A</v>
      </c>
      <c r="Z1021" cm="1">
        <f t="array" ref="Z1021">_xll.BDP(B1021, "CF_ACT_CASH_PAID_FOR_INT_DEBT")</f>
        <v>14.913</v>
      </c>
      <c r="AA1021" t="str" cm="1">
        <f t="array" ref="AA1021">_xll.BDP(B1021, "TYPE_OF_BOND")</f>
        <v>Convertible</v>
      </c>
    </row>
    <row r="1022" spans="1:27" x14ac:dyDescent="0.25">
      <c r="A1022">
        <v>1020</v>
      </c>
      <c r="B1022" t="s">
        <v>2045</v>
      </c>
      <c r="C1022" s="4" t="s">
        <v>2046</v>
      </c>
      <c r="D1022" s="4">
        <v>887532619.52699995</v>
      </c>
      <c r="E1022" s="1" t="s">
        <v>11</v>
      </c>
      <c r="F1022" s="1">
        <v>47735</v>
      </c>
      <c r="G1022">
        <v>13.75</v>
      </c>
      <c r="H1022" t="s">
        <v>64</v>
      </c>
      <c r="L1022" t="s">
        <v>1168</v>
      </c>
      <c r="M1022" t="s">
        <v>10</v>
      </c>
      <c r="N1022" t="s">
        <v>16</v>
      </c>
      <c r="O1022" t="s">
        <v>3108</v>
      </c>
      <c r="P1022" t="s">
        <v>2644</v>
      </c>
      <c r="Q1022" t="s">
        <v>3185</v>
      </c>
      <c r="R1022" t="s">
        <v>2047</v>
      </c>
      <c r="S1022">
        <v>3239754.0236937399</v>
      </c>
      <c r="T1022">
        <v>41</v>
      </c>
      <c r="U1022" t="s">
        <v>1169</v>
      </c>
      <c r="W1022" t="s">
        <v>2048</v>
      </c>
      <c r="X1022" t="str">
        <f t="shared" si="15"/>
        <v>YK423726@TRAC Corp</v>
      </c>
      <c r="Y1022">
        <f>_xlfn.IFNA(_xll.BDP(X1022,"INTERVAL_SUM", "MARKET_DATA_OVERRIDE=px_volume", "CALC_INTERVAL=5D"), "")</f>
        <v>7725</v>
      </c>
      <c r="Z1022" cm="1">
        <f t="array" ref="Z1022">_xll.BDP(B1022, "CF_ACT_CASH_PAID_FOR_INT_DEBT")</f>
        <v>315.2</v>
      </c>
      <c r="AA1022" t="str" cm="1">
        <f t="array" ref="AA1022">_xll.BDP(B1022, "TYPE_OF_BOND")</f>
        <v>#N/A Field Not Applicable</v>
      </c>
    </row>
    <row r="1023" spans="1:27" x14ac:dyDescent="0.25">
      <c r="A1023">
        <v>1021</v>
      </c>
      <c r="B1023" t="s">
        <v>2049</v>
      </c>
      <c r="C1023" s="4" t="s">
        <v>2046</v>
      </c>
      <c r="D1023" s="4">
        <v>672523541.19000006</v>
      </c>
      <c r="E1023" s="1" t="s">
        <v>11</v>
      </c>
      <c r="F1023" s="1">
        <v>47551</v>
      </c>
      <c r="G1023">
        <v>9.25</v>
      </c>
      <c r="H1023" t="s">
        <v>64</v>
      </c>
      <c r="L1023" t="s">
        <v>1168</v>
      </c>
      <c r="M1023" t="s">
        <v>10</v>
      </c>
      <c r="N1023" t="s">
        <v>16</v>
      </c>
      <c r="O1023" t="s">
        <v>3108</v>
      </c>
      <c r="P1023" t="s">
        <v>2644</v>
      </c>
      <c r="Q1023" t="s">
        <v>3185</v>
      </c>
      <c r="R1023" t="s">
        <v>2050</v>
      </c>
      <c r="S1023">
        <v>12710033.5809757</v>
      </c>
      <c r="T1023">
        <v>53</v>
      </c>
      <c r="U1023" t="s">
        <v>1169</v>
      </c>
      <c r="W1023" t="s">
        <v>2048</v>
      </c>
      <c r="X1023" t="str">
        <f t="shared" si="15"/>
        <v>YK419914@TRAC Corp</v>
      </c>
      <c r="Y1023">
        <f>_xlfn.IFNA(_xll.BDP(X1023,"INTERVAL_SUM", "MARKET_DATA_OVERRIDE=px_volume", "CALC_INTERVAL=5D"), "")</f>
        <v>4981</v>
      </c>
      <c r="Z1023" cm="1">
        <f t="array" ref="Z1023">_xll.BDP(B1023, "CF_ACT_CASH_PAID_FOR_INT_DEBT")</f>
        <v>315.2</v>
      </c>
      <c r="AA1023" t="str" cm="1">
        <f t="array" ref="AA1023">_xll.BDP(B1023, "TYPE_OF_BOND")</f>
        <v>#N/A Field Not Applicable</v>
      </c>
    </row>
    <row r="1024" spans="1:27" x14ac:dyDescent="0.25">
      <c r="A1024">
        <v>1022</v>
      </c>
      <c r="B1024" t="s">
        <v>2051</v>
      </c>
      <c r="C1024" s="4" t="s">
        <v>2046</v>
      </c>
      <c r="D1024" s="4">
        <v>600000000</v>
      </c>
      <c r="E1024" s="1" t="s">
        <v>17</v>
      </c>
      <c r="F1024" s="1">
        <v>39569</v>
      </c>
      <c r="G1024">
        <v>13</v>
      </c>
      <c r="H1024" t="s">
        <v>34</v>
      </c>
      <c r="L1024" t="s">
        <v>1168</v>
      </c>
      <c r="M1024" t="s">
        <v>19</v>
      </c>
      <c r="N1024" t="s">
        <v>15</v>
      </c>
      <c r="O1024" t="s">
        <v>3231</v>
      </c>
      <c r="P1024" t="s">
        <v>2644</v>
      </c>
      <c r="Q1024" t="s">
        <v>3232</v>
      </c>
      <c r="R1024" t="s">
        <v>2052</v>
      </c>
      <c r="S1024">
        <v>-9997</v>
      </c>
      <c r="U1024" t="s">
        <v>1585</v>
      </c>
      <c r="W1024" t="s">
        <v>2048</v>
      </c>
      <c r="X1024" t="str">
        <f t="shared" si="15"/>
        <v>EC290131@TRAC Corp</v>
      </c>
      <c r="Y1024" t="str">
        <f>_xlfn.IFNA(_xll.BDP(X1024,"INTERVAL_SUM", "MARKET_DATA_OVERRIDE=px_volume", "CALC_INTERVAL=5D"), "")</f>
        <v>#N/A N/A</v>
      </c>
      <c r="Z1024" cm="1">
        <f t="array" ref="Z1024">_xll.BDP(B1024, "CF_ACT_CASH_PAID_FOR_INT_DEBT")</f>
        <v>227.28973846153838</v>
      </c>
      <c r="AA1024" t="str" cm="1">
        <f t="array" ref="AA1024">_xll.BDP(B1024, "TYPE_OF_BOND")</f>
        <v>Yankee</v>
      </c>
    </row>
    <row r="1025" spans="1:27" x14ac:dyDescent="0.25">
      <c r="A1025">
        <v>1023</v>
      </c>
      <c r="B1025" t="s">
        <v>2053</v>
      </c>
      <c r="C1025" s="4" t="s">
        <v>2046</v>
      </c>
      <c r="D1025" s="4">
        <v>200000000</v>
      </c>
      <c r="E1025" s="1" t="s">
        <v>17</v>
      </c>
      <c r="F1025" s="1">
        <v>39569</v>
      </c>
      <c r="G1025">
        <v>13</v>
      </c>
      <c r="H1025" t="s">
        <v>34</v>
      </c>
      <c r="L1025" t="s">
        <v>1171</v>
      </c>
      <c r="M1025" t="s">
        <v>19</v>
      </c>
      <c r="N1025" t="s">
        <v>15</v>
      </c>
      <c r="O1025" t="s">
        <v>3231</v>
      </c>
      <c r="P1025" t="s">
        <v>2644</v>
      </c>
      <c r="Q1025" t="s">
        <v>3232</v>
      </c>
      <c r="R1025" t="s">
        <v>2052</v>
      </c>
      <c r="S1025">
        <v>-9997</v>
      </c>
      <c r="U1025" t="s">
        <v>1171</v>
      </c>
      <c r="W1025" t="s">
        <v>2048</v>
      </c>
      <c r="X1025" t="str">
        <f t="shared" si="15"/>
        <v>EC286925@TRAC Corp</v>
      </c>
      <c r="Y1025" t="str">
        <f>_xlfn.IFNA(_xll.BDP(X1025,"INTERVAL_SUM", "MARKET_DATA_OVERRIDE=px_volume", "CALC_INTERVAL=5D"), "")</f>
        <v>#N/A N/A</v>
      </c>
      <c r="Z1025" cm="1">
        <f t="array" ref="Z1025">_xll.BDP(B1025, "CF_ACT_CASH_PAID_FOR_INT_DEBT")</f>
        <v>227.28973846153838</v>
      </c>
      <c r="AA1025" t="str" cm="1">
        <f t="array" ref="AA1025">_xll.BDP(B1025, "TYPE_OF_BOND")</f>
        <v>#N/A Field Not Applicable</v>
      </c>
    </row>
    <row r="1026" spans="1:27" x14ac:dyDescent="0.25">
      <c r="A1026">
        <v>1024</v>
      </c>
      <c r="B1026" t="s">
        <v>2054</v>
      </c>
      <c r="C1026" s="4" t="s">
        <v>2046</v>
      </c>
      <c r="D1026" s="4">
        <v>200000000</v>
      </c>
      <c r="E1026" s="1" t="s">
        <v>17</v>
      </c>
      <c r="F1026" s="1">
        <v>39569</v>
      </c>
      <c r="G1026">
        <v>13</v>
      </c>
      <c r="H1026" t="s">
        <v>34</v>
      </c>
      <c r="L1026" t="s">
        <v>1171</v>
      </c>
      <c r="M1026" t="s">
        <v>19</v>
      </c>
      <c r="N1026" t="s">
        <v>15</v>
      </c>
      <c r="O1026" t="s">
        <v>3231</v>
      </c>
      <c r="P1026" t="s">
        <v>2644</v>
      </c>
      <c r="Q1026" t="s">
        <v>3232</v>
      </c>
      <c r="R1026" t="s">
        <v>2052</v>
      </c>
      <c r="S1026">
        <v>-9997</v>
      </c>
      <c r="U1026" t="s">
        <v>1169</v>
      </c>
      <c r="W1026" t="s">
        <v>2048</v>
      </c>
      <c r="X1026" t="str">
        <f t="shared" si="15"/>
        <v>EC250991@TRAC Corp</v>
      </c>
      <c r="Y1026" t="str">
        <f>_xlfn.IFNA(_xll.BDP(X1026,"INTERVAL_SUM", "MARKET_DATA_OVERRIDE=px_volume", "CALC_INTERVAL=5D"), "")</f>
        <v>#N/A N/A</v>
      </c>
      <c r="Z1026" cm="1">
        <f t="array" ref="Z1026">_xll.BDP(B1026, "CF_ACT_CASH_PAID_FOR_INT_DEBT")</f>
        <v>227.28973846153838</v>
      </c>
      <c r="AA1026" t="str" cm="1">
        <f t="array" ref="AA1026">_xll.BDP(B1026, "TYPE_OF_BOND")</f>
        <v>#N/A Field Not Applicable</v>
      </c>
    </row>
    <row r="1027" spans="1:27" x14ac:dyDescent="0.25">
      <c r="A1027">
        <v>1025</v>
      </c>
      <c r="B1027" t="s">
        <v>2055</v>
      </c>
      <c r="C1027" s="4" t="s">
        <v>2046</v>
      </c>
      <c r="D1027" s="4">
        <v>500000000</v>
      </c>
      <c r="E1027" s="1" t="s">
        <v>8</v>
      </c>
      <c r="F1027" s="1">
        <v>40026</v>
      </c>
      <c r="G1027">
        <v>12</v>
      </c>
      <c r="H1027" t="s">
        <v>34</v>
      </c>
      <c r="L1027" t="s">
        <v>1168</v>
      </c>
      <c r="M1027" t="s">
        <v>19</v>
      </c>
      <c r="N1027" t="s">
        <v>15</v>
      </c>
      <c r="O1027" t="s">
        <v>3231</v>
      </c>
      <c r="P1027" t="s">
        <v>2644</v>
      </c>
      <c r="Q1027" t="s">
        <v>3232</v>
      </c>
      <c r="R1027" t="s">
        <v>2056</v>
      </c>
      <c r="S1027">
        <v>-9997</v>
      </c>
      <c r="W1027" t="s">
        <v>2048</v>
      </c>
      <c r="X1027" t="str">
        <f t="shared" ref="X1027:X1090" si="16">SUBSTITUTE(B1027," Corp","@TRAC Corp")</f>
        <v>EC232566@TRAC Corp</v>
      </c>
      <c r="Y1027" t="str">
        <f>_xlfn.IFNA(_xll.BDP(X1027,"INTERVAL_SUM", "MARKET_DATA_OVERRIDE=px_volume", "CALC_INTERVAL=5D"), "")</f>
        <v>#N/A N/A</v>
      </c>
      <c r="Z1027" cm="1">
        <f t="array" ref="Z1027">_xll.BDP(B1027, "CF_ACT_CASH_PAID_FOR_INT_DEBT")</f>
        <v>227.28973846153838</v>
      </c>
      <c r="AA1027" t="str" cm="1">
        <f t="array" ref="AA1027">_xll.BDP(B1027, "TYPE_OF_BOND")</f>
        <v>Yankee</v>
      </c>
    </row>
    <row r="1028" spans="1:27" x14ac:dyDescent="0.25">
      <c r="A1028">
        <v>1026</v>
      </c>
      <c r="B1028" t="s">
        <v>2057</v>
      </c>
      <c r="C1028" s="4" t="s">
        <v>2046</v>
      </c>
      <c r="D1028" s="4">
        <v>175000000</v>
      </c>
      <c r="E1028" s="1" t="s">
        <v>17</v>
      </c>
      <c r="F1028" s="1">
        <v>38701</v>
      </c>
      <c r="G1028">
        <v>12.5</v>
      </c>
      <c r="H1028" t="s">
        <v>34</v>
      </c>
      <c r="L1028" t="s">
        <v>1168</v>
      </c>
      <c r="M1028" t="s">
        <v>19</v>
      </c>
      <c r="N1028" t="s">
        <v>15</v>
      </c>
      <c r="O1028" t="s">
        <v>3231</v>
      </c>
      <c r="P1028" t="s">
        <v>2644</v>
      </c>
      <c r="Q1028" t="s">
        <v>3232</v>
      </c>
      <c r="R1028" t="s">
        <v>2058</v>
      </c>
      <c r="S1028">
        <v>-9997</v>
      </c>
      <c r="W1028" t="s">
        <v>2048</v>
      </c>
      <c r="X1028" t="str">
        <f t="shared" si="16"/>
        <v>EC174022@TRAC Corp</v>
      </c>
      <c r="Y1028" t="str">
        <f>_xlfn.IFNA(_xll.BDP(X1028,"INTERVAL_SUM", "MARKET_DATA_OVERRIDE=px_volume", "CALC_INTERVAL=5D"), "")</f>
        <v>#N/A N/A</v>
      </c>
      <c r="Z1028" cm="1">
        <f t="array" ref="Z1028">_xll.BDP(B1028, "CF_ACT_CASH_PAID_FOR_INT_DEBT")</f>
        <v>227.28973846153838</v>
      </c>
      <c r="AA1028" t="str" cm="1">
        <f t="array" ref="AA1028">_xll.BDP(B1028, "TYPE_OF_BOND")</f>
        <v>Yankee</v>
      </c>
    </row>
    <row r="1029" spans="1:27" x14ac:dyDescent="0.25">
      <c r="A1029">
        <v>1027</v>
      </c>
      <c r="B1029" t="s">
        <v>2059</v>
      </c>
      <c r="C1029" s="4" t="s">
        <v>2046</v>
      </c>
      <c r="D1029" s="4">
        <v>297159.25</v>
      </c>
      <c r="E1029" s="1" t="s">
        <v>11</v>
      </c>
      <c r="F1029" s="1">
        <v>48487</v>
      </c>
      <c r="G1029">
        <v>7.1439000000000004</v>
      </c>
      <c r="H1029" t="s">
        <v>13</v>
      </c>
      <c r="I1029" t="s">
        <v>2631</v>
      </c>
      <c r="J1029">
        <v>350</v>
      </c>
      <c r="L1029" t="s">
        <v>1168</v>
      </c>
      <c r="N1029" t="s">
        <v>16</v>
      </c>
      <c r="O1029" t="s">
        <v>3108</v>
      </c>
      <c r="R1029" t="s">
        <v>2060</v>
      </c>
      <c r="V1029" t="s">
        <v>227</v>
      </c>
      <c r="W1029" t="s">
        <v>2048</v>
      </c>
      <c r="X1029" t="str">
        <f t="shared" si="16"/>
        <v>BL553450@TRAC Corp</v>
      </c>
      <c r="Y1029" t="str">
        <f>_xlfn.IFNA(_xll.BDP(X1029,"INTERVAL_SUM", "MARKET_DATA_OVERRIDE=px_volume", "CALC_INTERVAL=5D"), "")</f>
        <v>#N/A N/A</v>
      </c>
      <c r="Z1029" cm="1">
        <f t="array" ref="Z1029">_xll.BDP(B1029, "CF_ACT_CASH_PAID_FOR_INT_DEBT")</f>
        <v>315.2</v>
      </c>
      <c r="AA1029" t="str" cm="1">
        <f t="array" ref="AA1029">_xll.BDP(B1029, "TYPE_OF_BOND")</f>
        <v>#N/A Field Not Applicable</v>
      </c>
    </row>
    <row r="1030" spans="1:27" x14ac:dyDescent="0.25">
      <c r="A1030">
        <v>1028</v>
      </c>
      <c r="B1030" t="s">
        <v>2061</v>
      </c>
      <c r="C1030" s="4" t="s">
        <v>2046</v>
      </c>
      <c r="D1030" s="4">
        <v>526906154.29000002</v>
      </c>
      <c r="E1030" t="s">
        <v>80</v>
      </c>
      <c r="F1030" s="1">
        <v>47553</v>
      </c>
      <c r="G1030">
        <v>6.0410000000000004</v>
      </c>
      <c r="H1030" t="s">
        <v>13</v>
      </c>
      <c r="I1030" t="s">
        <v>2636</v>
      </c>
      <c r="J1030">
        <v>375</v>
      </c>
      <c r="L1030" t="s">
        <v>1171</v>
      </c>
      <c r="M1030" t="s">
        <v>10</v>
      </c>
      <c r="N1030" t="s">
        <v>16</v>
      </c>
      <c r="O1030" t="s">
        <v>3108</v>
      </c>
      <c r="P1030" t="s">
        <v>2644</v>
      </c>
      <c r="Q1030" t="s">
        <v>3185</v>
      </c>
      <c r="R1030" t="s">
        <v>2062</v>
      </c>
      <c r="S1030">
        <v>3000000</v>
      </c>
      <c r="T1030">
        <v>27</v>
      </c>
      <c r="V1030" t="s">
        <v>256</v>
      </c>
      <c r="W1030" t="s">
        <v>2048</v>
      </c>
      <c r="X1030" t="str">
        <f t="shared" si="16"/>
        <v>BL525018@TRAC Corp</v>
      </c>
      <c r="Y1030" t="str">
        <f>_xlfn.IFNA(_xll.BDP(X1030,"INTERVAL_SUM", "MARKET_DATA_OVERRIDE=px_volume", "CALC_INTERVAL=5D"), "")</f>
        <v>#N/A N/A</v>
      </c>
      <c r="Z1030" cm="1">
        <f t="array" ref="Z1030">_xll.BDP(B1030, "CF_ACT_CASH_PAID_FOR_INT_DEBT")</f>
        <v>315.2</v>
      </c>
      <c r="AA1030" t="str" cm="1">
        <f t="array" ref="AA1030">_xll.BDP(B1030, "TYPE_OF_BOND")</f>
        <v>#N/A Field Not Applicable</v>
      </c>
    </row>
    <row r="1031" spans="1:27" x14ac:dyDescent="0.25">
      <c r="A1031">
        <v>1029</v>
      </c>
      <c r="B1031" t="s">
        <v>2063</v>
      </c>
      <c r="C1031" s="4" t="s">
        <v>2046</v>
      </c>
      <c r="D1031" s="4">
        <v>3824292909.4400001</v>
      </c>
      <c r="E1031" s="1" t="s">
        <v>80</v>
      </c>
      <c r="F1031" s="1">
        <v>47553</v>
      </c>
      <c r="G1031">
        <v>7.2938999999999998</v>
      </c>
      <c r="H1031" t="s">
        <v>13</v>
      </c>
      <c r="I1031" t="s">
        <v>2631</v>
      </c>
      <c r="J1031">
        <v>350</v>
      </c>
      <c r="L1031" t="s">
        <v>1168</v>
      </c>
      <c r="M1031" t="s">
        <v>10</v>
      </c>
      <c r="N1031" t="s">
        <v>16</v>
      </c>
      <c r="O1031" t="s">
        <v>3108</v>
      </c>
      <c r="P1031" t="s">
        <v>2644</v>
      </c>
      <c r="Q1031" t="s">
        <v>3185</v>
      </c>
      <c r="R1031" t="s">
        <v>2064</v>
      </c>
      <c r="S1031">
        <v>5000000</v>
      </c>
      <c r="T1031">
        <v>56</v>
      </c>
      <c r="V1031" t="s">
        <v>256</v>
      </c>
      <c r="W1031" t="s">
        <v>2048</v>
      </c>
      <c r="X1031" t="str">
        <f t="shared" si="16"/>
        <v>BL525016@TRAC Corp</v>
      </c>
      <c r="Y1031" t="str">
        <f>_xlfn.IFNA(_xll.BDP(X1031,"INTERVAL_SUM", "MARKET_DATA_OVERRIDE=px_volume", "CALC_INTERVAL=5D"), "")</f>
        <v>#N/A N/A</v>
      </c>
      <c r="Z1031" cm="1">
        <f t="array" ref="Z1031">_xll.BDP(B1031, "CF_ACT_CASH_PAID_FOR_INT_DEBT")</f>
        <v>315.2</v>
      </c>
      <c r="AA1031" t="str" cm="1">
        <f t="array" ref="AA1031">_xll.BDP(B1031, "TYPE_OF_BOND")</f>
        <v>#N/A Field Not Applicable</v>
      </c>
    </row>
    <row r="1032" spans="1:27" x14ac:dyDescent="0.25">
      <c r="A1032">
        <v>1030</v>
      </c>
      <c r="B1032" t="s">
        <v>2065</v>
      </c>
      <c r="C1032" s="4" t="s">
        <v>2066</v>
      </c>
      <c r="D1032" s="4">
        <v>875351250</v>
      </c>
      <c r="E1032" s="1" t="s">
        <v>11</v>
      </c>
      <c r="F1032" s="1">
        <v>46976</v>
      </c>
      <c r="G1032">
        <v>7.6700999999999997</v>
      </c>
      <c r="H1032" t="s">
        <v>13</v>
      </c>
      <c r="I1032" t="s">
        <v>2635</v>
      </c>
      <c r="J1032">
        <v>400</v>
      </c>
      <c r="L1032" t="s">
        <v>1168</v>
      </c>
      <c r="M1032" t="s">
        <v>10</v>
      </c>
      <c r="N1032" t="s">
        <v>36</v>
      </c>
      <c r="O1032" t="s">
        <v>3233</v>
      </c>
      <c r="P1032" t="s">
        <v>2639</v>
      </c>
      <c r="Q1032" t="s">
        <v>3234</v>
      </c>
      <c r="R1032" t="s">
        <v>2067</v>
      </c>
      <c r="S1032">
        <v>2000000</v>
      </c>
      <c r="T1032">
        <v>8</v>
      </c>
      <c r="V1032" t="s">
        <v>227</v>
      </c>
      <c r="W1032" t="s">
        <v>2068</v>
      </c>
      <c r="X1032" t="str">
        <f t="shared" si="16"/>
        <v>BL466575@TRAC Corp</v>
      </c>
      <c r="Y1032" t="str">
        <f>_xlfn.IFNA(_xll.BDP(X1032,"INTERVAL_SUM", "MARKET_DATA_OVERRIDE=px_volume", "CALC_INTERVAL=5D"), "")</f>
        <v>#N/A N/A</v>
      </c>
      <c r="Z1032" t="str" cm="1">
        <f t="array" ref="Z1032">_xll.BDP(B1032, "CF_ACT_CASH_PAID_FOR_INT_DEBT")</f>
        <v>#N/A N/A</v>
      </c>
      <c r="AA1032" t="str" cm="1">
        <f t="array" ref="AA1032">_xll.BDP(B1032, "TYPE_OF_BOND")</f>
        <v>#N/A Field Not Applicable</v>
      </c>
    </row>
    <row r="1033" spans="1:27" x14ac:dyDescent="0.25">
      <c r="A1033">
        <v>1031</v>
      </c>
      <c r="B1033" t="s">
        <v>2069</v>
      </c>
      <c r="C1033" s="4" t="s">
        <v>2070</v>
      </c>
      <c r="D1033" s="4">
        <v>75000000</v>
      </c>
      <c r="E1033" s="1" t="s">
        <v>11</v>
      </c>
      <c r="F1033" s="1">
        <v>47164</v>
      </c>
      <c r="G1033">
        <v>15</v>
      </c>
      <c r="H1033" t="s">
        <v>9</v>
      </c>
      <c r="I1033" t="s">
        <v>2630</v>
      </c>
      <c r="L1033" t="s">
        <v>1168</v>
      </c>
      <c r="M1033" t="s">
        <v>10</v>
      </c>
      <c r="N1033" t="s">
        <v>14</v>
      </c>
      <c r="O1033" t="s">
        <v>3120</v>
      </c>
      <c r="P1033" t="s">
        <v>2641</v>
      </c>
      <c r="Q1033" t="s">
        <v>3235</v>
      </c>
      <c r="R1033" t="s">
        <v>2071</v>
      </c>
      <c r="V1033" t="s">
        <v>227</v>
      </c>
      <c r="W1033" t="s">
        <v>2072</v>
      </c>
      <c r="X1033" t="str">
        <f t="shared" si="16"/>
        <v>BL423552@TRAC Corp</v>
      </c>
      <c r="Y1033" t="str">
        <f>_xlfn.IFNA(_xll.BDP(X1033,"INTERVAL_SUM", "MARKET_DATA_OVERRIDE=px_volume", "CALC_INTERVAL=5D"), "")</f>
        <v>#N/A N/A</v>
      </c>
      <c r="Z1033" t="str" cm="1">
        <f t="array" ref="Z1033">_xll.BDP(B1033, "CF_ACT_CASH_PAID_FOR_INT_DEBT")</f>
        <v>#N/A N/A</v>
      </c>
      <c r="AA1033" t="str" cm="1">
        <f t="array" ref="AA1033">_xll.BDP(B1033, "TYPE_OF_BOND")</f>
        <v>#N/A Field Not Applicable</v>
      </c>
    </row>
    <row r="1034" spans="1:27" x14ac:dyDescent="0.25">
      <c r="A1034">
        <v>1032</v>
      </c>
      <c r="B1034" t="s">
        <v>2073</v>
      </c>
      <c r="C1034" s="4" t="s">
        <v>2070</v>
      </c>
      <c r="D1034" s="4">
        <v>35000000</v>
      </c>
      <c r="E1034" s="1" t="s">
        <v>11</v>
      </c>
      <c r="F1034" s="1">
        <v>46434</v>
      </c>
      <c r="G1034">
        <v>7.9939</v>
      </c>
      <c r="H1034" t="s">
        <v>13</v>
      </c>
      <c r="I1034" t="s">
        <v>2631</v>
      </c>
      <c r="J1034">
        <v>425</v>
      </c>
      <c r="L1034" t="s">
        <v>1168</v>
      </c>
      <c r="M1034" t="s">
        <v>10</v>
      </c>
      <c r="N1034" t="s">
        <v>14</v>
      </c>
      <c r="O1034" t="s">
        <v>3120</v>
      </c>
      <c r="P1034" t="s">
        <v>2641</v>
      </c>
      <c r="Q1034" t="s">
        <v>3235</v>
      </c>
      <c r="R1034" t="s">
        <v>2074</v>
      </c>
      <c r="V1034" t="s">
        <v>226</v>
      </c>
      <c r="W1034" t="s">
        <v>2072</v>
      </c>
      <c r="X1034" t="str">
        <f t="shared" si="16"/>
        <v>BL385909@TRAC Corp</v>
      </c>
      <c r="Y1034" t="str">
        <f>_xlfn.IFNA(_xll.BDP(X1034,"INTERVAL_SUM", "MARKET_DATA_OVERRIDE=px_volume", "CALC_INTERVAL=5D"), "")</f>
        <v>#N/A N/A</v>
      </c>
      <c r="Z1034" t="str" cm="1">
        <f t="array" ref="Z1034">_xll.BDP(B1034, "CF_ACT_CASH_PAID_FOR_INT_DEBT")</f>
        <v>#N/A N/A</v>
      </c>
      <c r="AA1034" t="str" cm="1">
        <f t="array" ref="AA1034">_xll.BDP(B1034, "TYPE_OF_BOND")</f>
        <v>#N/A Field Not Applicable</v>
      </c>
    </row>
    <row r="1035" spans="1:27" x14ac:dyDescent="0.25">
      <c r="A1035">
        <v>1033</v>
      </c>
      <c r="B1035" t="s">
        <v>2075</v>
      </c>
      <c r="C1035" s="4" t="s">
        <v>2070</v>
      </c>
      <c r="D1035" s="4">
        <v>875000000</v>
      </c>
      <c r="E1035" s="1" t="s">
        <v>11</v>
      </c>
      <c r="F1035" s="1">
        <v>47164</v>
      </c>
      <c r="G1035">
        <v>8.1029</v>
      </c>
      <c r="H1035" t="s">
        <v>13</v>
      </c>
      <c r="I1035" t="s">
        <v>2635</v>
      </c>
      <c r="J1035">
        <v>425</v>
      </c>
      <c r="L1035" t="s">
        <v>1168</v>
      </c>
      <c r="M1035" t="s">
        <v>10</v>
      </c>
      <c r="N1035" t="s">
        <v>14</v>
      </c>
      <c r="O1035" t="s">
        <v>3120</v>
      </c>
      <c r="P1035" t="s">
        <v>2641</v>
      </c>
      <c r="Q1035" t="s">
        <v>3235</v>
      </c>
      <c r="R1035" t="s">
        <v>2071</v>
      </c>
      <c r="S1035">
        <v>5000000</v>
      </c>
      <c r="T1035">
        <v>2</v>
      </c>
      <c r="V1035" t="s">
        <v>227</v>
      </c>
      <c r="W1035" t="s">
        <v>2072</v>
      </c>
      <c r="X1035" t="str">
        <f t="shared" si="16"/>
        <v>BL384013@TRAC Corp</v>
      </c>
      <c r="Y1035" t="str">
        <f>_xlfn.IFNA(_xll.BDP(X1035,"INTERVAL_SUM", "MARKET_DATA_OVERRIDE=px_volume", "CALC_INTERVAL=5D"), "")</f>
        <v>#N/A N/A</v>
      </c>
      <c r="Z1035" t="str" cm="1">
        <f t="array" ref="Z1035">_xll.BDP(B1035, "CF_ACT_CASH_PAID_FOR_INT_DEBT")</f>
        <v>#N/A N/A</v>
      </c>
      <c r="AA1035" t="str" cm="1">
        <f t="array" ref="AA1035">_xll.BDP(B1035, "TYPE_OF_BOND")</f>
        <v>#N/A Field Not Applicable</v>
      </c>
    </row>
    <row r="1036" spans="1:27" x14ac:dyDescent="0.25">
      <c r="A1036">
        <v>1034</v>
      </c>
      <c r="B1036" t="s">
        <v>2087</v>
      </c>
      <c r="C1036" s="4" t="s">
        <v>2088</v>
      </c>
      <c r="D1036" s="4">
        <v>100000000</v>
      </c>
      <c r="E1036" t="s">
        <v>11</v>
      </c>
      <c r="F1036" s="1">
        <v>46703</v>
      </c>
      <c r="G1036">
        <v>6.6677</v>
      </c>
      <c r="H1036" t="s">
        <v>13</v>
      </c>
      <c r="I1036" t="s">
        <v>2635</v>
      </c>
      <c r="J1036">
        <v>300</v>
      </c>
      <c r="L1036" t="s">
        <v>1168</v>
      </c>
      <c r="M1036" t="s">
        <v>10</v>
      </c>
      <c r="N1036" t="s">
        <v>16</v>
      </c>
      <c r="O1036" t="s">
        <v>3108</v>
      </c>
      <c r="P1036" t="s">
        <v>2632</v>
      </c>
      <c r="Q1036" t="s">
        <v>3239</v>
      </c>
      <c r="R1036" t="s">
        <v>2089</v>
      </c>
      <c r="S1036">
        <v>2851840.5962369898</v>
      </c>
      <c r="T1036">
        <v>3</v>
      </c>
      <c r="V1036" t="s">
        <v>227</v>
      </c>
      <c r="W1036" t="s">
        <v>2090</v>
      </c>
      <c r="X1036" t="str">
        <f t="shared" si="16"/>
        <v>BL484582@TRAC Corp</v>
      </c>
      <c r="Y1036" t="str">
        <f>_xlfn.IFNA(_xll.BDP(X1036,"INTERVAL_SUM", "MARKET_DATA_OVERRIDE=px_volume", "CALC_INTERVAL=5D"), "")</f>
        <v>#N/A N/A</v>
      </c>
      <c r="Z1036" t="str" cm="1">
        <f t="array" ref="Z1036">_xll.BDP(B1036, "CF_ACT_CASH_PAID_FOR_INT_DEBT")</f>
        <v>#N/A N/A</v>
      </c>
      <c r="AA1036" t="str" cm="1">
        <f t="array" ref="AA1036">_xll.BDP(B1036, "TYPE_OF_BOND")</f>
        <v>#N/A Field Not Applicable</v>
      </c>
    </row>
    <row r="1037" spans="1:27" x14ac:dyDescent="0.25">
      <c r="A1037">
        <v>1035</v>
      </c>
      <c r="B1037" t="s">
        <v>2091</v>
      </c>
      <c r="C1037" s="4" t="s">
        <v>2088</v>
      </c>
      <c r="D1037" s="4">
        <v>5000000</v>
      </c>
      <c r="E1037" t="s">
        <v>11</v>
      </c>
      <c r="F1037" s="1">
        <v>46584</v>
      </c>
      <c r="G1037">
        <v>6.7584</v>
      </c>
      <c r="H1037" t="s">
        <v>13</v>
      </c>
      <c r="I1037" t="s">
        <v>2631</v>
      </c>
      <c r="J1037">
        <v>300</v>
      </c>
      <c r="L1037" t="s">
        <v>1168</v>
      </c>
      <c r="M1037" t="s">
        <v>10</v>
      </c>
      <c r="N1037" t="s">
        <v>16</v>
      </c>
      <c r="O1037" t="s">
        <v>3108</v>
      </c>
      <c r="P1037" t="s">
        <v>2632</v>
      </c>
      <c r="Q1037" t="s">
        <v>3239</v>
      </c>
      <c r="R1037" t="s">
        <v>2092</v>
      </c>
      <c r="V1037" t="s">
        <v>226</v>
      </c>
      <c r="W1037" t="s">
        <v>2090</v>
      </c>
      <c r="X1037" t="str">
        <f t="shared" si="16"/>
        <v>BL347226@TRAC Corp</v>
      </c>
      <c r="Y1037" t="str">
        <f>_xlfn.IFNA(_xll.BDP(X1037,"INTERVAL_SUM", "MARKET_DATA_OVERRIDE=px_volume", "CALC_INTERVAL=5D"), "")</f>
        <v>#N/A N/A</v>
      </c>
      <c r="Z1037" t="str" cm="1">
        <f t="array" ref="Z1037">_xll.BDP(B1037, "CF_ACT_CASH_PAID_FOR_INT_DEBT")</f>
        <v>#N/A N/A</v>
      </c>
      <c r="AA1037" t="str" cm="1">
        <f t="array" ref="AA1037">_xll.BDP(B1037, "TYPE_OF_BOND")</f>
        <v>#N/A Field Not Applicable</v>
      </c>
    </row>
    <row r="1038" spans="1:27" x14ac:dyDescent="0.25">
      <c r="A1038">
        <v>1036</v>
      </c>
      <c r="B1038" t="s">
        <v>2093</v>
      </c>
      <c r="C1038" s="4" t="s">
        <v>2088</v>
      </c>
      <c r="D1038" s="4">
        <v>865000000</v>
      </c>
      <c r="E1038" t="s">
        <v>11</v>
      </c>
      <c r="F1038" s="1">
        <v>46703</v>
      </c>
      <c r="G1038">
        <v>6.9253</v>
      </c>
      <c r="H1038" t="s">
        <v>13</v>
      </c>
      <c r="I1038" t="s">
        <v>2635</v>
      </c>
      <c r="J1038">
        <v>300</v>
      </c>
      <c r="L1038" t="s">
        <v>1168</v>
      </c>
      <c r="M1038" t="s">
        <v>10</v>
      </c>
      <c r="N1038" t="s">
        <v>16</v>
      </c>
      <c r="O1038" t="s">
        <v>3108</v>
      </c>
      <c r="P1038" t="s">
        <v>2632</v>
      </c>
      <c r="Q1038" t="s">
        <v>3239</v>
      </c>
      <c r="R1038" t="s">
        <v>2089</v>
      </c>
      <c r="S1038">
        <v>2000000</v>
      </c>
      <c r="T1038">
        <v>2</v>
      </c>
      <c r="V1038" t="s">
        <v>227</v>
      </c>
      <c r="W1038" t="s">
        <v>2090</v>
      </c>
      <c r="X1038" t="str">
        <f t="shared" si="16"/>
        <v>BL346782@TRAC Corp</v>
      </c>
      <c r="Y1038" t="str">
        <f>_xlfn.IFNA(_xll.BDP(X1038,"INTERVAL_SUM", "MARKET_DATA_OVERRIDE=px_volume", "CALC_INTERVAL=5D"), "")</f>
        <v>#N/A N/A</v>
      </c>
      <c r="Z1038" t="str" cm="1">
        <f t="array" ref="Z1038">_xll.BDP(B1038, "CF_ACT_CASH_PAID_FOR_INT_DEBT")</f>
        <v>#N/A N/A</v>
      </c>
      <c r="AA1038" t="str" cm="1">
        <f t="array" ref="AA1038">_xll.BDP(B1038, "TYPE_OF_BOND")</f>
        <v>#N/A Field Not Applicable</v>
      </c>
    </row>
    <row r="1039" spans="1:27" x14ac:dyDescent="0.25">
      <c r="A1039">
        <v>1037</v>
      </c>
      <c r="B1039" t="s">
        <v>3568</v>
      </c>
      <c r="C1039" s="4" t="s">
        <v>3569</v>
      </c>
      <c r="D1039" s="4">
        <v>13000000</v>
      </c>
      <c r="E1039" t="s">
        <v>11</v>
      </c>
      <c r="F1039" s="1">
        <v>46601</v>
      </c>
      <c r="G1039">
        <v>10.2689</v>
      </c>
      <c r="H1039" t="s">
        <v>13</v>
      </c>
      <c r="I1039" t="s">
        <v>2631</v>
      </c>
      <c r="J1039">
        <v>662.5</v>
      </c>
      <c r="L1039" t="s">
        <v>1168</v>
      </c>
      <c r="M1039" t="s">
        <v>10</v>
      </c>
      <c r="N1039" t="s">
        <v>1149</v>
      </c>
      <c r="O1039" t="s">
        <v>3570</v>
      </c>
      <c r="P1039" t="s">
        <v>2693</v>
      </c>
      <c r="Q1039" t="s">
        <v>3571</v>
      </c>
      <c r="R1039" t="s">
        <v>3572</v>
      </c>
      <c r="V1039" t="s">
        <v>226</v>
      </c>
      <c r="W1039" t="s">
        <v>3573</v>
      </c>
      <c r="X1039" t="str">
        <f t="shared" si="16"/>
        <v>BL397042@TRAC Corp</v>
      </c>
      <c r="Y1039" t="str">
        <f>_xlfn.IFNA(_xll.BDP(X1039,"INTERVAL_SUM", "MARKET_DATA_OVERRIDE=px_volume", "CALC_INTERVAL=5D"), "")</f>
        <v>#N/A N/A</v>
      </c>
      <c r="Z1039" t="str" cm="1">
        <f t="array" ref="Z1039">_xll.BDP(B1039, "CF_ACT_CASH_PAID_FOR_INT_DEBT")</f>
        <v>#N/A N/A</v>
      </c>
      <c r="AA1039" t="str" cm="1">
        <f t="array" ref="AA1039">_xll.BDP(B1039, "TYPE_OF_BOND")</f>
        <v>#N/A Field Not Applicable</v>
      </c>
    </row>
    <row r="1040" spans="1:27" x14ac:dyDescent="0.25">
      <c r="A1040">
        <v>1038</v>
      </c>
      <c r="B1040" t="s">
        <v>3574</v>
      </c>
      <c r="C1040" s="4" t="s">
        <v>3569</v>
      </c>
      <c r="D1040" s="4">
        <v>863737500</v>
      </c>
      <c r="E1040" t="s">
        <v>11</v>
      </c>
      <c r="F1040" s="1">
        <v>47331</v>
      </c>
      <c r="G1040">
        <v>10.513199999999999</v>
      </c>
      <c r="H1040" t="s">
        <v>13</v>
      </c>
      <c r="I1040" t="s">
        <v>2635</v>
      </c>
      <c r="J1040">
        <v>675</v>
      </c>
      <c r="L1040" t="s">
        <v>1168</v>
      </c>
      <c r="M1040" t="s">
        <v>10</v>
      </c>
      <c r="N1040" t="s">
        <v>1149</v>
      </c>
      <c r="O1040" t="s">
        <v>3570</v>
      </c>
      <c r="P1040" t="s">
        <v>2693</v>
      </c>
      <c r="Q1040" t="s">
        <v>3571</v>
      </c>
      <c r="R1040" t="s">
        <v>3575</v>
      </c>
      <c r="S1040">
        <v>5000000</v>
      </c>
      <c r="T1040">
        <v>8</v>
      </c>
      <c r="V1040" t="s">
        <v>227</v>
      </c>
      <c r="W1040" t="s">
        <v>3573</v>
      </c>
      <c r="X1040" t="str">
        <f t="shared" si="16"/>
        <v>BL397041@TRAC Corp</v>
      </c>
      <c r="Y1040" t="str">
        <f>_xlfn.IFNA(_xll.BDP(X1040,"INTERVAL_SUM", "MARKET_DATA_OVERRIDE=px_volume", "CALC_INTERVAL=5D"), "")</f>
        <v>#N/A N/A</v>
      </c>
      <c r="Z1040" t="str" cm="1">
        <f t="array" ref="Z1040">_xll.BDP(B1040, "CF_ACT_CASH_PAID_FOR_INT_DEBT")</f>
        <v>#N/A N/A</v>
      </c>
      <c r="AA1040" t="str" cm="1">
        <f t="array" ref="AA1040">_xll.BDP(B1040, "TYPE_OF_BOND")</f>
        <v>#N/A Field Not Applicable</v>
      </c>
    </row>
    <row r="1041" spans="1:27" x14ac:dyDescent="0.25">
      <c r="A1041">
        <v>1039</v>
      </c>
      <c r="B1041" t="s">
        <v>3576</v>
      </c>
      <c r="C1041" s="4" t="s">
        <v>3577</v>
      </c>
      <c r="D1041" s="4">
        <v>71162617</v>
      </c>
      <c r="E1041" s="1" t="s">
        <v>447</v>
      </c>
      <c r="F1041" s="1">
        <v>47406</v>
      </c>
      <c r="G1041">
        <v>7.875</v>
      </c>
      <c r="H1041" t="s">
        <v>9</v>
      </c>
      <c r="L1041" t="s">
        <v>1168</v>
      </c>
      <c r="M1041" t="s">
        <v>35</v>
      </c>
      <c r="N1041" t="s">
        <v>333</v>
      </c>
      <c r="O1041" t="s">
        <v>3226</v>
      </c>
      <c r="P1041" t="s">
        <v>2690</v>
      </c>
      <c r="Q1041" t="s">
        <v>3578</v>
      </c>
      <c r="R1041" t="s">
        <v>3579</v>
      </c>
      <c r="S1041">
        <v>17031911.387844101</v>
      </c>
      <c r="T1041">
        <v>7</v>
      </c>
      <c r="U1041" t="s">
        <v>1170</v>
      </c>
      <c r="W1041" t="s">
        <v>3580</v>
      </c>
      <c r="X1041" t="str">
        <f t="shared" si="16"/>
        <v>YQ072563@TRAC Corp</v>
      </c>
      <c r="Y1041" t="str">
        <f>_xlfn.IFNA(_xll.BDP(X1041,"INTERVAL_SUM", "MARKET_DATA_OVERRIDE=px_volume", "CALC_INTERVAL=5D"), "")</f>
        <v>#N/A N/A</v>
      </c>
      <c r="Z1041" t="str" cm="1">
        <f t="array" ref="Z1041">_xll.BDP(B1041, "CF_ACT_CASH_PAID_FOR_INT_DEBT")</f>
        <v>#N/A N/A</v>
      </c>
      <c r="AA1041" t="str" cm="1">
        <f t="array" ref="AA1041">_xll.BDP(B1041, "TYPE_OF_BOND")</f>
        <v>#N/A Field Not Applicable</v>
      </c>
    </row>
    <row r="1042" spans="1:27" x14ac:dyDescent="0.25">
      <c r="A1042">
        <v>1040</v>
      </c>
      <c r="B1042" t="s">
        <v>3581</v>
      </c>
      <c r="C1042" s="4" t="s">
        <v>3577</v>
      </c>
      <c r="D1042" s="4">
        <v>7499192</v>
      </c>
      <c r="E1042" s="1" t="s">
        <v>447</v>
      </c>
      <c r="F1042" s="1">
        <v>47406</v>
      </c>
      <c r="G1042">
        <v>7.875</v>
      </c>
      <c r="H1042" t="s">
        <v>9</v>
      </c>
      <c r="L1042" t="s">
        <v>1168</v>
      </c>
      <c r="M1042" t="s">
        <v>35</v>
      </c>
      <c r="N1042" t="s">
        <v>333</v>
      </c>
      <c r="O1042" t="s">
        <v>3226</v>
      </c>
      <c r="P1042" t="s">
        <v>2690</v>
      </c>
      <c r="Q1042" t="s">
        <v>3578</v>
      </c>
      <c r="R1042" t="s">
        <v>3579</v>
      </c>
      <c r="S1042">
        <v>-9997</v>
      </c>
      <c r="U1042" t="s">
        <v>2094</v>
      </c>
      <c r="W1042" t="s">
        <v>3580</v>
      </c>
      <c r="X1042" t="str">
        <f t="shared" si="16"/>
        <v>YP871023@TRAC Corp</v>
      </c>
      <c r="Y1042" t="str">
        <f>_xlfn.IFNA(_xll.BDP(X1042,"INTERVAL_SUM", "MARKET_DATA_OVERRIDE=px_volume", "CALC_INTERVAL=5D"), "")</f>
        <v>#N/A N/A</v>
      </c>
      <c r="Z1042" t="str" cm="1">
        <f t="array" ref="Z1042">_xll.BDP(B1042, "CF_ACT_CASH_PAID_FOR_INT_DEBT")</f>
        <v>#N/A N/A</v>
      </c>
      <c r="AA1042" t="str" cm="1">
        <f t="array" ref="AA1042">_xll.BDP(B1042, "TYPE_OF_BOND")</f>
        <v>#N/A Field Not Applicable</v>
      </c>
    </row>
    <row r="1043" spans="1:27" x14ac:dyDescent="0.25">
      <c r="A1043">
        <v>1041</v>
      </c>
      <c r="B1043" t="s">
        <v>3582</v>
      </c>
      <c r="C1043" s="4" t="s">
        <v>3577</v>
      </c>
      <c r="D1043" s="4">
        <v>12963577</v>
      </c>
      <c r="E1043" s="1" t="s">
        <v>447</v>
      </c>
      <c r="F1043" s="1">
        <v>47406</v>
      </c>
      <c r="G1043">
        <v>7.875</v>
      </c>
      <c r="H1043" t="s">
        <v>9</v>
      </c>
      <c r="L1043" t="s">
        <v>1168</v>
      </c>
      <c r="M1043" t="s">
        <v>35</v>
      </c>
      <c r="N1043" t="s">
        <v>333</v>
      </c>
      <c r="O1043" t="s">
        <v>3226</v>
      </c>
      <c r="P1043" t="s">
        <v>2690</v>
      </c>
      <c r="Q1043" t="s">
        <v>3578</v>
      </c>
      <c r="R1043" t="s">
        <v>3579</v>
      </c>
      <c r="S1043">
        <v>-9997</v>
      </c>
      <c r="U1043" t="s">
        <v>1173</v>
      </c>
      <c r="W1043" t="s">
        <v>3580</v>
      </c>
      <c r="X1043" t="str">
        <f t="shared" si="16"/>
        <v>YP869557@TRAC Corp</v>
      </c>
      <c r="Y1043" t="str">
        <f>_xlfn.IFNA(_xll.BDP(X1043,"INTERVAL_SUM", "MARKET_DATA_OVERRIDE=px_volume", "CALC_INTERVAL=5D"), "")</f>
        <v>#N/A N/A</v>
      </c>
      <c r="Z1043" t="str" cm="1">
        <f t="array" ref="Z1043">_xll.BDP(B1043, "CF_ACT_CASH_PAID_FOR_INT_DEBT")</f>
        <v>#N/A N/A</v>
      </c>
      <c r="AA1043" t="str" cm="1">
        <f t="array" ref="AA1043">_xll.BDP(B1043, "TYPE_OF_BOND")</f>
        <v>#N/A Field Not Applicable</v>
      </c>
    </row>
    <row r="1044" spans="1:27" x14ac:dyDescent="0.25">
      <c r="A1044">
        <v>1042</v>
      </c>
      <c r="B1044" t="s">
        <v>3583</v>
      </c>
      <c r="C1044" s="4" t="s">
        <v>3577</v>
      </c>
      <c r="D1044" s="4">
        <v>5129511</v>
      </c>
      <c r="E1044" s="1" t="s">
        <v>33</v>
      </c>
      <c r="F1044" s="1">
        <v>47406</v>
      </c>
      <c r="G1044">
        <v>8.0545000000000009</v>
      </c>
      <c r="H1044" t="s">
        <v>13</v>
      </c>
      <c r="I1044" t="s">
        <v>2635</v>
      </c>
      <c r="J1044">
        <v>400</v>
      </c>
      <c r="L1044" t="s">
        <v>1168</v>
      </c>
      <c r="M1044" t="s">
        <v>10</v>
      </c>
      <c r="N1044" t="s">
        <v>333</v>
      </c>
      <c r="O1044" t="s">
        <v>3226</v>
      </c>
      <c r="P1044" t="s">
        <v>2690</v>
      </c>
      <c r="Q1044" t="s">
        <v>3578</v>
      </c>
      <c r="R1044" t="s">
        <v>3584</v>
      </c>
      <c r="S1044">
        <v>1724120.95223161</v>
      </c>
      <c r="T1044">
        <v>5</v>
      </c>
      <c r="V1044" t="s">
        <v>227</v>
      </c>
      <c r="W1044" t="s">
        <v>3580</v>
      </c>
      <c r="X1044" t="str">
        <f t="shared" si="16"/>
        <v>BL507708@TRAC Corp</v>
      </c>
      <c r="Y1044" t="str">
        <f>_xlfn.IFNA(_xll.BDP(X1044,"INTERVAL_SUM", "MARKET_DATA_OVERRIDE=px_volume", "CALC_INTERVAL=5D"), "")</f>
        <v>#N/A N/A</v>
      </c>
      <c r="Z1044" t="str" cm="1">
        <f t="array" ref="Z1044">_xll.BDP(B1044, "CF_ACT_CASH_PAID_FOR_INT_DEBT")</f>
        <v>#N/A N/A</v>
      </c>
      <c r="AA1044" t="str" cm="1">
        <f t="array" ref="AA1044">_xll.BDP(B1044, "TYPE_OF_BOND")</f>
        <v>#N/A Field Not Applicable</v>
      </c>
    </row>
    <row r="1045" spans="1:27" x14ac:dyDescent="0.25">
      <c r="A1045">
        <v>1043</v>
      </c>
      <c r="B1045" t="s">
        <v>3585</v>
      </c>
      <c r="C1045" s="4" t="s">
        <v>3577</v>
      </c>
      <c r="D1045" s="4">
        <v>8867196.6799999997</v>
      </c>
      <c r="E1045" s="1" t="s">
        <v>33</v>
      </c>
      <c r="F1045" s="1">
        <v>47406</v>
      </c>
      <c r="G1045">
        <v>7.7321999999999997</v>
      </c>
      <c r="H1045" t="s">
        <v>13</v>
      </c>
      <c r="I1045" t="s">
        <v>2635</v>
      </c>
      <c r="J1045">
        <v>400</v>
      </c>
      <c r="L1045" t="s">
        <v>1168</v>
      </c>
      <c r="M1045" t="s">
        <v>10</v>
      </c>
      <c r="N1045" t="s">
        <v>333</v>
      </c>
      <c r="O1045" t="s">
        <v>3226</v>
      </c>
      <c r="P1045" t="s">
        <v>2690</v>
      </c>
      <c r="Q1045" t="s">
        <v>3578</v>
      </c>
      <c r="R1045" t="s">
        <v>3586</v>
      </c>
      <c r="S1045">
        <v>1870914.2522361299</v>
      </c>
      <c r="T1045">
        <v>4</v>
      </c>
      <c r="V1045" t="s">
        <v>227</v>
      </c>
      <c r="W1045" t="s">
        <v>3580</v>
      </c>
      <c r="X1045" t="str">
        <f t="shared" si="16"/>
        <v>BL507707@TRAC Corp</v>
      </c>
      <c r="Y1045" t="str">
        <f>_xlfn.IFNA(_xll.BDP(X1045,"INTERVAL_SUM", "MARKET_DATA_OVERRIDE=px_volume", "CALC_INTERVAL=5D"), "")</f>
        <v>#N/A N/A</v>
      </c>
      <c r="Z1045" t="str" cm="1">
        <f t="array" ref="Z1045">_xll.BDP(B1045, "CF_ACT_CASH_PAID_FOR_INT_DEBT")</f>
        <v>#N/A N/A</v>
      </c>
      <c r="AA1045" t="str" cm="1">
        <f t="array" ref="AA1045">_xll.BDP(B1045, "TYPE_OF_BOND")</f>
        <v>#N/A Field Not Applicable</v>
      </c>
    </row>
    <row r="1046" spans="1:27" x14ac:dyDescent="0.25">
      <c r="A1046">
        <v>1044</v>
      </c>
      <c r="B1046" t="s">
        <v>3587</v>
      </c>
      <c r="C1046" s="4" t="s">
        <v>3577</v>
      </c>
      <c r="D1046" s="4">
        <v>637071408.97000003</v>
      </c>
      <c r="E1046" s="1" t="s">
        <v>33</v>
      </c>
      <c r="F1046" s="1">
        <v>47406</v>
      </c>
      <c r="G1046">
        <v>7.9035000000000002</v>
      </c>
      <c r="H1046" t="s">
        <v>13</v>
      </c>
      <c r="I1046" t="s">
        <v>2635</v>
      </c>
      <c r="J1046">
        <v>400</v>
      </c>
      <c r="L1046" t="s">
        <v>1168</v>
      </c>
      <c r="M1046" t="s">
        <v>10</v>
      </c>
      <c r="N1046" t="s">
        <v>333</v>
      </c>
      <c r="O1046" t="s">
        <v>3226</v>
      </c>
      <c r="P1046" t="s">
        <v>2690</v>
      </c>
      <c r="Q1046" t="s">
        <v>3578</v>
      </c>
      <c r="R1046" t="s">
        <v>3588</v>
      </c>
      <c r="S1046">
        <v>3000000</v>
      </c>
      <c r="T1046">
        <v>5</v>
      </c>
      <c r="V1046" t="s">
        <v>227</v>
      </c>
      <c r="W1046" t="s">
        <v>3580</v>
      </c>
      <c r="X1046" t="str">
        <f t="shared" si="16"/>
        <v>BL501499@TRAC Corp</v>
      </c>
      <c r="Y1046" t="str">
        <f>_xlfn.IFNA(_xll.BDP(X1046,"INTERVAL_SUM", "MARKET_DATA_OVERRIDE=px_volume", "CALC_INTERVAL=5D"), "")</f>
        <v>#N/A N/A</v>
      </c>
      <c r="Z1046" t="str" cm="1">
        <f t="array" ref="Z1046">_xll.BDP(B1046, "CF_ACT_CASH_PAID_FOR_INT_DEBT")</f>
        <v>#N/A N/A</v>
      </c>
      <c r="AA1046" t="str" cm="1">
        <f t="array" ref="AA1046">_xll.BDP(B1046, "TYPE_OF_BOND")</f>
        <v>#N/A Field Not Applicable</v>
      </c>
    </row>
    <row r="1047" spans="1:27" x14ac:dyDescent="0.25">
      <c r="A1047">
        <v>1045</v>
      </c>
      <c r="B1047" t="s">
        <v>3589</v>
      </c>
      <c r="C1047" s="4" t="s">
        <v>3577</v>
      </c>
      <c r="D1047" s="4">
        <v>155625000</v>
      </c>
      <c r="E1047" s="1" t="s">
        <v>11</v>
      </c>
      <c r="F1047" s="1">
        <v>47406</v>
      </c>
      <c r="G1047">
        <v>8.9989000000000008</v>
      </c>
      <c r="H1047" t="s">
        <v>13</v>
      </c>
      <c r="I1047" t="s">
        <v>2635</v>
      </c>
      <c r="J1047">
        <v>525</v>
      </c>
      <c r="L1047" t="s">
        <v>1168</v>
      </c>
      <c r="M1047" t="s">
        <v>35</v>
      </c>
      <c r="N1047" t="s">
        <v>333</v>
      </c>
      <c r="O1047" t="s">
        <v>3226</v>
      </c>
      <c r="P1047" t="s">
        <v>2690</v>
      </c>
      <c r="Q1047" t="s">
        <v>3578</v>
      </c>
      <c r="R1047" t="s">
        <v>3590</v>
      </c>
      <c r="S1047">
        <v>2000000</v>
      </c>
      <c r="T1047">
        <v>14</v>
      </c>
      <c r="V1047" t="s">
        <v>227</v>
      </c>
      <c r="W1047" t="s">
        <v>3580</v>
      </c>
      <c r="X1047" t="str">
        <f t="shared" si="16"/>
        <v>BL501482@TRAC Corp</v>
      </c>
      <c r="Y1047" t="str">
        <f>_xlfn.IFNA(_xll.BDP(X1047,"INTERVAL_SUM", "MARKET_DATA_OVERRIDE=px_volume", "CALC_INTERVAL=5D"), "")</f>
        <v>#N/A N/A</v>
      </c>
      <c r="Z1047" t="str" cm="1">
        <f t="array" ref="Z1047">_xll.BDP(B1047, "CF_ACT_CASH_PAID_FOR_INT_DEBT")</f>
        <v>#N/A N/A</v>
      </c>
      <c r="AA1047" t="str" cm="1">
        <f t="array" ref="AA1047">_xll.BDP(B1047, "TYPE_OF_BOND")</f>
        <v>#N/A Field Not Applicable</v>
      </c>
    </row>
    <row r="1048" spans="1:27" x14ac:dyDescent="0.25">
      <c r="A1048">
        <v>1046</v>
      </c>
      <c r="B1048" t="s">
        <v>3591</v>
      </c>
      <c r="C1048" s="4" t="s">
        <v>3577</v>
      </c>
      <c r="D1048" s="4">
        <v>60000000</v>
      </c>
      <c r="E1048" s="1" t="s">
        <v>11</v>
      </c>
      <c r="F1048" s="1">
        <v>47406</v>
      </c>
      <c r="H1048" t="s">
        <v>13</v>
      </c>
      <c r="L1048" t="s">
        <v>1168</v>
      </c>
      <c r="M1048" t="s">
        <v>10</v>
      </c>
      <c r="N1048" t="s">
        <v>36</v>
      </c>
      <c r="O1048" t="s">
        <v>3154</v>
      </c>
      <c r="P1048" t="s">
        <v>2690</v>
      </c>
      <c r="Q1048" t="s">
        <v>3578</v>
      </c>
      <c r="R1048" t="s">
        <v>3592</v>
      </c>
      <c r="V1048" t="s">
        <v>945</v>
      </c>
      <c r="W1048" t="s">
        <v>3580</v>
      </c>
      <c r="X1048" t="str">
        <f t="shared" si="16"/>
        <v>BL375332@TRAC Corp</v>
      </c>
      <c r="Y1048" t="str">
        <f>_xlfn.IFNA(_xll.BDP(X1048,"INTERVAL_SUM", "MARKET_DATA_OVERRIDE=px_volume", "CALC_INTERVAL=5D"), "")</f>
        <v>#N/A N/A</v>
      </c>
      <c r="Z1048" t="str" cm="1">
        <f t="array" ref="Z1048">_xll.BDP(B1048, "CF_ACT_CASH_PAID_FOR_INT_DEBT")</f>
        <v>#N/A N/A</v>
      </c>
      <c r="AA1048" t="str" cm="1">
        <f t="array" ref="AA1048">_xll.BDP(B1048, "TYPE_OF_BOND")</f>
        <v>#N/A Field Not Applicable</v>
      </c>
    </row>
    <row r="1049" spans="1:27" x14ac:dyDescent="0.25">
      <c r="A1049">
        <v>1047</v>
      </c>
      <c r="B1049" t="s">
        <v>3593</v>
      </c>
      <c r="C1049" s="4" t="s">
        <v>3577</v>
      </c>
      <c r="D1049" s="4">
        <v>850000000</v>
      </c>
      <c r="E1049" s="1" t="s">
        <v>11</v>
      </c>
      <c r="F1049" s="1">
        <v>47042</v>
      </c>
      <c r="G1049">
        <v>7.7529000000000003</v>
      </c>
      <c r="H1049" t="s">
        <v>13</v>
      </c>
      <c r="I1049" t="s">
        <v>2635</v>
      </c>
      <c r="J1049">
        <v>400</v>
      </c>
      <c r="L1049" t="s">
        <v>1168</v>
      </c>
      <c r="M1049" t="s">
        <v>10</v>
      </c>
      <c r="N1049" t="s">
        <v>36</v>
      </c>
      <c r="O1049" t="s">
        <v>3154</v>
      </c>
      <c r="P1049" t="s">
        <v>2690</v>
      </c>
      <c r="Q1049" t="s">
        <v>3578</v>
      </c>
      <c r="R1049" t="s">
        <v>3594</v>
      </c>
      <c r="S1049">
        <v>3510648.6277981801</v>
      </c>
      <c r="T1049">
        <v>5</v>
      </c>
      <c r="V1049" t="s">
        <v>227</v>
      </c>
      <c r="W1049" t="s">
        <v>3580</v>
      </c>
      <c r="X1049" t="str">
        <f t="shared" si="16"/>
        <v>BL372994@TRAC Corp</v>
      </c>
      <c r="Y1049" t="str">
        <f>_xlfn.IFNA(_xll.BDP(X1049,"INTERVAL_SUM", "MARKET_DATA_OVERRIDE=px_volume", "CALC_INTERVAL=5D"), "")</f>
        <v>#N/A N/A</v>
      </c>
      <c r="Z1049" t="str" cm="1">
        <f t="array" ref="Z1049">_xll.BDP(B1049, "CF_ACT_CASH_PAID_FOR_INT_DEBT")</f>
        <v>#N/A N/A</v>
      </c>
      <c r="AA1049" t="str" cm="1">
        <f t="array" ref="AA1049">_xll.BDP(B1049, "TYPE_OF_BOND")</f>
        <v>#N/A Field Not Applicable</v>
      </c>
    </row>
    <row r="1050" spans="1:27" x14ac:dyDescent="0.25">
      <c r="A1050">
        <v>1048</v>
      </c>
      <c r="B1050" t="s">
        <v>3595</v>
      </c>
      <c r="C1050" s="4" t="s">
        <v>3596</v>
      </c>
      <c r="D1050" s="4">
        <v>283018.88</v>
      </c>
      <c r="E1050" s="1" t="s">
        <v>33</v>
      </c>
      <c r="F1050" s="1">
        <v>47058</v>
      </c>
      <c r="H1050" t="s">
        <v>13</v>
      </c>
      <c r="I1050" t="s">
        <v>3597</v>
      </c>
      <c r="L1050" t="s">
        <v>1168</v>
      </c>
      <c r="M1050" t="s">
        <v>10</v>
      </c>
      <c r="N1050" t="s">
        <v>15</v>
      </c>
      <c r="O1050" t="s">
        <v>3110</v>
      </c>
      <c r="P1050" t="s">
        <v>2637</v>
      </c>
      <c r="Q1050" t="s">
        <v>3123</v>
      </c>
      <c r="R1050" t="s">
        <v>3598</v>
      </c>
      <c r="V1050" t="s">
        <v>227</v>
      </c>
      <c r="W1050" t="s">
        <v>3599</v>
      </c>
      <c r="X1050" t="str">
        <f t="shared" si="16"/>
        <v>BL454465@TRAC Corp</v>
      </c>
      <c r="Y1050" t="str">
        <f>_xlfn.IFNA(_xll.BDP(X1050,"INTERVAL_SUM", "MARKET_DATA_OVERRIDE=px_volume", "CALC_INTERVAL=5D"), "")</f>
        <v>#N/A N/A</v>
      </c>
      <c r="Z1050" t="str" cm="1">
        <f t="array" ref="Z1050">_xll.BDP(B1050, "CF_ACT_CASH_PAID_FOR_INT_DEBT")</f>
        <v>#N/A N/A</v>
      </c>
      <c r="AA1050" t="str" cm="1">
        <f t="array" ref="AA1050">_xll.BDP(B1050, "TYPE_OF_BOND")</f>
        <v>#N/A Field Not Applicable</v>
      </c>
    </row>
    <row r="1051" spans="1:27" x14ac:dyDescent="0.25">
      <c r="A1051">
        <v>1049</v>
      </c>
      <c r="B1051" t="s">
        <v>3600</v>
      </c>
      <c r="C1051" s="4" t="s">
        <v>3596</v>
      </c>
      <c r="D1051" s="4">
        <v>380000000</v>
      </c>
      <c r="E1051" s="1" t="s">
        <v>11</v>
      </c>
      <c r="F1051" s="1">
        <v>47063</v>
      </c>
      <c r="G1051">
        <v>8.4137000000000004</v>
      </c>
      <c r="H1051" t="s">
        <v>13</v>
      </c>
      <c r="I1051" t="s">
        <v>2635</v>
      </c>
      <c r="J1051">
        <v>450</v>
      </c>
      <c r="L1051" t="s">
        <v>1168</v>
      </c>
      <c r="M1051" t="s">
        <v>10</v>
      </c>
      <c r="N1051" t="s">
        <v>15</v>
      </c>
      <c r="O1051" t="s">
        <v>3110</v>
      </c>
      <c r="P1051" t="s">
        <v>2637</v>
      </c>
      <c r="Q1051" t="s">
        <v>3123</v>
      </c>
      <c r="R1051" t="s">
        <v>3601</v>
      </c>
      <c r="S1051">
        <v>2000000</v>
      </c>
      <c r="T1051">
        <v>3</v>
      </c>
      <c r="V1051" t="s">
        <v>227</v>
      </c>
      <c r="W1051" t="s">
        <v>3599</v>
      </c>
      <c r="X1051" t="str">
        <f t="shared" si="16"/>
        <v>BL428959@TRAC Corp</v>
      </c>
      <c r="Y1051" t="str">
        <f>_xlfn.IFNA(_xll.BDP(X1051,"INTERVAL_SUM", "MARKET_DATA_OVERRIDE=px_volume", "CALC_INTERVAL=5D"), "")</f>
        <v>#N/A N/A</v>
      </c>
      <c r="Z1051" t="str" cm="1">
        <f t="array" ref="Z1051">_xll.BDP(B1051, "CF_ACT_CASH_PAID_FOR_INT_DEBT")</f>
        <v>#N/A N/A</v>
      </c>
      <c r="AA1051" t="str" cm="1">
        <f t="array" ref="AA1051">_xll.BDP(B1051, "TYPE_OF_BOND")</f>
        <v>#N/A Field Not Applicable</v>
      </c>
    </row>
    <row r="1052" spans="1:27" x14ac:dyDescent="0.25">
      <c r="A1052">
        <v>1050</v>
      </c>
      <c r="B1052" t="s">
        <v>3602</v>
      </c>
      <c r="C1052" s="4" t="s">
        <v>3596</v>
      </c>
      <c r="D1052" s="4">
        <v>100000000</v>
      </c>
      <c r="E1052" s="1" t="s">
        <v>33</v>
      </c>
      <c r="F1052" s="1">
        <v>47427</v>
      </c>
      <c r="H1052" t="s">
        <v>13</v>
      </c>
      <c r="L1052" t="s">
        <v>1168</v>
      </c>
      <c r="M1052" t="s">
        <v>10</v>
      </c>
      <c r="N1052" t="s">
        <v>15</v>
      </c>
      <c r="O1052" t="s">
        <v>3110</v>
      </c>
      <c r="P1052" t="s">
        <v>2637</v>
      </c>
      <c r="Q1052" t="s">
        <v>3123</v>
      </c>
      <c r="R1052" t="s">
        <v>3598</v>
      </c>
      <c r="V1052" t="s">
        <v>227</v>
      </c>
      <c r="W1052" t="s">
        <v>3599</v>
      </c>
      <c r="X1052" t="str">
        <f t="shared" si="16"/>
        <v>BL375567@TRAC Corp</v>
      </c>
      <c r="Y1052" t="str">
        <f>_xlfn.IFNA(_xll.BDP(X1052,"INTERVAL_SUM", "MARKET_DATA_OVERRIDE=px_volume", "CALC_INTERVAL=5D"), "")</f>
        <v>#N/A N/A</v>
      </c>
      <c r="Z1052" t="str" cm="1">
        <f t="array" ref="Z1052">_xll.BDP(B1052, "CF_ACT_CASH_PAID_FOR_INT_DEBT")</f>
        <v>#N/A N/A</v>
      </c>
      <c r="AA1052" t="str" cm="1">
        <f t="array" ref="AA1052">_xll.BDP(B1052, "TYPE_OF_BOND")</f>
        <v>#N/A Field Not Applicable</v>
      </c>
    </row>
    <row r="1053" spans="1:27" x14ac:dyDescent="0.25">
      <c r="A1053">
        <v>1051</v>
      </c>
      <c r="B1053" t="s">
        <v>3603</v>
      </c>
      <c r="C1053" s="4" t="s">
        <v>3596</v>
      </c>
      <c r="D1053" s="4">
        <v>850000000</v>
      </c>
      <c r="E1053" s="1" t="s">
        <v>11</v>
      </c>
      <c r="F1053" s="1">
        <v>47063</v>
      </c>
      <c r="G1053">
        <v>7.2785000000000002</v>
      </c>
      <c r="H1053" t="s">
        <v>13</v>
      </c>
      <c r="I1053" t="s">
        <v>2631</v>
      </c>
      <c r="J1053">
        <v>350</v>
      </c>
      <c r="L1053" t="s">
        <v>1168</v>
      </c>
      <c r="M1053" t="s">
        <v>10</v>
      </c>
      <c r="N1053" t="s">
        <v>15</v>
      </c>
      <c r="O1053" t="s">
        <v>3110</v>
      </c>
      <c r="P1053" t="s">
        <v>2637</v>
      </c>
      <c r="Q1053" t="s">
        <v>3123</v>
      </c>
      <c r="R1053" t="s">
        <v>3601</v>
      </c>
      <c r="S1053">
        <v>280000</v>
      </c>
      <c r="T1053">
        <v>2</v>
      </c>
      <c r="V1053" t="s">
        <v>227</v>
      </c>
      <c r="W1053" t="s">
        <v>3599</v>
      </c>
      <c r="X1053" t="str">
        <f t="shared" si="16"/>
        <v>BL375564@TRAC Corp</v>
      </c>
      <c r="Y1053" t="str">
        <f>_xlfn.IFNA(_xll.BDP(X1053,"INTERVAL_SUM", "MARKET_DATA_OVERRIDE=px_volume", "CALC_INTERVAL=5D"), "")</f>
        <v>#N/A N/A</v>
      </c>
      <c r="Z1053" t="str" cm="1">
        <f t="array" ref="Z1053">_xll.BDP(B1053, "CF_ACT_CASH_PAID_FOR_INT_DEBT")</f>
        <v>#N/A N/A</v>
      </c>
      <c r="AA1053" t="str" cm="1">
        <f t="array" ref="AA1053">_xll.BDP(B1053, "TYPE_OF_BOND")</f>
        <v>#N/A Field Not Applicable</v>
      </c>
    </row>
    <row r="1054" spans="1:27" x14ac:dyDescent="0.25">
      <c r="A1054">
        <v>1052</v>
      </c>
      <c r="B1054" t="s">
        <v>3604</v>
      </c>
      <c r="C1054" s="4" t="s">
        <v>3605</v>
      </c>
      <c r="D1054" s="4">
        <v>839375000</v>
      </c>
      <c r="E1054" s="1" t="s">
        <v>11</v>
      </c>
      <c r="F1054" s="1">
        <v>48261</v>
      </c>
      <c r="G1054">
        <v>7.1593999999999998</v>
      </c>
      <c r="H1054" t="s">
        <v>13</v>
      </c>
      <c r="I1054" t="s">
        <v>2631</v>
      </c>
      <c r="J1054">
        <v>350</v>
      </c>
      <c r="L1054" t="s">
        <v>1168</v>
      </c>
      <c r="M1054" t="s">
        <v>10</v>
      </c>
      <c r="N1054" t="s">
        <v>15</v>
      </c>
      <c r="O1054" t="s">
        <v>3110</v>
      </c>
      <c r="P1054" t="s">
        <v>2637</v>
      </c>
      <c r="Q1054" t="s">
        <v>3112</v>
      </c>
      <c r="R1054" t="s">
        <v>3606</v>
      </c>
      <c r="S1054">
        <v>2000000</v>
      </c>
      <c r="T1054">
        <v>17</v>
      </c>
      <c r="V1054" t="s">
        <v>227</v>
      </c>
      <c r="W1054" t="s">
        <v>3607</v>
      </c>
      <c r="X1054" t="str">
        <f t="shared" si="16"/>
        <v>BL485913@TRAC Corp</v>
      </c>
      <c r="Y1054" t="str">
        <f>_xlfn.IFNA(_xll.BDP(X1054,"INTERVAL_SUM", "MARKET_DATA_OVERRIDE=px_volume", "CALC_INTERVAL=5D"), "")</f>
        <v>#N/A N/A</v>
      </c>
      <c r="Z1054" t="str" cm="1">
        <f t="array" ref="Z1054">_xll.BDP(B1054, "CF_ACT_CASH_PAID_FOR_INT_DEBT")</f>
        <v>#N/A N/A</v>
      </c>
      <c r="AA1054" t="str" cm="1">
        <f t="array" ref="AA1054">_xll.BDP(B1054, "TYPE_OF_BOND")</f>
        <v>#N/A Field Not Applicable</v>
      </c>
    </row>
    <row r="1055" spans="1:27" x14ac:dyDescent="0.25">
      <c r="A1055">
        <v>1053</v>
      </c>
      <c r="B1055" t="s">
        <v>2107</v>
      </c>
      <c r="C1055" s="4" t="s">
        <v>2108</v>
      </c>
      <c r="D1055" s="4">
        <v>525648791.23100001</v>
      </c>
      <c r="E1055" s="1" t="s">
        <v>12</v>
      </c>
      <c r="F1055" s="1">
        <v>47437</v>
      </c>
      <c r="G1055">
        <v>14</v>
      </c>
      <c r="H1055" t="s">
        <v>64</v>
      </c>
      <c r="K1055">
        <v>16</v>
      </c>
      <c r="L1055" t="s">
        <v>1168</v>
      </c>
      <c r="M1055" t="s">
        <v>10</v>
      </c>
      <c r="N1055" t="s">
        <v>36</v>
      </c>
      <c r="O1055" t="s">
        <v>3198</v>
      </c>
      <c r="P1055" t="s">
        <v>2694</v>
      </c>
      <c r="Q1055" t="s">
        <v>2694</v>
      </c>
      <c r="R1055" t="s">
        <v>2109</v>
      </c>
      <c r="S1055">
        <v>15141742.1554935</v>
      </c>
      <c r="T1055">
        <v>7</v>
      </c>
      <c r="U1055" t="s">
        <v>1169</v>
      </c>
      <c r="W1055" t="s">
        <v>2110</v>
      </c>
      <c r="X1055" t="str">
        <f t="shared" si="16"/>
        <v>DA927159@TRAC Corp</v>
      </c>
      <c r="Y1055" t="str">
        <f>_xlfn.IFNA(_xll.BDP(X1055,"INTERVAL_SUM", "MARKET_DATA_OVERRIDE=px_volume", "CALC_INTERVAL=5D"), "")</f>
        <v>#N/A N/A</v>
      </c>
      <c r="Z1055" t="str" cm="1">
        <f t="array" ref="Z1055">_xll.BDP(B1055, "CF_ACT_CASH_PAID_FOR_INT_DEBT")</f>
        <v>#N/A N/A</v>
      </c>
      <c r="AA1055" t="str" cm="1">
        <f t="array" ref="AA1055">_xll.BDP(B1055, "TYPE_OF_BOND")</f>
        <v>PIK</v>
      </c>
    </row>
    <row r="1056" spans="1:27" x14ac:dyDescent="0.25">
      <c r="A1056">
        <v>1054</v>
      </c>
      <c r="B1056" t="s">
        <v>2111</v>
      </c>
      <c r="C1056" s="4" t="s">
        <v>2108</v>
      </c>
      <c r="D1056" s="4">
        <v>50000000</v>
      </c>
      <c r="E1056" s="1" t="s">
        <v>12</v>
      </c>
      <c r="F1056" s="1">
        <v>47802</v>
      </c>
      <c r="G1056">
        <v>11</v>
      </c>
      <c r="H1056" t="s">
        <v>9</v>
      </c>
      <c r="L1056" t="s">
        <v>1168</v>
      </c>
      <c r="M1056" t="s">
        <v>10</v>
      </c>
      <c r="N1056" t="s">
        <v>36</v>
      </c>
      <c r="O1056" t="s">
        <v>3198</v>
      </c>
      <c r="P1056" t="s">
        <v>2694</v>
      </c>
      <c r="Q1056" t="s">
        <v>2694</v>
      </c>
      <c r="R1056" t="s">
        <v>2112</v>
      </c>
      <c r="S1056">
        <v>-9997</v>
      </c>
      <c r="U1056" t="s">
        <v>1817</v>
      </c>
      <c r="W1056" t="s">
        <v>2110</v>
      </c>
      <c r="X1056" t="str">
        <f t="shared" si="16"/>
        <v>DA926865@TRAC Corp</v>
      </c>
      <c r="Y1056" t="str">
        <f>_xlfn.IFNA(_xll.BDP(X1056,"INTERVAL_SUM", "MARKET_DATA_OVERRIDE=px_volume", "CALC_INTERVAL=5D"), "")</f>
        <v>#N/A N/A</v>
      </c>
      <c r="Z1056" t="str" cm="1">
        <f t="array" ref="Z1056">_xll.BDP(B1056, "CF_ACT_CASH_PAID_FOR_INT_DEBT")</f>
        <v>#N/A N/A</v>
      </c>
      <c r="AA1056" t="str" cm="1">
        <f t="array" ref="AA1056">_xll.BDP(B1056, "TYPE_OF_BOND")</f>
        <v>#N/A Field Not Applicable</v>
      </c>
    </row>
    <row r="1057" spans="1:27" x14ac:dyDescent="0.25">
      <c r="A1057">
        <v>1055</v>
      </c>
      <c r="B1057" t="s">
        <v>2113</v>
      </c>
      <c r="C1057" s="4" t="s">
        <v>2108</v>
      </c>
      <c r="D1057" s="4">
        <v>50000000</v>
      </c>
      <c r="E1057" t="s">
        <v>12</v>
      </c>
      <c r="F1057" s="1">
        <v>47802</v>
      </c>
      <c r="G1057">
        <v>11</v>
      </c>
      <c r="H1057" t="s">
        <v>9</v>
      </c>
      <c r="L1057" t="s">
        <v>1168</v>
      </c>
      <c r="M1057" t="s">
        <v>10</v>
      </c>
      <c r="N1057" t="s">
        <v>36</v>
      </c>
      <c r="O1057" t="s">
        <v>3198</v>
      </c>
      <c r="P1057" t="s">
        <v>2694</v>
      </c>
      <c r="Q1057" t="s">
        <v>2694</v>
      </c>
      <c r="R1057" t="s">
        <v>2112</v>
      </c>
      <c r="S1057">
        <v>-9997</v>
      </c>
      <c r="U1057" t="s">
        <v>1169</v>
      </c>
      <c r="W1057" t="s">
        <v>2110</v>
      </c>
      <c r="X1057" t="str">
        <f t="shared" si="16"/>
        <v>DA926862@TRAC Corp</v>
      </c>
      <c r="Y1057" t="str">
        <f>_xlfn.IFNA(_xll.BDP(X1057,"INTERVAL_SUM", "MARKET_DATA_OVERRIDE=px_volume", "CALC_INTERVAL=5D"), "")</f>
        <v>#N/A N/A</v>
      </c>
      <c r="Z1057" t="str" cm="1">
        <f t="array" ref="Z1057">_xll.BDP(B1057, "CF_ACT_CASH_PAID_FOR_INT_DEBT")</f>
        <v>#N/A N/A</v>
      </c>
      <c r="AA1057" t="str" cm="1">
        <f t="array" ref="AA1057">_xll.BDP(B1057, "TYPE_OF_BOND")</f>
        <v>#N/A Field Not Applicable</v>
      </c>
    </row>
    <row r="1058" spans="1:27" x14ac:dyDescent="0.25">
      <c r="A1058">
        <v>1056</v>
      </c>
      <c r="B1058" t="s">
        <v>2114</v>
      </c>
      <c r="C1058" s="4" t="s">
        <v>2108</v>
      </c>
      <c r="D1058" s="4">
        <v>831032146</v>
      </c>
      <c r="E1058" t="s">
        <v>12</v>
      </c>
      <c r="F1058" s="1">
        <v>47802</v>
      </c>
      <c r="G1058">
        <v>11</v>
      </c>
      <c r="H1058" t="s">
        <v>9</v>
      </c>
      <c r="L1058" t="s">
        <v>1168</v>
      </c>
      <c r="M1058" t="s">
        <v>10</v>
      </c>
      <c r="N1058" t="s">
        <v>36</v>
      </c>
      <c r="O1058" t="s">
        <v>3198</v>
      </c>
      <c r="P1058" t="s">
        <v>2694</v>
      </c>
      <c r="Q1058" t="s">
        <v>2694</v>
      </c>
      <c r="R1058" t="s">
        <v>2112</v>
      </c>
      <c r="S1058">
        <v>11627594.568116199</v>
      </c>
      <c r="T1058">
        <v>45</v>
      </c>
      <c r="U1058" t="s">
        <v>1170</v>
      </c>
      <c r="W1058" t="s">
        <v>2110</v>
      </c>
      <c r="X1058" t="str">
        <f t="shared" si="16"/>
        <v>DA926801@TRAC Corp</v>
      </c>
      <c r="Y1058">
        <f>_xlfn.IFNA(_xll.BDP(X1058,"INTERVAL_SUM", "MARKET_DATA_OVERRIDE=px_volume", "CALC_INTERVAL=5D"), "")</f>
        <v>951</v>
      </c>
      <c r="Z1058" t="str" cm="1">
        <f t="array" ref="Z1058">_xll.BDP(B1058, "CF_ACT_CASH_PAID_FOR_INT_DEBT")</f>
        <v>#N/A N/A</v>
      </c>
      <c r="AA1058" t="str" cm="1">
        <f t="array" ref="AA1058">_xll.BDP(B1058, "TYPE_OF_BOND")</f>
        <v>#N/A Field Not Applicable</v>
      </c>
    </row>
    <row r="1059" spans="1:27" x14ac:dyDescent="0.25">
      <c r="A1059">
        <v>1057</v>
      </c>
      <c r="B1059" t="s">
        <v>2115</v>
      </c>
      <c r="C1059" s="4" t="s">
        <v>2108</v>
      </c>
      <c r="D1059" s="4">
        <v>145000000</v>
      </c>
      <c r="E1059" t="s">
        <v>11</v>
      </c>
      <c r="F1059" s="1">
        <v>47473</v>
      </c>
      <c r="H1059" t="s">
        <v>13</v>
      </c>
      <c r="L1059" t="s">
        <v>1168</v>
      </c>
      <c r="M1059" t="s">
        <v>10</v>
      </c>
      <c r="N1059" t="s">
        <v>36</v>
      </c>
      <c r="O1059" t="s">
        <v>3198</v>
      </c>
      <c r="P1059" t="s">
        <v>2694</v>
      </c>
      <c r="Q1059" t="s">
        <v>2694</v>
      </c>
      <c r="R1059" t="s">
        <v>2116</v>
      </c>
      <c r="V1059" t="s">
        <v>945</v>
      </c>
      <c r="W1059" t="s">
        <v>2110</v>
      </c>
      <c r="X1059" t="str">
        <f t="shared" si="16"/>
        <v>BL451092@TRAC Corp</v>
      </c>
      <c r="Y1059" t="str">
        <f>_xlfn.IFNA(_xll.BDP(X1059,"INTERVAL_SUM", "MARKET_DATA_OVERRIDE=px_volume", "CALC_INTERVAL=5D"), "")</f>
        <v>#N/A N/A</v>
      </c>
      <c r="Z1059" t="str" cm="1">
        <f t="array" ref="Z1059">_xll.BDP(B1059, "CF_ACT_CASH_PAID_FOR_INT_DEBT")</f>
        <v>#N/A N/A</v>
      </c>
      <c r="AA1059" t="str" cm="1">
        <f t="array" ref="AA1059">_xll.BDP(B1059, "TYPE_OF_BOND")</f>
        <v>#N/A Field Not Applicable</v>
      </c>
    </row>
    <row r="1060" spans="1:27" x14ac:dyDescent="0.25">
      <c r="A1060">
        <v>1058</v>
      </c>
      <c r="B1060" t="s">
        <v>2101</v>
      </c>
      <c r="C1060" s="4" t="s">
        <v>2102</v>
      </c>
      <c r="D1060" s="4">
        <v>829289600.10000002</v>
      </c>
      <c r="E1060" t="s">
        <v>80</v>
      </c>
      <c r="F1060" s="1">
        <v>47016</v>
      </c>
      <c r="G1060">
        <v>7.6566999999999998</v>
      </c>
      <c r="H1060" t="s">
        <v>13</v>
      </c>
      <c r="I1060" t="s">
        <v>2635</v>
      </c>
      <c r="J1060">
        <v>400</v>
      </c>
      <c r="L1060" t="s">
        <v>1168</v>
      </c>
      <c r="M1060" t="s">
        <v>10</v>
      </c>
      <c r="N1060" t="s">
        <v>14</v>
      </c>
      <c r="O1060" t="s">
        <v>3120</v>
      </c>
      <c r="P1060" t="s">
        <v>2641</v>
      </c>
      <c r="Q1060" t="s">
        <v>3235</v>
      </c>
      <c r="R1060" t="s">
        <v>2103</v>
      </c>
      <c r="S1060">
        <v>2000000</v>
      </c>
      <c r="T1060">
        <v>10</v>
      </c>
      <c r="V1060" t="s">
        <v>227</v>
      </c>
      <c r="W1060" t="s">
        <v>2104</v>
      </c>
      <c r="X1060" t="str">
        <f t="shared" si="16"/>
        <v>BL458810@TRAC Corp</v>
      </c>
      <c r="Y1060" t="str">
        <f>_xlfn.IFNA(_xll.BDP(X1060,"INTERVAL_SUM", "MARKET_DATA_OVERRIDE=px_volume", "CALC_INTERVAL=5D"), "")</f>
        <v>#N/A N/A</v>
      </c>
      <c r="Z1060" t="str" cm="1">
        <f t="array" ref="Z1060">_xll.BDP(B1060, "CF_ACT_CASH_PAID_FOR_INT_DEBT")</f>
        <v>#N/A N/A</v>
      </c>
      <c r="AA1060" t="str" cm="1">
        <f t="array" ref="AA1060">_xll.BDP(B1060, "TYPE_OF_BOND")</f>
        <v>#N/A Field Not Applicable</v>
      </c>
    </row>
    <row r="1061" spans="1:27" x14ac:dyDescent="0.25">
      <c r="A1061">
        <v>1059</v>
      </c>
      <c r="B1061" t="s">
        <v>2105</v>
      </c>
      <c r="C1061" s="4" t="s">
        <v>2102</v>
      </c>
      <c r="D1061" s="4">
        <v>175000000</v>
      </c>
      <c r="E1061" t="s">
        <v>80</v>
      </c>
      <c r="F1061" s="1">
        <v>46924</v>
      </c>
      <c r="G1061">
        <v>9.2520000000000007</v>
      </c>
      <c r="H1061" t="s">
        <v>13</v>
      </c>
      <c r="I1061" t="s">
        <v>2635</v>
      </c>
      <c r="J1061">
        <v>550</v>
      </c>
      <c r="L1061" t="s">
        <v>1168</v>
      </c>
      <c r="M1061" t="s">
        <v>10</v>
      </c>
      <c r="N1061" t="s">
        <v>14</v>
      </c>
      <c r="O1061" t="s">
        <v>3120</v>
      </c>
      <c r="P1061" t="s">
        <v>2641</v>
      </c>
      <c r="Q1061" t="s">
        <v>3235</v>
      </c>
      <c r="R1061" t="s">
        <v>2106</v>
      </c>
      <c r="S1061">
        <v>2000000</v>
      </c>
      <c r="T1061">
        <v>7</v>
      </c>
      <c r="V1061" t="s">
        <v>227</v>
      </c>
      <c r="W1061" t="s">
        <v>2104</v>
      </c>
      <c r="X1061" t="str">
        <f t="shared" si="16"/>
        <v>BL458445@TRAC Corp</v>
      </c>
      <c r="Y1061" t="str">
        <f>_xlfn.IFNA(_xll.BDP(X1061,"INTERVAL_SUM", "MARKET_DATA_OVERRIDE=px_volume", "CALC_INTERVAL=5D"), "")</f>
        <v>#N/A N/A</v>
      </c>
      <c r="Z1061" t="str" cm="1">
        <f t="array" ref="Z1061">_xll.BDP(B1061, "CF_ACT_CASH_PAID_FOR_INT_DEBT")</f>
        <v>#N/A N/A</v>
      </c>
      <c r="AA1061" t="str" cm="1">
        <f t="array" ref="AA1061">_xll.BDP(B1061, "TYPE_OF_BOND")</f>
        <v>#N/A Field Not Applicable</v>
      </c>
    </row>
    <row r="1062" spans="1:27" x14ac:dyDescent="0.25">
      <c r="A1062">
        <v>1060</v>
      </c>
      <c r="B1062" t="s">
        <v>2117</v>
      </c>
      <c r="C1062" s="4" t="s">
        <v>2118</v>
      </c>
      <c r="D1062" s="4">
        <v>152542000</v>
      </c>
      <c r="E1062" t="s">
        <v>17</v>
      </c>
      <c r="F1062" s="1">
        <v>54667</v>
      </c>
      <c r="G1062">
        <v>3.7</v>
      </c>
      <c r="H1062" t="s">
        <v>9</v>
      </c>
      <c r="L1062" t="s">
        <v>1168</v>
      </c>
      <c r="M1062" t="s">
        <v>10</v>
      </c>
      <c r="N1062" t="s">
        <v>2119</v>
      </c>
      <c r="O1062" t="s">
        <v>2119</v>
      </c>
      <c r="P1062" t="s">
        <v>2695</v>
      </c>
      <c r="Q1062" t="s">
        <v>3240</v>
      </c>
      <c r="R1062" t="s">
        <v>2120</v>
      </c>
      <c r="S1062">
        <v>11439271.883501999</v>
      </c>
      <c r="T1062">
        <v>20</v>
      </c>
      <c r="W1062" t="s">
        <v>2121</v>
      </c>
      <c r="X1062" t="str">
        <f t="shared" si="16"/>
        <v>ZR085078@TRAC Corp</v>
      </c>
      <c r="Y1062" t="str">
        <f>_xlfn.IFNA(_xll.BDP(X1062,"INTERVAL_SUM", "MARKET_DATA_OVERRIDE=px_volume", "CALC_INTERVAL=5D"), "")</f>
        <v>#N/A N/A</v>
      </c>
      <c r="Z1062" cm="1">
        <f t="array" ref="Z1062">_xll.BDP(B1062, "CF_ACT_CASH_PAID_FOR_INT_DEBT")</f>
        <v>983</v>
      </c>
      <c r="AA1062" t="str" cm="1">
        <f t="array" ref="AA1062">_xll.BDP(B1062, "TYPE_OF_BOND")</f>
        <v>#N/A Field Not Applicable</v>
      </c>
    </row>
    <row r="1063" spans="1:27" x14ac:dyDescent="0.25">
      <c r="A1063">
        <v>1061</v>
      </c>
      <c r="B1063" t="s">
        <v>2122</v>
      </c>
      <c r="C1063" s="4" t="s">
        <v>2118</v>
      </c>
      <c r="D1063" s="4">
        <v>364018000</v>
      </c>
      <c r="E1063" t="s">
        <v>17</v>
      </c>
      <c r="F1063" s="1">
        <v>47543</v>
      </c>
      <c r="G1063">
        <v>2.95</v>
      </c>
      <c r="H1063" t="s">
        <v>9</v>
      </c>
      <c r="L1063" t="s">
        <v>1168</v>
      </c>
      <c r="M1063" t="s">
        <v>10</v>
      </c>
      <c r="N1063" t="s">
        <v>2119</v>
      </c>
      <c r="O1063" t="s">
        <v>2119</v>
      </c>
      <c r="P1063" t="s">
        <v>2695</v>
      </c>
      <c r="Q1063" t="s">
        <v>3240</v>
      </c>
      <c r="R1063" t="s">
        <v>2123</v>
      </c>
      <c r="S1063">
        <v>9860527.6647012793</v>
      </c>
      <c r="T1063">
        <v>41</v>
      </c>
      <c r="W1063" t="s">
        <v>2121</v>
      </c>
      <c r="X1063" t="str">
        <f t="shared" si="16"/>
        <v>ZR085077@TRAC Corp</v>
      </c>
      <c r="Y1063">
        <f>_xlfn.IFNA(_xll.BDP(X1063,"INTERVAL_SUM", "MARKET_DATA_OVERRIDE=px_volume", "CALC_INTERVAL=5D"), "")</f>
        <v>285</v>
      </c>
      <c r="Z1063" cm="1">
        <f t="array" ref="Z1063">_xll.BDP(B1063, "CF_ACT_CASH_PAID_FOR_INT_DEBT")</f>
        <v>983</v>
      </c>
      <c r="AA1063" t="str" cm="1">
        <f t="array" ref="AA1063">_xll.BDP(B1063, "TYPE_OF_BOND")</f>
        <v>#N/A Field Not Applicable</v>
      </c>
    </row>
    <row r="1064" spans="1:27" x14ac:dyDescent="0.25">
      <c r="A1064">
        <v>1062</v>
      </c>
      <c r="B1064" t="s">
        <v>2124</v>
      </c>
      <c r="C1064" s="4" t="s">
        <v>2118</v>
      </c>
      <c r="D1064" s="4">
        <v>500000000</v>
      </c>
      <c r="E1064" t="s">
        <v>17</v>
      </c>
      <c r="F1064" s="1">
        <v>47757</v>
      </c>
      <c r="G1064">
        <v>1.75</v>
      </c>
      <c r="H1064" t="s">
        <v>9</v>
      </c>
      <c r="L1064" t="s">
        <v>1168</v>
      </c>
      <c r="M1064" t="s">
        <v>10</v>
      </c>
      <c r="N1064" t="s">
        <v>2119</v>
      </c>
      <c r="O1064" t="s">
        <v>2119</v>
      </c>
      <c r="P1064" t="s">
        <v>2696</v>
      </c>
      <c r="Q1064" t="s">
        <v>3241</v>
      </c>
      <c r="R1064" t="s">
        <v>2125</v>
      </c>
      <c r="S1064">
        <v>16583363.2043221</v>
      </c>
      <c r="T1064">
        <v>51</v>
      </c>
      <c r="W1064" t="s">
        <v>2121</v>
      </c>
      <c r="X1064" t="str">
        <f t="shared" si="16"/>
        <v>ZO621499@TRAC Corp</v>
      </c>
      <c r="Y1064">
        <f>_xlfn.IFNA(_xll.BDP(X1064,"INTERVAL_SUM", "MARKET_DATA_OVERRIDE=px_volume", "CALC_INTERVAL=5D"), "")</f>
        <v>9950</v>
      </c>
      <c r="Z1064" t="str" cm="1">
        <f t="array" ref="Z1064">_xll.BDP(B1064, "CF_ACT_CASH_PAID_FOR_INT_DEBT")</f>
        <v>#N/A N/A</v>
      </c>
      <c r="AA1064" t="str" cm="1">
        <f t="array" ref="AA1064">_xll.BDP(B1064, "TYPE_OF_BOND")</f>
        <v>#N/A Field Not Applicable</v>
      </c>
    </row>
    <row r="1065" spans="1:27" x14ac:dyDescent="0.25">
      <c r="A1065">
        <v>1063</v>
      </c>
      <c r="B1065" t="s">
        <v>2126</v>
      </c>
      <c r="C1065" s="4" t="s">
        <v>2118</v>
      </c>
      <c r="D1065" s="4">
        <v>300000000</v>
      </c>
      <c r="E1065" s="1" t="s">
        <v>12</v>
      </c>
      <c r="F1065" s="1">
        <v>55975</v>
      </c>
      <c r="G1065">
        <v>5.3</v>
      </c>
      <c r="H1065" t="s">
        <v>9</v>
      </c>
      <c r="L1065" t="s">
        <v>1168</v>
      </c>
      <c r="M1065" t="s">
        <v>10</v>
      </c>
      <c r="N1065" t="s">
        <v>2119</v>
      </c>
      <c r="O1065" t="s">
        <v>2119</v>
      </c>
      <c r="P1065" t="s">
        <v>2695</v>
      </c>
      <c r="Q1065" t="s">
        <v>3240</v>
      </c>
      <c r="R1065" t="s">
        <v>2127</v>
      </c>
      <c r="S1065">
        <v>10552621.1761353</v>
      </c>
      <c r="T1065">
        <v>27</v>
      </c>
      <c r="W1065" t="s">
        <v>2121</v>
      </c>
      <c r="X1065" t="str">
        <f t="shared" si="16"/>
        <v>ZL717146@TRAC Corp</v>
      </c>
      <c r="Y1065">
        <f>_xlfn.IFNA(_xll.BDP(X1065,"INTERVAL_SUM", "MARKET_DATA_OVERRIDE=px_volume", "CALC_INTERVAL=5D"), "")</f>
        <v>60</v>
      </c>
      <c r="Z1065" cm="1">
        <f t="array" ref="Z1065">_xll.BDP(B1065, "CF_ACT_CASH_PAID_FOR_INT_DEBT")</f>
        <v>392</v>
      </c>
      <c r="AA1065" t="str" cm="1">
        <f t="array" ref="AA1065">_xll.BDP(B1065, "TYPE_OF_BOND")</f>
        <v>#N/A Field Not Applicable</v>
      </c>
    </row>
    <row r="1066" spans="1:27" x14ac:dyDescent="0.25">
      <c r="A1066">
        <v>1064</v>
      </c>
      <c r="B1066" t="s">
        <v>2128</v>
      </c>
      <c r="C1066" s="4" t="s">
        <v>2118</v>
      </c>
      <c r="D1066" s="4">
        <v>600000000</v>
      </c>
      <c r="E1066" s="1" t="s">
        <v>12</v>
      </c>
      <c r="F1066" s="1">
        <v>48670</v>
      </c>
      <c r="G1066">
        <v>4.95</v>
      </c>
      <c r="H1066" t="s">
        <v>9</v>
      </c>
      <c r="L1066" t="s">
        <v>1168</v>
      </c>
      <c r="M1066" t="s">
        <v>10</v>
      </c>
      <c r="N1066" t="s">
        <v>2119</v>
      </c>
      <c r="O1066" t="s">
        <v>2119</v>
      </c>
      <c r="P1066" t="s">
        <v>2695</v>
      </c>
      <c r="Q1066" t="s">
        <v>3240</v>
      </c>
      <c r="R1066" t="s">
        <v>2129</v>
      </c>
      <c r="S1066">
        <v>10842536.316963401</v>
      </c>
      <c r="T1066">
        <v>38</v>
      </c>
      <c r="W1066" t="s">
        <v>2121</v>
      </c>
      <c r="X1066" t="str">
        <f t="shared" si="16"/>
        <v>ZL717144@TRAC Corp</v>
      </c>
      <c r="Y1066">
        <f>_xlfn.IFNA(_xll.BDP(X1066,"INTERVAL_SUM", "MARKET_DATA_OVERRIDE=px_volume", "CALC_INTERVAL=5D"), "")</f>
        <v>1637</v>
      </c>
      <c r="Z1066" cm="1">
        <f t="array" ref="Z1066">_xll.BDP(B1066, "CF_ACT_CASH_PAID_FOR_INT_DEBT")</f>
        <v>392</v>
      </c>
      <c r="AA1066" t="str" cm="1">
        <f t="array" ref="AA1066">_xll.BDP(B1066, "TYPE_OF_BOND")</f>
        <v>#N/A Field Not Applicable</v>
      </c>
    </row>
    <row r="1067" spans="1:27" x14ac:dyDescent="0.25">
      <c r="A1067">
        <v>1065</v>
      </c>
      <c r="B1067" t="s">
        <v>2130</v>
      </c>
      <c r="C1067" s="4" t="s">
        <v>2118</v>
      </c>
      <c r="D1067" s="4">
        <v>294648000</v>
      </c>
      <c r="E1067" s="1" t="s">
        <v>17</v>
      </c>
      <c r="F1067" s="1">
        <v>48639</v>
      </c>
      <c r="G1067">
        <v>5.4</v>
      </c>
      <c r="H1067" t="s">
        <v>9</v>
      </c>
      <c r="L1067" t="s">
        <v>1168</v>
      </c>
      <c r="M1067" t="s">
        <v>10</v>
      </c>
      <c r="N1067" t="s">
        <v>2119</v>
      </c>
      <c r="O1067" t="s">
        <v>2119</v>
      </c>
      <c r="P1067" t="s">
        <v>2696</v>
      </c>
      <c r="Q1067" t="s">
        <v>3241</v>
      </c>
      <c r="R1067" t="s">
        <v>2131</v>
      </c>
      <c r="S1067">
        <v>7531198.3848361298</v>
      </c>
      <c r="T1067">
        <v>32</v>
      </c>
      <c r="W1067" t="s">
        <v>2121</v>
      </c>
      <c r="X1067" t="str">
        <f t="shared" si="16"/>
        <v>ZL213277@TRAC Corp</v>
      </c>
      <c r="Y1067">
        <f>_xlfn.IFNA(_xll.BDP(X1067,"INTERVAL_SUM", "MARKET_DATA_OVERRIDE=px_volume", "CALC_INTERVAL=5D"), "")</f>
        <v>149</v>
      </c>
      <c r="Z1067" t="str" cm="1">
        <f t="array" ref="Z1067">_xll.BDP(B1067, "CF_ACT_CASH_PAID_FOR_INT_DEBT")</f>
        <v>#N/A N/A</v>
      </c>
      <c r="AA1067" t="str" cm="1">
        <f t="array" ref="AA1067">_xll.BDP(B1067, "TYPE_OF_BOND")</f>
        <v>#N/A Field Not Applicable</v>
      </c>
    </row>
    <row r="1068" spans="1:27" x14ac:dyDescent="0.25">
      <c r="A1068">
        <v>1066</v>
      </c>
      <c r="B1068" t="s">
        <v>2132</v>
      </c>
      <c r="C1068" s="4" t="s">
        <v>2118</v>
      </c>
      <c r="D1068" s="4">
        <v>900000000</v>
      </c>
      <c r="E1068" s="1" t="s">
        <v>17</v>
      </c>
      <c r="F1068" s="1">
        <v>46813</v>
      </c>
      <c r="G1068">
        <v>5.25</v>
      </c>
      <c r="H1068" t="s">
        <v>9</v>
      </c>
      <c r="L1068" t="s">
        <v>1168</v>
      </c>
      <c r="M1068" t="s">
        <v>10</v>
      </c>
      <c r="N1068" t="s">
        <v>2119</v>
      </c>
      <c r="O1068" t="s">
        <v>2119</v>
      </c>
      <c r="P1068" t="s">
        <v>2696</v>
      </c>
      <c r="Q1068" t="s">
        <v>3241</v>
      </c>
      <c r="R1068" t="s">
        <v>2133</v>
      </c>
      <c r="S1068">
        <v>10469318.041567899</v>
      </c>
      <c r="T1068">
        <v>76</v>
      </c>
      <c r="W1068" t="s">
        <v>2121</v>
      </c>
      <c r="X1068" t="str">
        <f t="shared" si="16"/>
        <v>ZL213276@TRAC Corp</v>
      </c>
      <c r="Y1068">
        <f>_xlfn.IFNA(_xll.BDP(X1068,"INTERVAL_SUM", "MARKET_DATA_OVERRIDE=px_volume", "CALC_INTERVAL=5D"), "")</f>
        <v>4865</v>
      </c>
      <c r="Z1068" t="str" cm="1">
        <f t="array" ref="Z1068">_xll.BDP(B1068, "CF_ACT_CASH_PAID_FOR_INT_DEBT")</f>
        <v>#N/A N/A</v>
      </c>
      <c r="AA1068" t="str" cm="1">
        <f t="array" ref="AA1068">_xll.BDP(B1068, "TYPE_OF_BOND")</f>
        <v>#N/A Field Not Applicable</v>
      </c>
    </row>
    <row r="1069" spans="1:27" x14ac:dyDescent="0.25">
      <c r="A1069">
        <v>1067</v>
      </c>
      <c r="B1069" t="s">
        <v>2134</v>
      </c>
      <c r="C1069" s="4" t="s">
        <v>2118</v>
      </c>
      <c r="D1069" s="4">
        <v>126450000</v>
      </c>
      <c r="E1069" s="1" t="s">
        <v>12</v>
      </c>
      <c r="F1069" s="1">
        <v>51636</v>
      </c>
      <c r="G1069">
        <v>5.1719999999999997</v>
      </c>
      <c r="H1069" t="s">
        <v>9</v>
      </c>
      <c r="L1069" t="s">
        <v>1168</v>
      </c>
      <c r="M1069" t="s">
        <v>10</v>
      </c>
      <c r="N1069" t="s">
        <v>2119</v>
      </c>
      <c r="O1069" t="s">
        <v>2119</v>
      </c>
      <c r="P1069" t="s">
        <v>2695</v>
      </c>
      <c r="Q1069" t="s">
        <v>3242</v>
      </c>
      <c r="R1069" t="s">
        <v>2135</v>
      </c>
      <c r="S1069">
        <v>2332785.9190797601</v>
      </c>
      <c r="T1069">
        <v>22</v>
      </c>
      <c r="U1069" t="s">
        <v>1680</v>
      </c>
      <c r="W1069" t="s">
        <v>2121</v>
      </c>
      <c r="X1069" t="str">
        <f t="shared" si="16"/>
        <v>ZJ013814@TRAC Corp</v>
      </c>
      <c r="Y1069" t="str">
        <f>_xlfn.IFNA(_xll.BDP(X1069,"INTERVAL_SUM", "MARKET_DATA_OVERRIDE=px_volume", "CALC_INTERVAL=5D"), "")</f>
        <v>#N/A N/A</v>
      </c>
      <c r="Z1069" cm="1">
        <f t="array" ref="Z1069">_xll.BDP(B1069, "CF_ACT_CASH_PAID_FOR_INT_DEBT")</f>
        <v>983</v>
      </c>
      <c r="AA1069" t="str" cm="1">
        <f t="array" ref="AA1069">_xll.BDP(B1069, "TYPE_OF_BOND")</f>
        <v>Recovery Bond</v>
      </c>
    </row>
    <row r="1070" spans="1:27" x14ac:dyDescent="0.25">
      <c r="A1070">
        <v>1068</v>
      </c>
      <c r="B1070" t="s">
        <v>2136</v>
      </c>
      <c r="C1070" s="4" t="s">
        <v>2118</v>
      </c>
      <c r="D1070" s="4">
        <v>178355475</v>
      </c>
      <c r="E1070" t="s">
        <v>12</v>
      </c>
      <c r="F1070" s="1">
        <v>49994</v>
      </c>
      <c r="G1070">
        <v>5.0259999999999998</v>
      </c>
      <c r="H1070" t="s">
        <v>9</v>
      </c>
      <c r="L1070" t="s">
        <v>1168</v>
      </c>
      <c r="M1070" t="s">
        <v>10</v>
      </c>
      <c r="N1070" t="s">
        <v>2119</v>
      </c>
      <c r="O1070" t="s">
        <v>2119</v>
      </c>
      <c r="P1070" t="s">
        <v>2695</v>
      </c>
      <c r="Q1070" t="s">
        <v>3242</v>
      </c>
      <c r="R1070" t="s">
        <v>2137</v>
      </c>
      <c r="S1070">
        <v>37066189.536605403</v>
      </c>
      <c r="T1070">
        <v>31</v>
      </c>
      <c r="U1070" t="s">
        <v>2138</v>
      </c>
      <c r="W1070" t="s">
        <v>2121</v>
      </c>
      <c r="X1070" t="str">
        <f t="shared" si="16"/>
        <v>ZJ013487@TRAC Corp</v>
      </c>
      <c r="Y1070" t="str">
        <f>_xlfn.IFNA(_xll.BDP(X1070,"INTERVAL_SUM", "MARKET_DATA_OVERRIDE=px_volume", "CALC_INTERVAL=5D"), "")</f>
        <v>#N/A N/A</v>
      </c>
      <c r="Z1070" cm="1">
        <f t="array" ref="Z1070">_xll.BDP(B1070, "CF_ACT_CASH_PAID_FOR_INT_DEBT")</f>
        <v>983</v>
      </c>
      <c r="AA1070" t="str" cm="1">
        <f t="array" ref="AA1070">_xll.BDP(B1070, "TYPE_OF_BOND")</f>
        <v>Recovery Bond</v>
      </c>
    </row>
    <row r="1071" spans="1:27" x14ac:dyDescent="0.25">
      <c r="A1071">
        <v>1069</v>
      </c>
      <c r="B1071" t="s">
        <v>2139</v>
      </c>
      <c r="C1071" s="4" t="s">
        <v>2118</v>
      </c>
      <c r="D1071" s="4">
        <v>500000000</v>
      </c>
      <c r="E1071" t="s">
        <v>12</v>
      </c>
      <c r="F1071" s="1">
        <v>47027</v>
      </c>
      <c r="G1071">
        <v>5.2</v>
      </c>
      <c r="H1071" t="s">
        <v>9</v>
      </c>
      <c r="L1071" t="s">
        <v>1168</v>
      </c>
      <c r="M1071" t="s">
        <v>10</v>
      </c>
      <c r="N1071" t="s">
        <v>2119</v>
      </c>
      <c r="O1071" t="s">
        <v>2119</v>
      </c>
      <c r="P1071" t="s">
        <v>2695</v>
      </c>
      <c r="Q1071" t="s">
        <v>3240</v>
      </c>
      <c r="R1071" t="s">
        <v>2140</v>
      </c>
      <c r="S1071">
        <v>13538638.1873453</v>
      </c>
      <c r="T1071">
        <v>67</v>
      </c>
      <c r="W1071" t="s">
        <v>2121</v>
      </c>
      <c r="X1071" t="str">
        <f t="shared" si="16"/>
        <v>ZI894745@TRAC Corp</v>
      </c>
      <c r="Y1071">
        <f>_xlfn.IFNA(_xll.BDP(X1071,"INTERVAL_SUM", "MARKET_DATA_OVERRIDE=px_volume", "CALC_INTERVAL=5D"), "")</f>
        <v>31335</v>
      </c>
      <c r="Z1071" cm="1">
        <f t="array" ref="Z1071">_xll.BDP(B1071, "CF_ACT_CASH_PAID_FOR_INT_DEBT")</f>
        <v>392</v>
      </c>
      <c r="AA1071" t="str" cm="1">
        <f t="array" ref="AA1071">_xll.BDP(B1071, "TYPE_OF_BOND")</f>
        <v>#N/A Field Not Applicable</v>
      </c>
    </row>
    <row r="1072" spans="1:27" x14ac:dyDescent="0.25">
      <c r="A1072">
        <v>1070</v>
      </c>
      <c r="B1072" t="s">
        <v>2141</v>
      </c>
      <c r="C1072" s="4" t="s">
        <v>2118</v>
      </c>
      <c r="D1072" s="4">
        <v>17053000</v>
      </c>
      <c r="E1072" t="s">
        <v>17</v>
      </c>
      <c r="F1072" s="1">
        <v>46244</v>
      </c>
      <c r="G1072">
        <v>5.25</v>
      </c>
      <c r="H1072" t="s">
        <v>9</v>
      </c>
      <c r="L1072" t="s">
        <v>1168</v>
      </c>
      <c r="M1072" t="s">
        <v>10</v>
      </c>
      <c r="N1072" t="s">
        <v>2119</v>
      </c>
      <c r="O1072" t="s">
        <v>2119</v>
      </c>
      <c r="P1072" t="s">
        <v>2695</v>
      </c>
      <c r="Q1072" t="s">
        <v>3240</v>
      </c>
      <c r="R1072" t="s">
        <v>2142</v>
      </c>
      <c r="S1072">
        <v>772044.80456396297</v>
      </c>
      <c r="T1072">
        <v>33</v>
      </c>
      <c r="W1072" t="s">
        <v>2121</v>
      </c>
      <c r="X1072" t="str">
        <f t="shared" si="16"/>
        <v>ZI267978@TRAC Corp</v>
      </c>
      <c r="Y1072" t="str">
        <f>_xlfn.IFNA(_xll.BDP(X1072,"INTERVAL_SUM", "MARKET_DATA_OVERRIDE=px_volume", "CALC_INTERVAL=5D"), "")</f>
        <v>#N/A N/A</v>
      </c>
      <c r="Z1072" cm="1">
        <f t="array" ref="Z1072">_xll.BDP(B1072, "CF_ACT_CASH_PAID_FOR_INT_DEBT")</f>
        <v>983</v>
      </c>
      <c r="AA1072" t="str" cm="1">
        <f t="array" ref="AA1072">_xll.BDP(B1072, "TYPE_OF_BOND")</f>
        <v>#N/A Field Not Applicable</v>
      </c>
    </row>
    <row r="1073" spans="1:27" x14ac:dyDescent="0.25">
      <c r="A1073">
        <v>1071</v>
      </c>
      <c r="B1073" t="s">
        <v>2143</v>
      </c>
      <c r="C1073" s="4" t="s">
        <v>2118</v>
      </c>
      <c r="D1073" s="4">
        <v>1000000000</v>
      </c>
      <c r="E1073" t="s">
        <v>17</v>
      </c>
      <c r="F1073" s="1">
        <v>46249</v>
      </c>
      <c r="G1073">
        <v>4.25</v>
      </c>
      <c r="H1073" t="s">
        <v>9</v>
      </c>
      <c r="L1073" t="s">
        <v>1168</v>
      </c>
      <c r="M1073" t="s">
        <v>10</v>
      </c>
      <c r="N1073" t="s">
        <v>2119</v>
      </c>
      <c r="O1073" t="s">
        <v>2119</v>
      </c>
      <c r="P1073" t="s">
        <v>2695</v>
      </c>
      <c r="Q1073" t="s">
        <v>3240</v>
      </c>
      <c r="R1073" t="s">
        <v>2144</v>
      </c>
      <c r="S1073">
        <v>1909548.63621269</v>
      </c>
      <c r="T1073">
        <v>99</v>
      </c>
      <c r="W1073" t="s">
        <v>2121</v>
      </c>
      <c r="X1073" t="str">
        <f t="shared" si="16"/>
        <v>ZI135086@TRAC Corp</v>
      </c>
      <c r="Y1073">
        <f>_xlfn.IFNA(_xll.BDP(X1073,"INTERVAL_SUM", "MARKET_DATA_OVERRIDE=px_volume", "CALC_INTERVAL=5D"), "")</f>
        <v>61826</v>
      </c>
      <c r="Z1073" cm="1">
        <f t="array" ref="Z1073">_xll.BDP(B1073, "CF_ACT_CASH_PAID_FOR_INT_DEBT")</f>
        <v>983</v>
      </c>
      <c r="AA1073" t="str" cm="1">
        <f t="array" ref="AA1073">_xll.BDP(B1073, "TYPE_OF_BOND")</f>
        <v>Convertible</v>
      </c>
    </row>
    <row r="1074" spans="1:27" x14ac:dyDescent="0.25">
      <c r="A1074">
        <v>1072</v>
      </c>
      <c r="B1074" t="s">
        <v>2145</v>
      </c>
      <c r="C1074" s="4" t="s">
        <v>2118</v>
      </c>
      <c r="D1074" s="4">
        <v>75000000</v>
      </c>
      <c r="E1074" t="s">
        <v>17</v>
      </c>
      <c r="F1074" s="1">
        <v>49644</v>
      </c>
      <c r="G1074">
        <v>6.1</v>
      </c>
      <c r="H1074" t="s">
        <v>9</v>
      </c>
      <c r="L1074" t="s">
        <v>1168</v>
      </c>
      <c r="M1074" t="s">
        <v>10</v>
      </c>
      <c r="N1074" t="s">
        <v>2119</v>
      </c>
      <c r="O1074" t="s">
        <v>2119</v>
      </c>
      <c r="P1074" t="s">
        <v>2696</v>
      </c>
      <c r="Q1074" t="s">
        <v>3241</v>
      </c>
      <c r="R1074" t="s">
        <v>2146</v>
      </c>
      <c r="S1074">
        <v>4178030.3357301601</v>
      </c>
      <c r="T1074">
        <v>21</v>
      </c>
      <c r="W1074" t="s">
        <v>2121</v>
      </c>
      <c r="X1074" t="str">
        <f t="shared" si="16"/>
        <v>ZI000194@TRAC Corp</v>
      </c>
      <c r="Y1074" t="str">
        <f>_xlfn.IFNA(_xll.BDP(X1074,"INTERVAL_SUM", "MARKET_DATA_OVERRIDE=px_volume", "CALC_INTERVAL=5D"), "")</f>
        <v>#N/A N/A</v>
      </c>
      <c r="Z1074" t="str" cm="1">
        <f t="array" ref="Z1074">_xll.BDP(B1074, "CF_ACT_CASH_PAID_FOR_INT_DEBT")</f>
        <v>#N/A N/A</v>
      </c>
      <c r="AA1074" t="str" cm="1">
        <f t="array" ref="AA1074">_xll.BDP(B1074, "TYPE_OF_BOND")</f>
        <v>#N/A Field Not Applicable</v>
      </c>
    </row>
    <row r="1075" spans="1:27" x14ac:dyDescent="0.25">
      <c r="A1075">
        <v>1073</v>
      </c>
      <c r="B1075" t="s">
        <v>2147</v>
      </c>
      <c r="C1075" s="4" t="s">
        <v>2118</v>
      </c>
      <c r="D1075" s="4">
        <v>400000000</v>
      </c>
      <c r="E1075" t="s">
        <v>12</v>
      </c>
      <c r="F1075" s="1">
        <v>49004</v>
      </c>
      <c r="G1075">
        <v>5.15</v>
      </c>
      <c r="H1075" t="s">
        <v>9</v>
      </c>
      <c r="L1075" t="s">
        <v>1168</v>
      </c>
      <c r="M1075" t="s">
        <v>10</v>
      </c>
      <c r="N1075" t="s">
        <v>2119</v>
      </c>
      <c r="O1075" t="s">
        <v>2119</v>
      </c>
      <c r="P1075" t="s">
        <v>2695</v>
      </c>
      <c r="Q1075" t="s">
        <v>3240</v>
      </c>
      <c r="R1075" t="s">
        <v>2148</v>
      </c>
      <c r="S1075">
        <v>8789434.1463998295</v>
      </c>
      <c r="T1075">
        <v>35</v>
      </c>
      <c r="W1075" t="s">
        <v>2121</v>
      </c>
      <c r="X1075" t="str">
        <f t="shared" si="16"/>
        <v>ZD321710@TRAC Corp</v>
      </c>
      <c r="Y1075">
        <f>_xlfn.IFNA(_xll.BDP(X1075,"INTERVAL_SUM", "MARKET_DATA_OVERRIDE=px_volume", "CALC_INTERVAL=5D"), "")</f>
        <v>36</v>
      </c>
      <c r="Z1075" cm="1">
        <f t="array" ref="Z1075">_xll.BDP(B1075, "CF_ACT_CASH_PAID_FOR_INT_DEBT")</f>
        <v>392</v>
      </c>
      <c r="AA1075" t="str" cm="1">
        <f t="array" ref="AA1075">_xll.BDP(B1075, "TYPE_OF_BOND")</f>
        <v>#N/A Field Not Applicable</v>
      </c>
    </row>
    <row r="1076" spans="1:27" x14ac:dyDescent="0.25">
      <c r="A1076">
        <v>1074</v>
      </c>
      <c r="B1076" t="s">
        <v>2149</v>
      </c>
      <c r="C1076" s="4" t="s">
        <v>2118</v>
      </c>
      <c r="D1076" s="4">
        <v>659802000</v>
      </c>
      <c r="E1076" t="s">
        <v>17</v>
      </c>
      <c r="F1076" s="1">
        <v>47270</v>
      </c>
      <c r="G1076">
        <v>5.4</v>
      </c>
      <c r="H1076" t="s">
        <v>9</v>
      </c>
      <c r="L1076" t="s">
        <v>1168</v>
      </c>
      <c r="M1076" t="s">
        <v>10</v>
      </c>
      <c r="N1076" t="s">
        <v>2119</v>
      </c>
      <c r="O1076" t="s">
        <v>2119</v>
      </c>
      <c r="P1076" t="s">
        <v>2695</v>
      </c>
      <c r="Q1076" t="s">
        <v>3240</v>
      </c>
      <c r="R1076" t="s">
        <v>2150</v>
      </c>
      <c r="S1076">
        <v>10362472.5059685</v>
      </c>
      <c r="T1076">
        <v>68</v>
      </c>
      <c r="W1076" t="s">
        <v>2121</v>
      </c>
      <c r="X1076" t="str">
        <f t="shared" si="16"/>
        <v>ZB989855@TRAC Corp</v>
      </c>
      <c r="Y1076">
        <f>_xlfn.IFNA(_xll.BDP(X1076,"INTERVAL_SUM", "MARKET_DATA_OVERRIDE=px_volume", "CALC_INTERVAL=5D"), "")</f>
        <v>19924</v>
      </c>
      <c r="Z1076" cm="1">
        <f t="array" ref="Z1076">_xll.BDP(B1076, "CF_ACT_CASH_PAID_FOR_INT_DEBT")</f>
        <v>983</v>
      </c>
      <c r="AA1076" t="str" cm="1">
        <f t="array" ref="AA1076">_xll.BDP(B1076, "TYPE_OF_BOND")</f>
        <v>#N/A Field Not Applicable</v>
      </c>
    </row>
    <row r="1077" spans="1:27" x14ac:dyDescent="0.25">
      <c r="A1077">
        <v>1075</v>
      </c>
      <c r="B1077" t="s">
        <v>2151</v>
      </c>
      <c r="C1077" s="4" t="s">
        <v>2118</v>
      </c>
      <c r="D1077" s="4">
        <v>400000000</v>
      </c>
      <c r="E1077" t="s">
        <v>17</v>
      </c>
      <c r="F1077" s="1">
        <v>49126</v>
      </c>
      <c r="G1077">
        <v>5.4</v>
      </c>
      <c r="H1077" t="s">
        <v>9</v>
      </c>
      <c r="L1077" t="s">
        <v>1168</v>
      </c>
      <c r="M1077" t="s">
        <v>10</v>
      </c>
      <c r="N1077" t="s">
        <v>2119</v>
      </c>
      <c r="O1077" t="s">
        <v>2119</v>
      </c>
      <c r="P1077" t="s">
        <v>2696</v>
      </c>
      <c r="Q1077" t="s">
        <v>3241</v>
      </c>
      <c r="R1077" t="s">
        <v>2152</v>
      </c>
      <c r="S1077">
        <v>7661834.5061562099</v>
      </c>
      <c r="T1077">
        <v>38</v>
      </c>
      <c r="W1077" t="s">
        <v>2121</v>
      </c>
      <c r="X1077" t="str">
        <f t="shared" si="16"/>
        <v>YX813819@TRAC Corp</v>
      </c>
      <c r="Y1077">
        <f>_xlfn.IFNA(_xll.BDP(X1077,"INTERVAL_SUM", "MARKET_DATA_OVERRIDE=px_volume", "CALC_INTERVAL=5D"), "")</f>
        <v>1614</v>
      </c>
      <c r="Z1077" t="str" cm="1">
        <f t="array" ref="Z1077">_xll.BDP(B1077, "CF_ACT_CASH_PAID_FOR_INT_DEBT")</f>
        <v>#N/A N/A</v>
      </c>
      <c r="AA1077" t="str" cm="1">
        <f t="array" ref="AA1077">_xll.BDP(B1077, "TYPE_OF_BOND")</f>
        <v>#N/A Field Not Applicable</v>
      </c>
    </row>
    <row r="1078" spans="1:27" x14ac:dyDescent="0.25">
      <c r="A1078">
        <v>1076</v>
      </c>
      <c r="B1078" t="s">
        <v>2153</v>
      </c>
      <c r="C1078" s="4" t="s">
        <v>2118</v>
      </c>
      <c r="D1078" s="4">
        <v>400000000</v>
      </c>
      <c r="E1078" t="s">
        <v>1161</v>
      </c>
      <c r="F1078" s="1">
        <v>56660</v>
      </c>
      <c r="G1078">
        <v>6.85</v>
      </c>
      <c r="H1078" t="s">
        <v>1162</v>
      </c>
      <c r="I1078" t="s">
        <v>2697</v>
      </c>
      <c r="L1078" t="s">
        <v>1168</v>
      </c>
      <c r="M1078" t="s">
        <v>10</v>
      </c>
      <c r="N1078" t="s">
        <v>2119</v>
      </c>
      <c r="O1078" t="s">
        <v>2119</v>
      </c>
      <c r="P1078" t="s">
        <v>2695</v>
      </c>
      <c r="Q1078" t="s">
        <v>3240</v>
      </c>
      <c r="R1078" t="s">
        <v>2154</v>
      </c>
      <c r="S1078">
        <v>22891408.026672401</v>
      </c>
      <c r="T1078">
        <v>53</v>
      </c>
      <c r="U1078" t="s">
        <v>1181</v>
      </c>
      <c r="W1078" t="s">
        <v>2121</v>
      </c>
      <c r="X1078" t="str">
        <f t="shared" si="16"/>
        <v>YV109959@TRAC Corp</v>
      </c>
      <c r="Y1078">
        <f>_xlfn.IFNA(_xll.BDP(X1078,"INTERVAL_SUM", "MARKET_DATA_OVERRIDE=px_volume", "CALC_INTERVAL=5D"), "")</f>
        <v>2078</v>
      </c>
      <c r="Z1078" cm="1">
        <f t="array" ref="Z1078">_xll.BDP(B1078, "CF_ACT_CASH_PAID_FOR_INT_DEBT")</f>
        <v>983</v>
      </c>
      <c r="AA1078" t="str" cm="1">
        <f t="array" ref="AA1078">_xll.BDP(B1078, "TYPE_OF_BOND")</f>
        <v>Hybrid</v>
      </c>
    </row>
    <row r="1079" spans="1:27" x14ac:dyDescent="0.25">
      <c r="A1079">
        <v>1077</v>
      </c>
      <c r="B1079" t="s">
        <v>2155</v>
      </c>
      <c r="C1079" s="4" t="s">
        <v>2118</v>
      </c>
      <c r="D1079" s="4">
        <v>400000000</v>
      </c>
      <c r="E1079" t="s">
        <v>1161</v>
      </c>
      <c r="F1079" s="1">
        <v>56660</v>
      </c>
      <c r="G1079">
        <v>7</v>
      </c>
      <c r="H1079" t="s">
        <v>1162</v>
      </c>
      <c r="I1079" t="s">
        <v>2697</v>
      </c>
      <c r="L1079" t="s">
        <v>1168</v>
      </c>
      <c r="M1079" t="s">
        <v>10</v>
      </c>
      <c r="N1079" t="s">
        <v>2119</v>
      </c>
      <c r="O1079" t="s">
        <v>2119</v>
      </c>
      <c r="P1079" t="s">
        <v>2695</v>
      </c>
      <c r="Q1079" t="s">
        <v>3240</v>
      </c>
      <c r="R1079" t="s">
        <v>2156</v>
      </c>
      <c r="S1079">
        <v>17064243.251219101</v>
      </c>
      <c r="T1079">
        <v>62</v>
      </c>
      <c r="U1079" t="s">
        <v>1176</v>
      </c>
      <c r="W1079" t="s">
        <v>2121</v>
      </c>
      <c r="X1079" t="str">
        <f t="shared" si="16"/>
        <v>YV100585@TRAC Corp</v>
      </c>
      <c r="Y1079">
        <f>_xlfn.IFNA(_xll.BDP(X1079,"INTERVAL_SUM", "MARKET_DATA_OVERRIDE=px_volume", "CALC_INTERVAL=5D"), "")</f>
        <v>1411</v>
      </c>
      <c r="Z1079" cm="1">
        <f t="array" ref="Z1079">_xll.BDP(B1079, "CF_ACT_CASH_PAID_FOR_INT_DEBT")</f>
        <v>983</v>
      </c>
      <c r="AA1079" t="str" cm="1">
        <f t="array" ref="AA1079">_xll.BDP(B1079, "TYPE_OF_BOND")</f>
        <v>Hybrid</v>
      </c>
    </row>
    <row r="1080" spans="1:27" x14ac:dyDescent="0.25">
      <c r="A1080">
        <v>1078</v>
      </c>
      <c r="B1080" t="s">
        <v>2157</v>
      </c>
      <c r="C1080" s="4" t="s">
        <v>2118</v>
      </c>
      <c r="D1080" s="4">
        <v>500000000</v>
      </c>
      <c r="E1080" t="s">
        <v>12</v>
      </c>
      <c r="F1080" s="1">
        <v>49369</v>
      </c>
      <c r="G1080">
        <v>5.05</v>
      </c>
      <c r="H1080" t="s">
        <v>9</v>
      </c>
      <c r="L1080" t="s">
        <v>1168</v>
      </c>
      <c r="M1080" t="s">
        <v>10</v>
      </c>
      <c r="N1080" t="s">
        <v>2119</v>
      </c>
      <c r="O1080" t="s">
        <v>2119</v>
      </c>
      <c r="P1080" t="s">
        <v>2695</v>
      </c>
      <c r="Q1080" t="s">
        <v>3240</v>
      </c>
      <c r="R1080" t="s">
        <v>2158</v>
      </c>
      <c r="S1080">
        <v>10562607.461145001</v>
      </c>
      <c r="T1080">
        <v>39</v>
      </c>
      <c r="W1080" t="s">
        <v>2121</v>
      </c>
      <c r="X1080" t="str">
        <f t="shared" si="16"/>
        <v>YU882369@TRAC Corp</v>
      </c>
      <c r="Y1080">
        <f>_xlfn.IFNA(_xll.BDP(X1080,"INTERVAL_SUM", "MARKET_DATA_OVERRIDE=px_volume", "CALC_INTERVAL=5D"), "")</f>
        <v>247</v>
      </c>
      <c r="Z1080" cm="1">
        <f t="array" ref="Z1080">_xll.BDP(B1080, "CF_ACT_CASH_PAID_FOR_INT_DEBT")</f>
        <v>392</v>
      </c>
      <c r="AA1080" t="str" cm="1">
        <f t="array" ref="AA1080">_xll.BDP(B1080, "TYPE_OF_BOND")</f>
        <v>#N/A Field Not Applicable</v>
      </c>
    </row>
    <row r="1081" spans="1:27" x14ac:dyDescent="0.25">
      <c r="A1081">
        <v>1079</v>
      </c>
      <c r="B1081" t="s">
        <v>2159</v>
      </c>
      <c r="C1081" s="4" t="s">
        <v>2118</v>
      </c>
      <c r="D1081" s="4">
        <v>500000000</v>
      </c>
      <c r="E1081" t="s">
        <v>1161</v>
      </c>
      <c r="F1081" s="1">
        <v>56749</v>
      </c>
      <c r="G1081">
        <v>6.7</v>
      </c>
      <c r="H1081" t="s">
        <v>1162</v>
      </c>
      <c r="I1081" t="s">
        <v>2697</v>
      </c>
      <c r="L1081" t="s">
        <v>1168</v>
      </c>
      <c r="M1081" t="s">
        <v>10</v>
      </c>
      <c r="N1081" t="s">
        <v>2119</v>
      </c>
      <c r="O1081" t="s">
        <v>2119</v>
      </c>
      <c r="P1081" t="s">
        <v>2695</v>
      </c>
      <c r="Q1081" t="s">
        <v>3240</v>
      </c>
      <c r="R1081" t="s">
        <v>2160</v>
      </c>
      <c r="S1081">
        <v>30493436.203674302</v>
      </c>
      <c r="T1081">
        <v>63</v>
      </c>
      <c r="W1081" t="s">
        <v>2121</v>
      </c>
      <c r="X1081" t="str">
        <f t="shared" si="16"/>
        <v>YU853372@TRAC Corp</v>
      </c>
      <c r="Y1081">
        <f>_xlfn.IFNA(_xll.BDP(X1081,"INTERVAL_SUM", "MARKET_DATA_OVERRIDE=px_volume", "CALC_INTERVAL=5D"), "")</f>
        <v>959</v>
      </c>
      <c r="Z1081" cm="1">
        <f t="array" ref="Z1081">_xll.BDP(B1081, "CF_ACT_CASH_PAID_FOR_INT_DEBT")</f>
        <v>983</v>
      </c>
      <c r="AA1081" t="str" cm="1">
        <f t="array" ref="AA1081">_xll.BDP(B1081, "TYPE_OF_BOND")</f>
        <v>Hybrid</v>
      </c>
    </row>
    <row r="1082" spans="1:27" x14ac:dyDescent="0.25">
      <c r="A1082">
        <v>1080</v>
      </c>
      <c r="B1082" t="s">
        <v>2161</v>
      </c>
      <c r="C1082" s="4" t="s">
        <v>2118</v>
      </c>
      <c r="D1082" s="4">
        <v>500000000</v>
      </c>
      <c r="E1082" t="s">
        <v>12</v>
      </c>
      <c r="F1082" s="1">
        <v>47557</v>
      </c>
      <c r="G1082">
        <v>4.8</v>
      </c>
      <c r="H1082" t="s">
        <v>9</v>
      </c>
      <c r="L1082" t="s">
        <v>1168</v>
      </c>
      <c r="M1082" t="s">
        <v>10</v>
      </c>
      <c r="N1082" t="s">
        <v>2119</v>
      </c>
      <c r="O1082" t="s">
        <v>2119</v>
      </c>
      <c r="P1082" t="s">
        <v>2695</v>
      </c>
      <c r="Q1082" t="s">
        <v>3240</v>
      </c>
      <c r="R1082" t="s">
        <v>2162</v>
      </c>
      <c r="S1082">
        <v>8291628.8732348904</v>
      </c>
      <c r="T1082">
        <v>50</v>
      </c>
      <c r="W1082" t="s">
        <v>2121</v>
      </c>
      <c r="X1082" t="str">
        <f t="shared" si="16"/>
        <v>YR802341@TRAC Corp</v>
      </c>
      <c r="Y1082">
        <f>_xlfn.IFNA(_xll.BDP(X1082,"INTERVAL_SUM", "MARKET_DATA_OVERRIDE=px_volume", "CALC_INTERVAL=5D"), "")</f>
        <v>17241</v>
      </c>
      <c r="Z1082" cm="1">
        <f t="array" ref="Z1082">_xll.BDP(B1082, "CF_ACT_CASH_PAID_FOR_INT_DEBT")</f>
        <v>392</v>
      </c>
      <c r="AA1082" t="str" cm="1">
        <f t="array" ref="AA1082">_xll.BDP(B1082, "TYPE_OF_BOND")</f>
        <v>#N/A Field Not Applicable</v>
      </c>
    </row>
    <row r="1083" spans="1:27" x14ac:dyDescent="0.25">
      <c r="A1083">
        <v>1081</v>
      </c>
      <c r="B1083" t="s">
        <v>2163</v>
      </c>
      <c r="C1083" s="4" t="s">
        <v>2118</v>
      </c>
      <c r="D1083" s="4">
        <v>600000000</v>
      </c>
      <c r="E1083" t="s">
        <v>12</v>
      </c>
      <c r="F1083" s="1">
        <v>49536</v>
      </c>
      <c r="G1083">
        <v>4.95</v>
      </c>
      <c r="H1083" t="s">
        <v>9</v>
      </c>
      <c r="L1083" t="s">
        <v>1168</v>
      </c>
      <c r="M1083" t="s">
        <v>10</v>
      </c>
      <c r="N1083" t="s">
        <v>2119</v>
      </c>
      <c r="O1083" t="s">
        <v>2119</v>
      </c>
      <c r="P1083" t="s">
        <v>2695</v>
      </c>
      <c r="Q1083" t="s">
        <v>3240</v>
      </c>
      <c r="R1083" t="s">
        <v>2164</v>
      </c>
      <c r="S1083">
        <v>8389016.8080514409</v>
      </c>
      <c r="T1083">
        <v>37</v>
      </c>
      <c r="U1083" t="s">
        <v>2165</v>
      </c>
      <c r="W1083" t="s">
        <v>2121</v>
      </c>
      <c r="X1083" t="str">
        <f t="shared" si="16"/>
        <v>YM986861@TRAC Corp</v>
      </c>
      <c r="Y1083">
        <f>_xlfn.IFNA(_xll.BDP(X1083,"INTERVAL_SUM", "MARKET_DATA_OVERRIDE=px_volume", "CALC_INTERVAL=5D"), "")</f>
        <v>1974</v>
      </c>
      <c r="Z1083" cm="1">
        <f t="array" ref="Z1083">_xll.BDP(B1083, "CF_ACT_CASH_PAID_FOR_INT_DEBT")</f>
        <v>392</v>
      </c>
      <c r="AA1083" t="str" cm="1">
        <f t="array" ref="AA1083">_xll.BDP(B1083, "TYPE_OF_BOND")</f>
        <v>#N/A Field Not Applicable</v>
      </c>
    </row>
    <row r="1084" spans="1:27" x14ac:dyDescent="0.25">
      <c r="A1084">
        <v>1082</v>
      </c>
      <c r="B1084" t="s">
        <v>2166</v>
      </c>
      <c r="C1084" s="4" t="s">
        <v>2118</v>
      </c>
      <c r="D1084" s="4">
        <v>1000000000</v>
      </c>
      <c r="E1084" t="s">
        <v>17</v>
      </c>
      <c r="F1084" s="1">
        <v>46966</v>
      </c>
      <c r="G1084">
        <v>3</v>
      </c>
      <c r="H1084" t="s">
        <v>9</v>
      </c>
      <c r="L1084" t="s">
        <v>1168</v>
      </c>
      <c r="M1084" t="s">
        <v>10</v>
      </c>
      <c r="N1084" t="s">
        <v>2119</v>
      </c>
      <c r="O1084" t="s">
        <v>2119</v>
      </c>
      <c r="P1084" t="s">
        <v>2695</v>
      </c>
      <c r="Q1084" t="s">
        <v>3240</v>
      </c>
      <c r="R1084" t="s">
        <v>2167</v>
      </c>
      <c r="S1084">
        <v>1663238.21367559</v>
      </c>
      <c r="T1084">
        <v>36</v>
      </c>
      <c r="W1084" t="s">
        <v>2121</v>
      </c>
      <c r="X1084" t="str">
        <f t="shared" si="16"/>
        <v>YM778544@TRAC Corp</v>
      </c>
      <c r="Y1084">
        <f>_xlfn.IFNA(_xll.BDP(X1084,"INTERVAL_SUM", "MARKET_DATA_OVERRIDE=px_volume", "CALC_INTERVAL=5D"), "")</f>
        <v>47819</v>
      </c>
      <c r="Z1084" cm="1">
        <f t="array" ref="Z1084">_xll.BDP(B1084, "CF_ACT_CASH_PAID_FOR_INT_DEBT")</f>
        <v>983</v>
      </c>
      <c r="AA1084" t="str" cm="1">
        <f t="array" ref="AA1084">_xll.BDP(B1084, "TYPE_OF_BOND")</f>
        <v>Convertible</v>
      </c>
    </row>
    <row r="1085" spans="1:27" x14ac:dyDescent="0.25">
      <c r="A1085">
        <v>1083</v>
      </c>
      <c r="B1085" t="s">
        <v>2168</v>
      </c>
      <c r="C1085" s="4" t="s">
        <v>2118</v>
      </c>
      <c r="D1085" s="4">
        <v>700000000</v>
      </c>
      <c r="E1085" t="s">
        <v>1161</v>
      </c>
      <c r="F1085" s="1">
        <v>57071</v>
      </c>
      <c r="G1085">
        <v>5.95</v>
      </c>
      <c r="H1085" t="s">
        <v>1162</v>
      </c>
      <c r="I1085" t="s">
        <v>2697</v>
      </c>
      <c r="L1085" t="s">
        <v>1168</v>
      </c>
      <c r="M1085" t="s">
        <v>10</v>
      </c>
      <c r="N1085" t="s">
        <v>2119</v>
      </c>
      <c r="O1085" t="s">
        <v>2119</v>
      </c>
      <c r="P1085" t="s">
        <v>2695</v>
      </c>
      <c r="Q1085" t="s">
        <v>3240</v>
      </c>
      <c r="R1085" t="s">
        <v>2169</v>
      </c>
      <c r="S1085">
        <v>24110902.1402818</v>
      </c>
      <c r="T1085">
        <v>57</v>
      </c>
      <c r="W1085" t="s">
        <v>2121</v>
      </c>
      <c r="X1085" t="str">
        <f t="shared" si="16"/>
        <v>YK568451@TRAC Corp</v>
      </c>
      <c r="Y1085">
        <f>_xlfn.IFNA(_xll.BDP(X1085,"INTERVAL_SUM", "MARKET_DATA_OVERRIDE=px_volume", "CALC_INTERVAL=5D"), "")</f>
        <v>11320</v>
      </c>
      <c r="Z1085" cm="1">
        <f t="array" ref="Z1085">_xll.BDP(B1085, "CF_ACT_CASH_PAID_FOR_INT_DEBT")</f>
        <v>983</v>
      </c>
      <c r="AA1085" t="str" cm="1">
        <f t="array" ref="AA1085">_xll.BDP(B1085, "TYPE_OF_BOND")</f>
        <v>Hybrid</v>
      </c>
    </row>
    <row r="1086" spans="1:27" x14ac:dyDescent="0.25">
      <c r="A1086">
        <v>1084</v>
      </c>
      <c r="B1086" t="s">
        <v>2170</v>
      </c>
      <c r="C1086" s="4" t="s">
        <v>2118</v>
      </c>
      <c r="D1086" s="4">
        <v>497279000</v>
      </c>
      <c r="E1086" t="s">
        <v>12</v>
      </c>
      <c r="F1086" s="1">
        <v>51119</v>
      </c>
      <c r="G1086">
        <v>4.8639999999999999</v>
      </c>
      <c r="H1086" t="s">
        <v>9</v>
      </c>
      <c r="L1086" t="s">
        <v>1168</v>
      </c>
      <c r="M1086" t="s">
        <v>10</v>
      </c>
      <c r="N1086" t="s">
        <v>2119</v>
      </c>
      <c r="O1086" t="s">
        <v>2119</v>
      </c>
      <c r="P1086" t="s">
        <v>2695</v>
      </c>
      <c r="Q1086" t="s">
        <v>3240</v>
      </c>
      <c r="R1086" t="s">
        <v>2171</v>
      </c>
      <c r="S1086">
        <v>13286448.260447601</v>
      </c>
      <c r="T1086">
        <v>37</v>
      </c>
      <c r="U1086" t="s">
        <v>2172</v>
      </c>
      <c r="W1086" t="s">
        <v>2121</v>
      </c>
      <c r="X1086" t="str">
        <f t="shared" si="16"/>
        <v>YH350625@TRAC Corp</v>
      </c>
      <c r="Y1086" t="str">
        <f>_xlfn.IFNA(_xll.BDP(X1086,"INTERVAL_SUM", "MARKET_DATA_OVERRIDE=px_volume", "CALC_INTERVAL=5D"), "")</f>
        <v>#N/A N/A</v>
      </c>
      <c r="Z1086" cm="1">
        <f t="array" ref="Z1086">_xll.BDP(B1086, "CF_ACT_CASH_PAID_FOR_INT_DEBT")</f>
        <v>392</v>
      </c>
      <c r="AA1086" t="str" cm="1">
        <f t="array" ref="AA1086">_xll.BDP(B1086, "TYPE_OF_BOND")</f>
        <v>Recovery Bond</v>
      </c>
    </row>
    <row r="1087" spans="1:27" x14ac:dyDescent="0.25">
      <c r="A1087">
        <v>1085</v>
      </c>
      <c r="B1087" t="s">
        <v>2173</v>
      </c>
      <c r="C1087" s="4" t="s">
        <v>2118</v>
      </c>
      <c r="D1087" s="4">
        <v>397825000</v>
      </c>
      <c r="E1087" t="s">
        <v>12</v>
      </c>
      <c r="F1087" s="1">
        <v>49475</v>
      </c>
      <c r="G1087">
        <v>4.4800000000000004</v>
      </c>
      <c r="H1087" t="s">
        <v>9</v>
      </c>
      <c r="L1087" t="s">
        <v>1168</v>
      </c>
      <c r="M1087" t="s">
        <v>10</v>
      </c>
      <c r="N1087" t="s">
        <v>2119</v>
      </c>
      <c r="O1087" t="s">
        <v>2119</v>
      </c>
      <c r="P1087" t="s">
        <v>2695</v>
      </c>
      <c r="Q1087" t="s">
        <v>3240</v>
      </c>
      <c r="R1087" t="s">
        <v>2174</v>
      </c>
      <c r="S1087">
        <v>18071760.162847899</v>
      </c>
      <c r="T1087">
        <v>35</v>
      </c>
      <c r="U1087" t="s">
        <v>2175</v>
      </c>
      <c r="W1087" t="s">
        <v>2121</v>
      </c>
      <c r="X1087" t="str">
        <f t="shared" si="16"/>
        <v>YH347970@TRAC Corp</v>
      </c>
      <c r="Y1087" t="str">
        <f>_xlfn.IFNA(_xll.BDP(X1087,"INTERVAL_SUM", "MARKET_DATA_OVERRIDE=px_volume", "CALC_INTERVAL=5D"), "")</f>
        <v>#N/A N/A</v>
      </c>
      <c r="Z1087" cm="1">
        <f t="array" ref="Z1087">_xll.BDP(B1087, "CF_ACT_CASH_PAID_FOR_INT_DEBT")</f>
        <v>392</v>
      </c>
      <c r="AA1087" t="str" cm="1">
        <f t="array" ref="AA1087">_xll.BDP(B1087, "TYPE_OF_BOND")</f>
        <v>Recovery Bond</v>
      </c>
    </row>
    <row r="1088" spans="1:27" x14ac:dyDescent="0.25">
      <c r="A1088">
        <v>1086</v>
      </c>
      <c r="B1088" t="s">
        <v>2176</v>
      </c>
      <c r="C1088" s="4" t="s">
        <v>2118</v>
      </c>
      <c r="D1088" s="4">
        <v>298370000</v>
      </c>
      <c r="E1088" t="s">
        <v>12</v>
      </c>
      <c r="F1088" s="1">
        <v>47832</v>
      </c>
      <c r="G1088">
        <v>3.899</v>
      </c>
      <c r="H1088" t="s">
        <v>9</v>
      </c>
      <c r="L1088" t="s">
        <v>1168</v>
      </c>
      <c r="M1088" t="s">
        <v>10</v>
      </c>
      <c r="N1088" t="s">
        <v>2119</v>
      </c>
      <c r="O1088" t="s">
        <v>2119</v>
      </c>
      <c r="P1088" t="s">
        <v>2695</v>
      </c>
      <c r="Q1088" t="s">
        <v>3240</v>
      </c>
      <c r="R1088" t="s">
        <v>2177</v>
      </c>
      <c r="S1088">
        <v>10829727.002459301</v>
      </c>
      <c r="T1088">
        <v>49</v>
      </c>
      <c r="U1088" t="s">
        <v>2178</v>
      </c>
      <c r="W1088" t="s">
        <v>2121</v>
      </c>
      <c r="X1088" t="str">
        <f t="shared" si="16"/>
        <v>YH343837@TRAC Corp</v>
      </c>
      <c r="Y1088" t="str">
        <f>_xlfn.IFNA(_xll.BDP(X1088,"INTERVAL_SUM", "MARKET_DATA_OVERRIDE=px_volume", "CALC_INTERVAL=5D"), "")</f>
        <v>#N/A N/A</v>
      </c>
      <c r="Z1088" cm="1">
        <f t="array" ref="Z1088">_xll.BDP(B1088, "CF_ACT_CASH_PAID_FOR_INT_DEBT")</f>
        <v>392</v>
      </c>
      <c r="AA1088" t="str" cm="1">
        <f t="array" ref="AA1088">_xll.BDP(B1088, "TYPE_OF_BOND")</f>
        <v>Recovery Bond</v>
      </c>
    </row>
    <row r="1089" spans="1:27" x14ac:dyDescent="0.25">
      <c r="A1089">
        <v>1087</v>
      </c>
      <c r="B1089" t="s">
        <v>2179</v>
      </c>
      <c r="C1089" s="4" t="s">
        <v>2118</v>
      </c>
      <c r="D1089" s="4">
        <v>300000000</v>
      </c>
      <c r="E1089" t="s">
        <v>12</v>
      </c>
      <c r="F1089" s="1">
        <v>46266</v>
      </c>
      <c r="G1089">
        <v>2.4</v>
      </c>
      <c r="H1089" t="s">
        <v>9</v>
      </c>
      <c r="L1089" t="s">
        <v>1168</v>
      </c>
      <c r="M1089" t="s">
        <v>10</v>
      </c>
      <c r="N1089" t="s">
        <v>2119</v>
      </c>
      <c r="O1089" t="s">
        <v>2119</v>
      </c>
      <c r="P1089" t="s">
        <v>2695</v>
      </c>
      <c r="Q1089" t="s">
        <v>3240</v>
      </c>
      <c r="R1089" t="s">
        <v>2180</v>
      </c>
      <c r="S1089">
        <v>13752911.311960001</v>
      </c>
      <c r="T1089">
        <v>82</v>
      </c>
      <c r="U1089" t="s">
        <v>2181</v>
      </c>
      <c r="W1089" t="s">
        <v>2121</v>
      </c>
      <c r="X1089" t="str">
        <f t="shared" si="16"/>
        <v>QZ184830@TRAC Corp</v>
      </c>
      <c r="Y1089" t="str">
        <f>_xlfn.IFNA(_xll.BDP(X1089,"INTERVAL_SUM", "MARKET_DATA_OVERRIDE=px_volume", "CALC_INTERVAL=5D"), "")</f>
        <v>#N/A N/A</v>
      </c>
      <c r="Z1089" cm="1">
        <f t="array" ref="Z1089">_xll.BDP(B1089, "CF_ACT_CASH_PAID_FOR_INT_DEBT")</f>
        <v>392</v>
      </c>
      <c r="AA1089" t="str" cm="1">
        <f t="array" ref="AA1089">_xll.BDP(B1089, "TYPE_OF_BOND")</f>
        <v>#N/A Field Not Applicable</v>
      </c>
    </row>
    <row r="1090" spans="1:27" x14ac:dyDescent="0.25">
      <c r="A1090">
        <v>1088</v>
      </c>
      <c r="B1090" t="s">
        <v>2182</v>
      </c>
      <c r="C1090" s="4" t="s">
        <v>2118</v>
      </c>
      <c r="D1090" s="4">
        <v>20000000</v>
      </c>
      <c r="E1090" t="s">
        <v>17</v>
      </c>
      <c r="F1090" s="1">
        <v>46731</v>
      </c>
      <c r="G1090">
        <v>6.34</v>
      </c>
      <c r="H1090" t="s">
        <v>9</v>
      </c>
      <c r="L1090" t="s">
        <v>1168</v>
      </c>
      <c r="M1090" t="s">
        <v>10</v>
      </c>
      <c r="N1090" t="s">
        <v>2119</v>
      </c>
      <c r="O1090" t="s">
        <v>2119</v>
      </c>
      <c r="P1090" t="s">
        <v>2696</v>
      </c>
      <c r="Q1090" t="s">
        <v>3241</v>
      </c>
      <c r="R1090" t="s">
        <v>2183</v>
      </c>
      <c r="S1090">
        <v>1018476.37875019</v>
      </c>
      <c r="T1090">
        <v>19</v>
      </c>
      <c r="U1090" t="s">
        <v>2184</v>
      </c>
      <c r="W1090" t="s">
        <v>2121</v>
      </c>
      <c r="X1090" t="str">
        <f t="shared" si="16"/>
        <v>MM133326@TRAC Corp</v>
      </c>
      <c r="Y1090" t="str">
        <f>_xlfn.IFNA(_xll.BDP(X1090,"INTERVAL_SUM", "MARKET_DATA_OVERRIDE=px_volume", "CALC_INTERVAL=5D"), "")</f>
        <v>#N/A N/A</v>
      </c>
      <c r="Z1090" t="str" cm="1">
        <f t="array" ref="Z1090">_xll.BDP(B1090, "CF_ACT_CASH_PAID_FOR_INT_DEBT")</f>
        <v>#N/A N/A</v>
      </c>
      <c r="AA1090" t="str" cm="1">
        <f t="array" ref="AA1090">_xll.BDP(B1090, "TYPE_OF_BOND")</f>
        <v>#N/A Field Not Applicable</v>
      </c>
    </row>
    <row r="1091" spans="1:27" x14ac:dyDescent="0.25">
      <c r="A1091">
        <v>1089</v>
      </c>
      <c r="B1091" t="s">
        <v>2185</v>
      </c>
      <c r="C1091" s="4" t="s">
        <v>2118</v>
      </c>
      <c r="D1091" s="4">
        <v>1000000</v>
      </c>
      <c r="E1091" t="s">
        <v>17</v>
      </c>
      <c r="F1091" s="1">
        <v>46575</v>
      </c>
      <c r="G1091">
        <v>6.68</v>
      </c>
      <c r="H1091" t="s">
        <v>9</v>
      </c>
      <c r="L1091" t="s">
        <v>1168</v>
      </c>
      <c r="M1091" t="s">
        <v>10</v>
      </c>
      <c r="N1091" t="s">
        <v>2119</v>
      </c>
      <c r="O1091" t="s">
        <v>2119</v>
      </c>
      <c r="P1091" t="s">
        <v>2696</v>
      </c>
      <c r="Q1091" t="s">
        <v>3241</v>
      </c>
      <c r="R1091" t="s">
        <v>2186</v>
      </c>
      <c r="S1091">
        <v>-9997</v>
      </c>
      <c r="U1091" t="s">
        <v>1183</v>
      </c>
      <c r="W1091" t="s">
        <v>2121</v>
      </c>
      <c r="X1091" t="str">
        <f t="shared" ref="X1091:X1154" si="17">SUBSTITUTE(B1091," Corp","@TRAC Corp")</f>
        <v>MM128886@TRAC Corp</v>
      </c>
      <c r="Y1091" t="str">
        <f>_xlfn.IFNA(_xll.BDP(X1091,"INTERVAL_SUM", "MARKET_DATA_OVERRIDE=px_volume", "CALC_INTERVAL=5D"), "")</f>
        <v>#N/A N/A</v>
      </c>
      <c r="Z1091" t="str" cm="1">
        <f t="array" ref="Z1091">_xll.BDP(B1091, "CF_ACT_CASH_PAID_FOR_INT_DEBT")</f>
        <v>#N/A N/A</v>
      </c>
      <c r="AA1091" t="str" cm="1">
        <f t="array" ref="AA1091">_xll.BDP(B1091, "TYPE_OF_BOND")</f>
        <v>#N/A Field Not Applicable</v>
      </c>
    </row>
    <row r="1092" spans="1:27" x14ac:dyDescent="0.25">
      <c r="A1092">
        <v>1090</v>
      </c>
      <c r="B1092" t="s">
        <v>2187</v>
      </c>
      <c r="C1092" s="4" t="s">
        <v>2118</v>
      </c>
      <c r="D1092" s="4">
        <v>5000000</v>
      </c>
      <c r="E1092" t="s">
        <v>17</v>
      </c>
      <c r="F1092" s="1">
        <v>46575</v>
      </c>
      <c r="G1092">
        <v>6.42</v>
      </c>
      <c r="H1092" t="s">
        <v>9</v>
      </c>
      <c r="L1092" t="s">
        <v>1168</v>
      </c>
      <c r="M1092" t="s">
        <v>10</v>
      </c>
      <c r="N1092" t="s">
        <v>2119</v>
      </c>
      <c r="O1092" t="s">
        <v>2119</v>
      </c>
      <c r="P1092" t="s">
        <v>2696</v>
      </c>
      <c r="Q1092" t="s">
        <v>3241</v>
      </c>
      <c r="R1092" t="s">
        <v>2188</v>
      </c>
      <c r="S1092">
        <v>-9997</v>
      </c>
      <c r="U1092" t="s">
        <v>1183</v>
      </c>
      <c r="W1092" t="s">
        <v>2121</v>
      </c>
      <c r="X1092" t="str">
        <f t="shared" si="17"/>
        <v>MM128849@TRAC Corp</v>
      </c>
      <c r="Y1092" t="str">
        <f>_xlfn.IFNA(_xll.BDP(X1092,"INTERVAL_SUM", "MARKET_DATA_OVERRIDE=px_volume", "CALC_INTERVAL=5D"), "")</f>
        <v>#N/A N/A</v>
      </c>
      <c r="Z1092" t="str" cm="1">
        <f t="array" ref="Z1092">_xll.BDP(B1092, "CF_ACT_CASH_PAID_FOR_INT_DEBT")</f>
        <v>#N/A N/A</v>
      </c>
      <c r="AA1092" t="str" cm="1">
        <f t="array" ref="AA1092">_xll.BDP(B1092, "TYPE_OF_BOND")</f>
        <v>#N/A Field Not Applicable</v>
      </c>
    </row>
    <row r="1093" spans="1:27" x14ac:dyDescent="0.25">
      <c r="A1093">
        <v>1091</v>
      </c>
      <c r="B1093" t="s">
        <v>2189</v>
      </c>
      <c r="C1093" s="4" t="s">
        <v>2118</v>
      </c>
      <c r="D1093" s="4">
        <v>594345000</v>
      </c>
      <c r="E1093" t="s">
        <v>12</v>
      </c>
      <c r="F1093" s="1">
        <v>52688</v>
      </c>
      <c r="G1093">
        <v>4.5</v>
      </c>
      <c r="H1093" t="s">
        <v>9</v>
      </c>
      <c r="L1093" t="s">
        <v>1168</v>
      </c>
      <c r="M1093" t="s">
        <v>10</v>
      </c>
      <c r="N1093" t="s">
        <v>2119</v>
      </c>
      <c r="O1093" t="s">
        <v>2119</v>
      </c>
      <c r="P1093" t="s">
        <v>2695</v>
      </c>
      <c r="Q1093" t="s">
        <v>3240</v>
      </c>
      <c r="R1093" t="s">
        <v>2190</v>
      </c>
      <c r="S1093">
        <v>13437035.9568296</v>
      </c>
      <c r="T1093">
        <v>30</v>
      </c>
      <c r="W1093" t="s">
        <v>2121</v>
      </c>
      <c r="X1093" t="str">
        <f t="shared" si="17"/>
        <v>EK124749@TRAC Corp</v>
      </c>
      <c r="Y1093">
        <f>_xlfn.IFNA(_xll.BDP(X1093,"INTERVAL_SUM", "MARKET_DATA_OVERRIDE=px_volume", "CALC_INTERVAL=5D"), "")</f>
        <v>1054</v>
      </c>
      <c r="Z1093" cm="1">
        <f t="array" ref="Z1093">_xll.BDP(B1093, "CF_ACT_CASH_PAID_FOR_INT_DEBT")</f>
        <v>392</v>
      </c>
      <c r="AA1093" t="str" cm="1">
        <f t="array" ref="AA1093">_xll.BDP(B1093, "TYPE_OF_BOND")</f>
        <v>#N/A Field Not Applicable</v>
      </c>
    </row>
    <row r="1094" spans="1:27" x14ac:dyDescent="0.25">
      <c r="A1094">
        <v>1092</v>
      </c>
      <c r="B1094" t="s">
        <v>2191</v>
      </c>
      <c r="C1094" s="4" t="s">
        <v>2118</v>
      </c>
      <c r="D1094" s="4">
        <v>500000000</v>
      </c>
      <c r="E1094" t="s">
        <v>12</v>
      </c>
      <c r="F1094" s="1">
        <v>52079</v>
      </c>
      <c r="G1094">
        <v>3.55</v>
      </c>
      <c r="H1094" t="s">
        <v>9</v>
      </c>
      <c r="L1094" t="s">
        <v>1168</v>
      </c>
      <c r="M1094" t="s">
        <v>10</v>
      </c>
      <c r="N1094" t="s">
        <v>2119</v>
      </c>
      <c r="O1094" t="s">
        <v>2119</v>
      </c>
      <c r="P1094" t="s">
        <v>2695</v>
      </c>
      <c r="Q1094" t="s">
        <v>3240</v>
      </c>
      <c r="R1094" t="s">
        <v>2192</v>
      </c>
      <c r="S1094">
        <v>12681312.4165447</v>
      </c>
      <c r="T1094">
        <v>30</v>
      </c>
      <c r="W1094" t="s">
        <v>2121</v>
      </c>
      <c r="X1094" t="str">
        <f t="shared" si="17"/>
        <v>EJ315262@TRAC Corp</v>
      </c>
      <c r="Y1094" t="str">
        <f>_xlfn.IFNA(_xll.BDP(X1094,"INTERVAL_SUM", "MARKET_DATA_OVERRIDE=px_volume", "CALC_INTERVAL=5D"), "")</f>
        <v>#N/A N/A</v>
      </c>
      <c r="Z1094" cm="1">
        <f t="array" ref="Z1094">_xll.BDP(B1094, "CF_ACT_CASH_PAID_FOR_INT_DEBT")</f>
        <v>392</v>
      </c>
      <c r="AA1094" t="str" cm="1">
        <f t="array" ref="AA1094">_xll.BDP(B1094, "TYPE_OF_BOND")</f>
        <v>#N/A Field Not Applicable</v>
      </c>
    </row>
    <row r="1095" spans="1:27" x14ac:dyDescent="0.25">
      <c r="A1095">
        <v>1093</v>
      </c>
      <c r="B1095" t="s">
        <v>2193</v>
      </c>
      <c r="C1095" s="4" t="s">
        <v>2118</v>
      </c>
      <c r="D1095" s="4">
        <v>300000000</v>
      </c>
      <c r="E1095" t="s">
        <v>17</v>
      </c>
      <c r="F1095" s="1">
        <v>51516</v>
      </c>
      <c r="G1095">
        <v>5.85</v>
      </c>
      <c r="H1095" t="s">
        <v>9</v>
      </c>
      <c r="L1095" t="s">
        <v>1168</v>
      </c>
      <c r="M1095" t="s">
        <v>10</v>
      </c>
      <c r="N1095" t="s">
        <v>2119</v>
      </c>
      <c r="O1095" t="s">
        <v>2119</v>
      </c>
      <c r="P1095" t="s">
        <v>2696</v>
      </c>
      <c r="Q1095" t="s">
        <v>3241</v>
      </c>
      <c r="R1095" t="s">
        <v>2194</v>
      </c>
      <c r="S1095">
        <v>3718700.7645351798</v>
      </c>
      <c r="T1095">
        <v>27</v>
      </c>
      <c r="W1095" t="s">
        <v>2121</v>
      </c>
      <c r="X1095" t="str">
        <f t="shared" si="17"/>
        <v>EI788017@TRAC Corp</v>
      </c>
      <c r="Y1095">
        <f>_xlfn.IFNA(_xll.BDP(X1095,"INTERVAL_SUM", "MARKET_DATA_OVERRIDE=px_volume", "CALC_INTERVAL=5D"), "")</f>
        <v>468</v>
      </c>
      <c r="Z1095" t="str" cm="1">
        <f t="array" ref="Z1095">_xll.BDP(B1095, "CF_ACT_CASH_PAID_FOR_INT_DEBT")</f>
        <v>#N/A N/A</v>
      </c>
      <c r="AA1095" t="str" cm="1">
        <f t="array" ref="AA1095">_xll.BDP(B1095, "TYPE_OF_BOND")</f>
        <v>#N/A Field Not Applicable</v>
      </c>
    </row>
    <row r="1096" spans="1:27" x14ac:dyDescent="0.25">
      <c r="A1096">
        <v>1094</v>
      </c>
      <c r="B1096" t="s">
        <v>2195</v>
      </c>
      <c r="C1096" s="4" t="s">
        <v>2118</v>
      </c>
      <c r="D1096" s="4">
        <v>250000000</v>
      </c>
      <c r="E1096" t="s">
        <v>17</v>
      </c>
      <c r="F1096" s="1">
        <v>50345</v>
      </c>
      <c r="G1096">
        <v>6.625</v>
      </c>
      <c r="H1096" t="s">
        <v>9</v>
      </c>
      <c r="L1096" t="s">
        <v>1168</v>
      </c>
      <c r="M1096" t="s">
        <v>10</v>
      </c>
      <c r="N1096" t="s">
        <v>2119</v>
      </c>
      <c r="O1096" t="s">
        <v>2119</v>
      </c>
      <c r="P1096" t="s">
        <v>2696</v>
      </c>
      <c r="Q1096" t="s">
        <v>3241</v>
      </c>
      <c r="R1096" t="s">
        <v>2196</v>
      </c>
      <c r="S1096">
        <v>3979900.2729309299</v>
      </c>
      <c r="T1096">
        <v>24</v>
      </c>
      <c r="W1096" t="s">
        <v>2121</v>
      </c>
      <c r="X1096" t="str">
        <f t="shared" si="17"/>
        <v>EG949780@TRAC Corp</v>
      </c>
      <c r="Y1096">
        <f>_xlfn.IFNA(_xll.BDP(X1096,"INTERVAL_SUM", "MARKET_DATA_OVERRIDE=px_volume", "CALC_INTERVAL=5D"), "")</f>
        <v>4148</v>
      </c>
      <c r="Z1096" t="str" cm="1">
        <f t="array" ref="Z1096">_xll.BDP(B1096, "CF_ACT_CASH_PAID_FOR_INT_DEBT")</f>
        <v>#N/A N/A</v>
      </c>
      <c r="AA1096" t="str" cm="1">
        <f t="array" ref="AA1096">_xll.BDP(B1096, "TYPE_OF_BOND")</f>
        <v>#N/A Field Not Applicable</v>
      </c>
    </row>
    <row r="1097" spans="1:27" x14ac:dyDescent="0.25">
      <c r="A1097">
        <v>1095</v>
      </c>
      <c r="B1097" t="s">
        <v>2197</v>
      </c>
      <c r="C1097" s="4" t="s">
        <v>2118</v>
      </c>
      <c r="D1097" s="4">
        <v>150000000</v>
      </c>
      <c r="E1097" t="s">
        <v>17</v>
      </c>
      <c r="F1097" s="1">
        <v>50072</v>
      </c>
      <c r="G1097">
        <v>6.25</v>
      </c>
      <c r="H1097" t="s">
        <v>9</v>
      </c>
      <c r="L1097" t="s">
        <v>1168</v>
      </c>
      <c r="M1097" t="s">
        <v>10</v>
      </c>
      <c r="N1097" t="s">
        <v>2119</v>
      </c>
      <c r="O1097" t="s">
        <v>2119</v>
      </c>
      <c r="P1097" t="s">
        <v>2696</v>
      </c>
      <c r="Q1097" t="s">
        <v>3241</v>
      </c>
      <c r="R1097" t="s">
        <v>2198</v>
      </c>
      <c r="S1097">
        <v>7130417.19735019</v>
      </c>
      <c r="T1097">
        <v>20</v>
      </c>
      <c r="W1097" t="s">
        <v>2121</v>
      </c>
      <c r="X1097" t="str">
        <f t="shared" si="17"/>
        <v>EG157251@TRAC Corp</v>
      </c>
      <c r="Y1097">
        <f>_xlfn.IFNA(_xll.BDP(X1097,"INTERVAL_SUM", "MARKET_DATA_OVERRIDE=px_volume", "CALC_INTERVAL=5D"), "")</f>
        <v>3</v>
      </c>
      <c r="Z1097" t="str" cm="1">
        <f t="array" ref="Z1097">_xll.BDP(B1097, "CF_ACT_CASH_PAID_FOR_INT_DEBT")</f>
        <v>#N/A N/A</v>
      </c>
      <c r="AA1097" t="str" cm="1">
        <f t="array" ref="AA1097">_xll.BDP(B1097, "TYPE_OF_BOND")</f>
        <v>#N/A Field Not Applicable</v>
      </c>
    </row>
    <row r="1098" spans="1:27" x14ac:dyDescent="0.25">
      <c r="A1098">
        <v>1096</v>
      </c>
      <c r="B1098" t="s">
        <v>2199</v>
      </c>
      <c r="C1098" s="4" t="s">
        <v>2118</v>
      </c>
      <c r="D1098" s="4">
        <v>312275000</v>
      </c>
      <c r="E1098" t="s">
        <v>12</v>
      </c>
      <c r="F1098" s="1">
        <v>48653</v>
      </c>
      <c r="G1098">
        <v>6.95</v>
      </c>
      <c r="H1098" t="s">
        <v>9</v>
      </c>
      <c r="L1098" t="s">
        <v>1168</v>
      </c>
      <c r="M1098" t="s">
        <v>10</v>
      </c>
      <c r="N1098" t="s">
        <v>2119</v>
      </c>
      <c r="O1098" t="s">
        <v>2119</v>
      </c>
      <c r="P1098" t="s">
        <v>2695</v>
      </c>
      <c r="Q1098" t="s">
        <v>3240</v>
      </c>
      <c r="R1098" t="s">
        <v>2200</v>
      </c>
      <c r="S1098">
        <v>6393251.5917939404</v>
      </c>
      <c r="T1098">
        <v>33</v>
      </c>
      <c r="U1098" t="s">
        <v>2201</v>
      </c>
      <c r="W1098" t="s">
        <v>2121</v>
      </c>
      <c r="X1098" t="str">
        <f t="shared" si="17"/>
        <v>ED285036@TRAC Corp</v>
      </c>
      <c r="Y1098">
        <f>_xlfn.IFNA(_xll.BDP(X1098,"INTERVAL_SUM", "MARKET_DATA_OVERRIDE=px_volume", "CALC_INTERVAL=5D"), "")</f>
        <v>3479</v>
      </c>
      <c r="Z1098" cm="1">
        <f t="array" ref="Z1098">_xll.BDP(B1098, "CF_ACT_CASH_PAID_FOR_INT_DEBT")</f>
        <v>392</v>
      </c>
      <c r="AA1098" t="str" cm="1">
        <f t="array" ref="AA1098">_xll.BDP(B1098, "TYPE_OF_BOND")</f>
        <v>#N/A Field Not Applicable</v>
      </c>
    </row>
    <row r="1099" spans="1:27" x14ac:dyDescent="0.25">
      <c r="A1099">
        <v>1097</v>
      </c>
      <c r="B1099" t="s">
        <v>2202</v>
      </c>
      <c r="C1099" s="4" t="s">
        <v>2118</v>
      </c>
      <c r="D1099" s="4">
        <v>30000000</v>
      </c>
      <c r="E1099" t="s">
        <v>17</v>
      </c>
      <c r="F1099" s="1">
        <v>47396</v>
      </c>
      <c r="G1099">
        <v>7.08</v>
      </c>
      <c r="H1099" t="s">
        <v>9</v>
      </c>
      <c r="L1099" t="s">
        <v>1168</v>
      </c>
      <c r="M1099" t="s">
        <v>10</v>
      </c>
      <c r="N1099" t="s">
        <v>2119</v>
      </c>
      <c r="O1099" t="s">
        <v>2119</v>
      </c>
      <c r="P1099" t="s">
        <v>2696</v>
      </c>
      <c r="Q1099" t="s">
        <v>3241</v>
      </c>
      <c r="R1099" t="s">
        <v>2203</v>
      </c>
      <c r="S1099">
        <v>1522645.43210923</v>
      </c>
      <c r="T1099">
        <v>15</v>
      </c>
      <c r="U1099" t="s">
        <v>2204</v>
      </c>
      <c r="W1099" t="s">
        <v>2121</v>
      </c>
      <c r="X1099" t="str">
        <f t="shared" si="17"/>
        <v>EC186472@TRAC Corp</v>
      </c>
      <c r="Y1099" t="str">
        <f>_xlfn.IFNA(_xll.BDP(X1099,"INTERVAL_SUM", "MARKET_DATA_OVERRIDE=px_volume", "CALC_INTERVAL=5D"), "")</f>
        <v>#N/A N/A</v>
      </c>
      <c r="Z1099" t="str" cm="1">
        <f t="array" ref="Z1099">_xll.BDP(B1099, "CF_ACT_CASH_PAID_FOR_INT_DEBT")</f>
        <v>#N/A N/A</v>
      </c>
      <c r="AA1099" t="str" cm="1">
        <f t="array" ref="AA1099">_xll.BDP(B1099, "TYPE_OF_BOND")</f>
        <v>#N/A Field Not Applicable</v>
      </c>
    </row>
    <row r="1100" spans="1:27" x14ac:dyDescent="0.25">
      <c r="A1100">
        <v>1098</v>
      </c>
      <c r="B1100" t="s">
        <v>2205</v>
      </c>
      <c r="C1100" s="4" t="s">
        <v>2118</v>
      </c>
      <c r="D1100" s="4">
        <v>827745722.79999995</v>
      </c>
      <c r="E1100" t="s">
        <v>8</v>
      </c>
      <c r="F1100" s="1">
        <v>47376</v>
      </c>
      <c r="G1100">
        <v>3.3691599999999999</v>
      </c>
      <c r="H1100" t="s">
        <v>488</v>
      </c>
      <c r="L1100" t="s">
        <v>1168</v>
      </c>
      <c r="M1100" t="s">
        <v>10</v>
      </c>
      <c r="N1100" t="s">
        <v>2119</v>
      </c>
      <c r="O1100" t="s">
        <v>2119</v>
      </c>
      <c r="P1100" t="s">
        <v>2695</v>
      </c>
      <c r="Q1100" t="s">
        <v>3240</v>
      </c>
      <c r="R1100" t="s">
        <v>2206</v>
      </c>
      <c r="S1100">
        <v>4317592.9687464396</v>
      </c>
      <c r="T1100">
        <v>6</v>
      </c>
      <c r="W1100" t="s">
        <v>2121</v>
      </c>
      <c r="X1100" t="str">
        <f t="shared" si="17"/>
        <v>EC181642@TRAC Corp</v>
      </c>
      <c r="Y1100">
        <f>_xlfn.IFNA(_xll.BDP(X1100,"INTERVAL_SUM", "MARKET_DATA_OVERRIDE=px_volume", "CALC_INTERVAL=5D"), "")</f>
        <v>175</v>
      </c>
      <c r="Z1100" cm="1">
        <f t="array" ref="Z1100">_xll.BDP(B1100, "CF_ACT_CASH_PAID_FOR_INT_DEBT")</f>
        <v>983</v>
      </c>
      <c r="AA1100" t="str" cm="1">
        <f t="array" ref="AA1100">_xll.BDP(B1100, "TYPE_OF_BOND")</f>
        <v>Convertible</v>
      </c>
    </row>
    <row r="1101" spans="1:27" x14ac:dyDescent="0.25">
      <c r="A1101">
        <v>1099</v>
      </c>
      <c r="B1101" t="s">
        <v>2207</v>
      </c>
      <c r="C1101" s="4" t="s">
        <v>2118</v>
      </c>
      <c r="D1101" s="4">
        <v>20000000</v>
      </c>
      <c r="E1101" t="s">
        <v>17</v>
      </c>
      <c r="F1101" s="1">
        <v>46934</v>
      </c>
      <c r="G1101">
        <v>6.55</v>
      </c>
      <c r="H1101" t="s">
        <v>9</v>
      </c>
      <c r="L1101" t="s">
        <v>1168</v>
      </c>
      <c r="M1101" t="s">
        <v>10</v>
      </c>
      <c r="N1101" t="s">
        <v>2119</v>
      </c>
      <c r="O1101" t="s">
        <v>2119</v>
      </c>
      <c r="P1101" t="s">
        <v>2696</v>
      </c>
      <c r="Q1101" t="s">
        <v>3241</v>
      </c>
      <c r="R1101" t="s">
        <v>2208</v>
      </c>
      <c r="S1101">
        <v>1022795.2642347499</v>
      </c>
      <c r="T1101">
        <v>15</v>
      </c>
      <c r="U1101" t="s">
        <v>2184</v>
      </c>
      <c r="W1101" t="s">
        <v>2121</v>
      </c>
      <c r="X1101" t="str">
        <f t="shared" si="17"/>
        <v>EC002337@TRAC Corp</v>
      </c>
      <c r="Y1101" t="str">
        <f>_xlfn.IFNA(_xll.BDP(X1101,"INTERVAL_SUM", "MARKET_DATA_OVERRIDE=px_volume", "CALC_INTERVAL=5D"), "")</f>
        <v>#N/A N/A</v>
      </c>
      <c r="Z1101" t="str" cm="1">
        <f t="array" ref="Z1101">_xll.BDP(B1101, "CF_ACT_CASH_PAID_FOR_INT_DEBT")</f>
        <v>#N/A N/A</v>
      </c>
      <c r="AA1101" t="str" cm="1">
        <f t="array" ref="AA1101">_xll.BDP(B1101, "TYPE_OF_BOND")</f>
        <v>#N/A Field Not Applicable</v>
      </c>
    </row>
    <row r="1102" spans="1:27" x14ac:dyDescent="0.25">
      <c r="A1102">
        <v>1100</v>
      </c>
      <c r="B1102" t="s">
        <v>2209</v>
      </c>
      <c r="C1102" s="4" t="s">
        <v>2118</v>
      </c>
      <c r="D1102" s="4">
        <v>800000000</v>
      </c>
      <c r="E1102" t="s">
        <v>12</v>
      </c>
      <c r="F1102" s="1">
        <v>49766</v>
      </c>
      <c r="G1102">
        <v>4.8499999999999996</v>
      </c>
      <c r="H1102" t="s">
        <v>9</v>
      </c>
      <c r="L1102" t="s">
        <v>1168</v>
      </c>
      <c r="M1102" t="s">
        <v>10</v>
      </c>
      <c r="N1102" t="s">
        <v>2119</v>
      </c>
      <c r="O1102" t="s">
        <v>2119</v>
      </c>
      <c r="P1102" t="s">
        <v>2695</v>
      </c>
      <c r="Q1102" t="s">
        <v>3240</v>
      </c>
      <c r="R1102" t="s">
        <v>2210</v>
      </c>
      <c r="S1102">
        <v>11101625.7536749</v>
      </c>
      <c r="T1102">
        <v>41</v>
      </c>
      <c r="U1102" t="s">
        <v>2211</v>
      </c>
      <c r="W1102" t="s">
        <v>2121</v>
      </c>
      <c r="X1102" t="str">
        <f t="shared" si="17"/>
        <v>DF837025@TRAC Corp</v>
      </c>
      <c r="Y1102">
        <f>_xlfn.IFNA(_xll.BDP(X1102,"INTERVAL_SUM", "MARKET_DATA_OVERRIDE=px_volume", "CALC_INTERVAL=5D"), "")</f>
        <v>14296</v>
      </c>
      <c r="Z1102" cm="1">
        <f t="array" ref="Z1102">_xll.BDP(B1102, "CF_ACT_CASH_PAID_FOR_INT_DEBT")</f>
        <v>392</v>
      </c>
      <c r="AA1102" t="str" cm="1">
        <f t="array" ref="AA1102">_xll.BDP(B1102, "TYPE_OF_BOND")</f>
        <v>#N/A Field Not Applicable</v>
      </c>
    </row>
    <row r="1103" spans="1:27" x14ac:dyDescent="0.25">
      <c r="A1103">
        <v>1101</v>
      </c>
      <c r="B1103" t="s">
        <v>2212</v>
      </c>
      <c r="C1103" s="4" t="s">
        <v>2118</v>
      </c>
      <c r="D1103" s="4">
        <v>650000000</v>
      </c>
      <c r="E1103" t="s">
        <v>17</v>
      </c>
      <c r="F1103" s="1">
        <v>47253</v>
      </c>
      <c r="G1103">
        <v>2.875</v>
      </c>
      <c r="H1103" t="s">
        <v>9</v>
      </c>
      <c r="L1103" t="s">
        <v>1168</v>
      </c>
      <c r="M1103" t="s">
        <v>10</v>
      </c>
      <c r="N1103" t="s">
        <v>2119</v>
      </c>
      <c r="O1103" t="s">
        <v>2119</v>
      </c>
      <c r="P1103" t="s">
        <v>2695</v>
      </c>
      <c r="Q1103" t="s">
        <v>3240</v>
      </c>
      <c r="R1103" t="s">
        <v>2213</v>
      </c>
      <c r="S1103">
        <v>1291047.9741272</v>
      </c>
      <c r="T1103">
        <v>33</v>
      </c>
      <c r="W1103" t="s">
        <v>2121</v>
      </c>
      <c r="X1103" t="str">
        <f t="shared" si="17"/>
        <v>DF834854@TRAC Corp</v>
      </c>
      <c r="Y1103">
        <f>_xlfn.IFNA(_xll.BDP(X1103,"INTERVAL_SUM", "MARKET_DATA_OVERRIDE=px_volume", "CALC_INTERVAL=5D"), "")</f>
        <v>33992</v>
      </c>
      <c r="Z1103" cm="1">
        <f t="array" ref="Z1103">_xll.BDP(B1103, "CF_ACT_CASH_PAID_FOR_INT_DEBT")</f>
        <v>983</v>
      </c>
      <c r="AA1103" t="str" cm="1">
        <f t="array" ref="AA1103">_xll.BDP(B1103, "TYPE_OF_BOND")</f>
        <v>Convertible</v>
      </c>
    </row>
    <row r="1104" spans="1:27" x14ac:dyDescent="0.25">
      <c r="A1104">
        <v>1102</v>
      </c>
      <c r="B1104" t="s">
        <v>2214</v>
      </c>
      <c r="C1104" s="4" t="s">
        <v>2118</v>
      </c>
      <c r="D1104" s="4">
        <v>300000000</v>
      </c>
      <c r="E1104" t="s">
        <v>12</v>
      </c>
      <c r="F1104" s="1">
        <v>55793</v>
      </c>
      <c r="G1104">
        <v>4.8499999999999996</v>
      </c>
      <c r="H1104" t="s">
        <v>9</v>
      </c>
      <c r="L1104" t="s">
        <v>1168</v>
      </c>
      <c r="M1104" t="s">
        <v>10</v>
      </c>
      <c r="N1104" t="s">
        <v>2119</v>
      </c>
      <c r="O1104" t="s">
        <v>2119</v>
      </c>
      <c r="P1104" t="s">
        <v>2695</v>
      </c>
      <c r="Q1104" t="s">
        <v>3240</v>
      </c>
      <c r="R1104" t="s">
        <v>2215</v>
      </c>
      <c r="S1104">
        <v>10888925.4386368</v>
      </c>
      <c r="T1104">
        <v>32</v>
      </c>
      <c r="U1104" t="s">
        <v>2216</v>
      </c>
      <c r="W1104" t="s">
        <v>2121</v>
      </c>
      <c r="X1104" t="str">
        <f t="shared" si="17"/>
        <v>BZ006438@TRAC Corp</v>
      </c>
      <c r="Y1104">
        <f>_xlfn.IFNA(_xll.BDP(X1104,"INTERVAL_SUM", "MARKET_DATA_OVERRIDE=px_volume", "CALC_INTERVAL=5D"), "")</f>
        <v>12832</v>
      </c>
      <c r="Z1104" cm="1">
        <f t="array" ref="Z1104">_xll.BDP(B1104, "CF_ACT_CASH_PAID_FOR_INT_DEBT")</f>
        <v>392</v>
      </c>
      <c r="AA1104" t="str" cm="1">
        <f t="array" ref="AA1104">_xll.BDP(B1104, "TYPE_OF_BOND")</f>
        <v>#N/A Field Not Applicable</v>
      </c>
    </row>
    <row r="1105" spans="1:27" x14ac:dyDescent="0.25">
      <c r="A1105">
        <v>1103</v>
      </c>
      <c r="B1105" t="s">
        <v>2217</v>
      </c>
      <c r="C1105" s="4" t="s">
        <v>2118</v>
      </c>
      <c r="D1105" s="4">
        <v>500000000</v>
      </c>
      <c r="E1105" t="s">
        <v>12</v>
      </c>
      <c r="F1105" s="1">
        <v>48488</v>
      </c>
      <c r="G1105">
        <v>4.45</v>
      </c>
      <c r="H1105" t="s">
        <v>9</v>
      </c>
      <c r="L1105" t="s">
        <v>1168</v>
      </c>
      <c r="M1105" t="s">
        <v>10</v>
      </c>
      <c r="N1105" t="s">
        <v>2119</v>
      </c>
      <c r="O1105" t="s">
        <v>2119</v>
      </c>
      <c r="P1105" t="s">
        <v>2695</v>
      </c>
      <c r="Q1105" t="s">
        <v>3240</v>
      </c>
      <c r="R1105" t="s">
        <v>2218</v>
      </c>
      <c r="S1105">
        <v>11952809.1231861</v>
      </c>
      <c r="T1105">
        <v>38</v>
      </c>
      <c r="U1105" t="s">
        <v>2219</v>
      </c>
      <c r="W1105" t="s">
        <v>2121</v>
      </c>
      <c r="X1105" t="str">
        <f t="shared" si="17"/>
        <v>BZ006433@TRAC Corp</v>
      </c>
      <c r="Y1105">
        <f>_xlfn.IFNA(_xll.BDP(X1105,"INTERVAL_SUM", "MARKET_DATA_OVERRIDE=px_volume", "CALC_INTERVAL=5D"), "")</f>
        <v>565</v>
      </c>
      <c r="Z1105" cm="1">
        <f t="array" ref="Z1105">_xll.BDP(B1105, "CF_ACT_CASH_PAID_FOR_INT_DEBT")</f>
        <v>392</v>
      </c>
      <c r="AA1105" t="str" cm="1">
        <f t="array" ref="AA1105">_xll.BDP(B1105, "TYPE_OF_BOND")</f>
        <v>#N/A Field Not Applicable</v>
      </c>
    </row>
    <row r="1106" spans="1:27" x14ac:dyDescent="0.25">
      <c r="A1106">
        <v>1104</v>
      </c>
      <c r="B1106" t="s">
        <v>2220</v>
      </c>
      <c r="C1106" s="4" t="s">
        <v>2118</v>
      </c>
      <c r="D1106" s="4">
        <v>35000000</v>
      </c>
      <c r="E1106" t="s">
        <v>17</v>
      </c>
      <c r="F1106" s="1">
        <v>51835</v>
      </c>
      <c r="G1106">
        <v>5.99</v>
      </c>
      <c r="H1106" t="s">
        <v>9</v>
      </c>
      <c r="L1106" t="s">
        <v>1168</v>
      </c>
      <c r="M1106" t="s">
        <v>10</v>
      </c>
      <c r="N1106" t="s">
        <v>2119</v>
      </c>
      <c r="O1106" t="s">
        <v>2119</v>
      </c>
      <c r="P1106" t="s">
        <v>2696</v>
      </c>
      <c r="Q1106" t="s">
        <v>3241</v>
      </c>
      <c r="R1106" t="s">
        <v>2221</v>
      </c>
      <c r="S1106">
        <v>2105008.5064608199</v>
      </c>
      <c r="T1106">
        <v>9</v>
      </c>
      <c r="U1106" t="s">
        <v>1180</v>
      </c>
      <c r="W1106" t="s">
        <v>2121</v>
      </c>
      <c r="X1106" t="str">
        <f t="shared" si="17"/>
        <v>BX160646@TRAC Corp</v>
      </c>
      <c r="Y1106" t="str">
        <f>_xlfn.IFNA(_xll.BDP(X1106,"INTERVAL_SUM", "MARKET_DATA_OVERRIDE=px_volume", "CALC_INTERVAL=5D"), "")</f>
        <v>#N/A N/A</v>
      </c>
      <c r="Z1106" t="str" cm="1">
        <f t="array" ref="Z1106">_xll.BDP(B1106, "CF_ACT_CASH_PAID_FOR_INT_DEBT")</f>
        <v>#N/A N/A</v>
      </c>
      <c r="AA1106" t="str" cm="1">
        <f t="array" ref="AA1106">_xll.BDP(B1106, "TYPE_OF_BOND")</f>
        <v>#N/A Field Not Applicable</v>
      </c>
    </row>
    <row r="1107" spans="1:27" x14ac:dyDescent="0.25">
      <c r="A1107">
        <v>1105</v>
      </c>
      <c r="B1107" t="s">
        <v>2222</v>
      </c>
      <c r="C1107" s="4" t="s">
        <v>2118</v>
      </c>
      <c r="D1107" s="4">
        <v>60000000</v>
      </c>
      <c r="E1107" t="s">
        <v>17</v>
      </c>
      <c r="F1107" s="1">
        <v>46356</v>
      </c>
      <c r="G1107">
        <v>5.0199999999999996</v>
      </c>
      <c r="H1107" t="s">
        <v>9</v>
      </c>
      <c r="L1107" t="s">
        <v>1168</v>
      </c>
      <c r="M1107" t="s">
        <v>10</v>
      </c>
      <c r="N1107" t="s">
        <v>2119</v>
      </c>
      <c r="O1107" t="s">
        <v>2119</v>
      </c>
      <c r="P1107" t="s">
        <v>2696</v>
      </c>
      <c r="Q1107" t="s">
        <v>3241</v>
      </c>
      <c r="R1107" t="s">
        <v>2223</v>
      </c>
      <c r="S1107">
        <v>2249556.0572388498</v>
      </c>
      <c r="T1107">
        <v>69</v>
      </c>
      <c r="U1107" t="s">
        <v>1181</v>
      </c>
      <c r="W1107" t="s">
        <v>2121</v>
      </c>
      <c r="X1107" t="str">
        <f t="shared" si="17"/>
        <v>BX160577@TRAC Corp</v>
      </c>
      <c r="Y1107" t="str">
        <f>_xlfn.IFNA(_xll.BDP(X1107,"INTERVAL_SUM", "MARKET_DATA_OVERRIDE=px_volume", "CALC_INTERVAL=5D"), "")</f>
        <v>#N/A N/A</v>
      </c>
      <c r="Z1107" t="str" cm="1">
        <f t="array" ref="Z1107">_xll.BDP(B1107, "CF_ACT_CASH_PAID_FOR_INT_DEBT")</f>
        <v>#N/A N/A</v>
      </c>
      <c r="AA1107" t="str" cm="1">
        <f t="array" ref="AA1107">_xll.BDP(B1107, "TYPE_OF_BOND")</f>
        <v>#N/A Field Not Applicable</v>
      </c>
    </row>
    <row r="1108" spans="1:27" x14ac:dyDescent="0.25">
      <c r="A1108">
        <v>1106</v>
      </c>
      <c r="B1108" t="s">
        <v>2224</v>
      </c>
      <c r="C1108" s="4" t="s">
        <v>2118</v>
      </c>
      <c r="D1108" s="4">
        <v>100000000</v>
      </c>
      <c r="E1108" t="s">
        <v>17</v>
      </c>
      <c r="F1108" s="1">
        <v>51900</v>
      </c>
      <c r="G1108">
        <v>5</v>
      </c>
      <c r="H1108" t="s">
        <v>9</v>
      </c>
      <c r="L1108" t="s">
        <v>1168</v>
      </c>
      <c r="M1108" t="s">
        <v>10</v>
      </c>
      <c r="N1108" t="s">
        <v>2119</v>
      </c>
      <c r="O1108" t="s">
        <v>2119</v>
      </c>
      <c r="P1108" t="s">
        <v>2696</v>
      </c>
      <c r="Q1108" t="s">
        <v>3241</v>
      </c>
      <c r="R1108" t="s">
        <v>2225</v>
      </c>
      <c r="S1108">
        <v>5387192.3895843104</v>
      </c>
      <c r="T1108">
        <v>21</v>
      </c>
      <c r="W1108" t="s">
        <v>2121</v>
      </c>
      <c r="X1108" t="str">
        <f t="shared" si="17"/>
        <v>BX160464@TRAC Corp</v>
      </c>
      <c r="Y1108" t="str">
        <f>_xlfn.IFNA(_xll.BDP(X1108,"INTERVAL_SUM", "MARKET_DATA_OVERRIDE=px_volume", "CALC_INTERVAL=5D"), "")</f>
        <v>#N/A N/A</v>
      </c>
      <c r="Z1108" t="str" cm="1">
        <f t="array" ref="Z1108">_xll.BDP(B1108, "CF_ACT_CASH_PAID_FOR_INT_DEBT")</f>
        <v>#N/A N/A</v>
      </c>
      <c r="AA1108" t="str" cm="1">
        <f t="array" ref="AA1108">_xll.BDP(B1108, "TYPE_OF_BOND")</f>
        <v>#N/A Field Not Applicable</v>
      </c>
    </row>
    <row r="1109" spans="1:27" x14ac:dyDescent="0.25">
      <c r="A1109">
        <v>1107</v>
      </c>
      <c r="B1109" t="s">
        <v>2226</v>
      </c>
      <c r="C1109" s="4" t="s">
        <v>2118</v>
      </c>
      <c r="D1109" s="4">
        <v>10000000</v>
      </c>
      <c r="E1109" t="s">
        <v>17</v>
      </c>
      <c r="F1109" s="1">
        <v>52387</v>
      </c>
      <c r="G1109">
        <v>4.25</v>
      </c>
      <c r="H1109" t="s">
        <v>9</v>
      </c>
      <c r="L1109" t="s">
        <v>1168</v>
      </c>
      <c r="M1109" t="s">
        <v>10</v>
      </c>
      <c r="N1109" t="s">
        <v>2119</v>
      </c>
      <c r="O1109" t="s">
        <v>2119</v>
      </c>
      <c r="P1109" t="s">
        <v>2696</v>
      </c>
      <c r="Q1109" t="s">
        <v>3241</v>
      </c>
      <c r="R1109" t="s">
        <v>2227</v>
      </c>
      <c r="S1109">
        <v>-9997</v>
      </c>
      <c r="U1109" t="s">
        <v>1181</v>
      </c>
      <c r="W1109" t="s">
        <v>2121</v>
      </c>
      <c r="X1109" t="str">
        <f t="shared" si="17"/>
        <v>BX160333@TRAC Corp</v>
      </c>
      <c r="Y1109" t="str">
        <f>_xlfn.IFNA(_xll.BDP(X1109,"INTERVAL_SUM", "MARKET_DATA_OVERRIDE=px_volume", "CALC_INTERVAL=5D"), "")</f>
        <v>#N/A N/A</v>
      </c>
      <c r="Z1109" t="str" cm="1">
        <f t="array" ref="Z1109">_xll.BDP(B1109, "CF_ACT_CASH_PAID_FOR_INT_DEBT")</f>
        <v>#N/A N/A</v>
      </c>
      <c r="AA1109" t="str" cm="1">
        <f t="array" ref="AA1109">_xll.BDP(B1109, "TYPE_OF_BOND")</f>
        <v>#N/A Field Not Applicable</v>
      </c>
    </row>
    <row r="1110" spans="1:27" x14ac:dyDescent="0.25">
      <c r="A1110">
        <v>1108</v>
      </c>
      <c r="B1110" t="s">
        <v>2228</v>
      </c>
      <c r="C1110" s="4" t="s">
        <v>2118</v>
      </c>
      <c r="D1110" s="4">
        <v>40000000</v>
      </c>
      <c r="E1110" t="s">
        <v>17</v>
      </c>
      <c r="F1110" s="1">
        <v>53311</v>
      </c>
      <c r="G1110">
        <v>4.3600000000000003</v>
      </c>
      <c r="H1110" t="s">
        <v>9</v>
      </c>
      <c r="L1110" t="s">
        <v>1168</v>
      </c>
      <c r="M1110" t="s">
        <v>10</v>
      </c>
      <c r="N1110" t="s">
        <v>2119</v>
      </c>
      <c r="O1110" t="s">
        <v>2119</v>
      </c>
      <c r="P1110" t="s">
        <v>2696</v>
      </c>
      <c r="Q1110" t="s">
        <v>3241</v>
      </c>
      <c r="R1110" t="s">
        <v>2229</v>
      </c>
      <c r="S1110">
        <v>2547960.6735274601</v>
      </c>
      <c r="T1110">
        <v>9</v>
      </c>
      <c r="U1110" t="s">
        <v>1181</v>
      </c>
      <c r="W1110" t="s">
        <v>2121</v>
      </c>
      <c r="X1110" t="str">
        <f t="shared" si="17"/>
        <v>BX159744@TRAC Corp</v>
      </c>
      <c r="Y1110" t="str">
        <f>_xlfn.IFNA(_xll.BDP(X1110,"INTERVAL_SUM", "MARKET_DATA_OVERRIDE=px_volume", "CALC_INTERVAL=5D"), "")</f>
        <v>#N/A N/A</v>
      </c>
      <c r="Z1110" t="str" cm="1">
        <f t="array" ref="Z1110">_xll.BDP(B1110, "CF_ACT_CASH_PAID_FOR_INT_DEBT")</f>
        <v>#N/A N/A</v>
      </c>
      <c r="AA1110" t="str" cm="1">
        <f t="array" ref="AA1110">_xll.BDP(B1110, "TYPE_OF_BOND")</f>
        <v>#N/A Field Not Applicable</v>
      </c>
    </row>
    <row r="1111" spans="1:27" x14ac:dyDescent="0.25">
      <c r="A1111">
        <v>1109</v>
      </c>
      <c r="B1111" t="s">
        <v>2230</v>
      </c>
      <c r="C1111" s="4" t="s">
        <v>2118</v>
      </c>
      <c r="D1111" s="4">
        <v>500000000</v>
      </c>
      <c r="E1111" t="s">
        <v>17</v>
      </c>
      <c r="F1111" s="1">
        <v>48396</v>
      </c>
      <c r="G1111">
        <v>4.4000000000000004</v>
      </c>
      <c r="H1111" t="s">
        <v>9</v>
      </c>
      <c r="L1111" t="s">
        <v>1168</v>
      </c>
      <c r="M1111" t="s">
        <v>10</v>
      </c>
      <c r="N1111" t="s">
        <v>2119</v>
      </c>
      <c r="O1111" t="s">
        <v>2119</v>
      </c>
      <c r="P1111" t="s">
        <v>2696</v>
      </c>
      <c r="Q1111" t="s">
        <v>3241</v>
      </c>
      <c r="R1111" t="s">
        <v>2231</v>
      </c>
      <c r="S1111">
        <v>6704728.1362794004</v>
      </c>
      <c r="T1111">
        <v>39</v>
      </c>
      <c r="W1111" t="s">
        <v>2121</v>
      </c>
      <c r="X1111" t="str">
        <f t="shared" si="17"/>
        <v>BX050123@TRAC Corp</v>
      </c>
      <c r="Y1111">
        <f>_xlfn.IFNA(_xll.BDP(X1111,"INTERVAL_SUM", "MARKET_DATA_OVERRIDE=px_volume", "CALC_INTERVAL=5D"), "")</f>
        <v>1754</v>
      </c>
      <c r="Z1111" t="str" cm="1">
        <f t="array" ref="Z1111">_xll.BDP(B1111, "CF_ACT_CASH_PAID_FOR_INT_DEBT")</f>
        <v>#N/A N/A</v>
      </c>
      <c r="AA1111" t="str" cm="1">
        <f t="array" ref="AA1111">_xll.BDP(B1111, "TYPE_OF_BOND")</f>
        <v>#N/A Field Not Applicable</v>
      </c>
    </row>
    <row r="1112" spans="1:27" x14ac:dyDescent="0.25">
      <c r="A1112">
        <v>1110</v>
      </c>
      <c r="B1112" t="s">
        <v>2232</v>
      </c>
      <c r="C1112" s="4" t="s">
        <v>2118</v>
      </c>
      <c r="D1112" s="4">
        <v>500000000</v>
      </c>
      <c r="E1112" t="s">
        <v>11</v>
      </c>
      <c r="F1112" s="1">
        <v>55579</v>
      </c>
      <c r="G1112">
        <v>3.6</v>
      </c>
      <c r="H1112" t="s">
        <v>9</v>
      </c>
      <c r="L1112" t="s">
        <v>1168</v>
      </c>
      <c r="M1112" t="s">
        <v>10</v>
      </c>
      <c r="N1112" t="s">
        <v>2119</v>
      </c>
      <c r="O1112" t="s">
        <v>2119</v>
      </c>
      <c r="P1112" t="s">
        <v>2695</v>
      </c>
      <c r="Q1112" t="s">
        <v>3240</v>
      </c>
      <c r="R1112" t="s">
        <v>2233</v>
      </c>
      <c r="S1112">
        <v>22333806.919830699</v>
      </c>
      <c r="T1112">
        <v>35</v>
      </c>
      <c r="U1112" t="s">
        <v>2234</v>
      </c>
      <c r="W1112" t="s">
        <v>2121</v>
      </c>
      <c r="X1112" t="str">
        <f t="shared" si="17"/>
        <v>BU749020@TRAC Corp</v>
      </c>
      <c r="Y1112">
        <f>_xlfn.IFNA(_xll.BDP(X1112,"INTERVAL_SUM", "MARKET_DATA_OVERRIDE=px_volume", "CALC_INTERVAL=5D"), "")</f>
        <v>15898</v>
      </c>
      <c r="Z1112" cm="1">
        <f t="array" ref="Z1112">_xll.BDP(B1112, "CF_ACT_CASH_PAID_FOR_INT_DEBT")</f>
        <v>392</v>
      </c>
      <c r="AA1112" t="str" cm="1">
        <f t="array" ref="AA1112">_xll.BDP(B1112, "TYPE_OF_BOND")</f>
        <v>#N/A Field Not Applicable</v>
      </c>
    </row>
    <row r="1113" spans="1:27" x14ac:dyDescent="0.25">
      <c r="A1113">
        <v>1111</v>
      </c>
      <c r="B1113" t="s">
        <v>2235</v>
      </c>
      <c r="C1113" s="4" t="s">
        <v>2118</v>
      </c>
      <c r="D1113" s="4">
        <v>300000000</v>
      </c>
      <c r="E1113" t="s">
        <v>11</v>
      </c>
      <c r="F1113" s="1">
        <v>48274</v>
      </c>
      <c r="G1113">
        <v>3</v>
      </c>
      <c r="H1113" t="s">
        <v>9</v>
      </c>
      <c r="L1113" t="s">
        <v>1168</v>
      </c>
      <c r="M1113" t="s">
        <v>10</v>
      </c>
      <c r="N1113" t="s">
        <v>2119</v>
      </c>
      <c r="O1113" t="s">
        <v>2119</v>
      </c>
      <c r="P1113" t="s">
        <v>2695</v>
      </c>
      <c r="Q1113" t="s">
        <v>3240</v>
      </c>
      <c r="R1113" t="s">
        <v>2236</v>
      </c>
      <c r="S1113">
        <v>5679113.4716481399</v>
      </c>
      <c r="T1113">
        <v>35</v>
      </c>
      <c r="U1113" t="s">
        <v>2237</v>
      </c>
      <c r="W1113" t="s">
        <v>2121</v>
      </c>
      <c r="X1113" t="str">
        <f t="shared" si="17"/>
        <v>BU749014@TRAC Corp</v>
      </c>
      <c r="Y1113">
        <f>_xlfn.IFNA(_xll.BDP(X1113,"INTERVAL_SUM", "MARKET_DATA_OVERRIDE=px_volume", "CALC_INTERVAL=5D"), "")</f>
        <v>626</v>
      </c>
      <c r="Z1113" cm="1">
        <f t="array" ref="Z1113">_xll.BDP(B1113, "CF_ACT_CASH_PAID_FOR_INT_DEBT")</f>
        <v>392</v>
      </c>
      <c r="AA1113" t="str" cm="1">
        <f t="array" ref="AA1113">_xll.BDP(B1113, "TYPE_OF_BOND")</f>
        <v>#N/A Field Not Applicable</v>
      </c>
    </row>
    <row r="1114" spans="1:27" x14ac:dyDescent="0.25">
      <c r="A1114">
        <v>1112</v>
      </c>
      <c r="B1114" t="s">
        <v>2238</v>
      </c>
      <c r="C1114" s="4" t="s">
        <v>2118</v>
      </c>
      <c r="D1114" s="4">
        <v>219987000</v>
      </c>
      <c r="E1114" t="s">
        <v>17</v>
      </c>
      <c r="F1114" s="1">
        <v>48000</v>
      </c>
      <c r="G1114">
        <v>2.65</v>
      </c>
      <c r="H1114" t="s">
        <v>9</v>
      </c>
      <c r="L1114" t="s">
        <v>1168</v>
      </c>
      <c r="M1114" t="s">
        <v>10</v>
      </c>
      <c r="N1114" t="s">
        <v>2119</v>
      </c>
      <c r="O1114" t="s">
        <v>2119</v>
      </c>
      <c r="P1114" t="s">
        <v>2695</v>
      </c>
      <c r="Q1114" t="s">
        <v>3240</v>
      </c>
      <c r="R1114" t="s">
        <v>2239</v>
      </c>
      <c r="S1114">
        <v>9207473.2466205396</v>
      </c>
      <c r="T1114">
        <v>28</v>
      </c>
      <c r="W1114" t="s">
        <v>2121</v>
      </c>
      <c r="X1114" t="str">
        <f t="shared" si="17"/>
        <v>BP494754@TRAC Corp</v>
      </c>
      <c r="Y1114">
        <f>_xlfn.IFNA(_xll.BDP(X1114,"INTERVAL_SUM", "MARKET_DATA_OVERRIDE=px_volume", "CALC_INTERVAL=5D"), "")</f>
        <v>105</v>
      </c>
      <c r="Z1114" cm="1">
        <f t="array" ref="Z1114">_xll.BDP(B1114, "CF_ACT_CASH_PAID_FOR_INT_DEBT")</f>
        <v>983</v>
      </c>
      <c r="AA1114" t="str" cm="1">
        <f t="array" ref="AA1114">_xll.BDP(B1114, "TYPE_OF_BOND")</f>
        <v>#N/A Field Not Applicable</v>
      </c>
    </row>
    <row r="1115" spans="1:27" x14ac:dyDescent="0.25">
      <c r="A1115">
        <v>1113</v>
      </c>
      <c r="B1115" t="s">
        <v>2240</v>
      </c>
      <c r="C1115" s="4" t="s">
        <v>2118</v>
      </c>
      <c r="D1115" s="4">
        <v>700000000</v>
      </c>
      <c r="E1115" t="s">
        <v>11</v>
      </c>
      <c r="F1115" s="1">
        <v>55244</v>
      </c>
      <c r="G1115">
        <v>3.35</v>
      </c>
      <c r="H1115" t="s">
        <v>9</v>
      </c>
      <c r="L1115" t="s">
        <v>1168</v>
      </c>
      <c r="M1115" t="s">
        <v>10</v>
      </c>
      <c r="N1115" t="s">
        <v>2119</v>
      </c>
      <c r="O1115" t="s">
        <v>2119</v>
      </c>
      <c r="P1115" t="s">
        <v>2695</v>
      </c>
      <c r="Q1115" t="s">
        <v>3240</v>
      </c>
      <c r="R1115" t="s">
        <v>2241</v>
      </c>
      <c r="S1115">
        <v>17472042.6111397</v>
      </c>
      <c r="T1115">
        <v>28</v>
      </c>
      <c r="U1115" t="s">
        <v>2242</v>
      </c>
      <c r="W1115" t="s">
        <v>2121</v>
      </c>
      <c r="X1115" t="str">
        <f t="shared" si="17"/>
        <v>BO463674@TRAC Corp</v>
      </c>
      <c r="Y1115">
        <f>_xlfn.IFNA(_xll.BDP(X1115,"INTERVAL_SUM", "MARKET_DATA_OVERRIDE=px_volume", "CALC_INTERVAL=5D"), "")</f>
        <v>1002</v>
      </c>
      <c r="Z1115" cm="1">
        <f t="array" ref="Z1115">_xll.BDP(B1115, "CF_ACT_CASH_PAID_FOR_INT_DEBT")</f>
        <v>392</v>
      </c>
      <c r="AA1115" t="str" cm="1">
        <f t="array" ref="AA1115">_xll.BDP(B1115, "TYPE_OF_BOND")</f>
        <v>#N/A Field Not Applicable</v>
      </c>
    </row>
    <row r="1116" spans="1:27" x14ac:dyDescent="0.25">
      <c r="A1116">
        <v>1114</v>
      </c>
      <c r="B1116" t="s">
        <v>2243</v>
      </c>
      <c r="C1116" s="4" t="s">
        <v>2118</v>
      </c>
      <c r="D1116" s="4">
        <v>400000000</v>
      </c>
      <c r="E1116" t="s">
        <v>11</v>
      </c>
      <c r="F1116" s="1">
        <v>47939</v>
      </c>
      <c r="G1116">
        <v>2.35</v>
      </c>
      <c r="H1116" t="s">
        <v>9</v>
      </c>
      <c r="L1116" t="s">
        <v>1168</v>
      </c>
      <c r="M1116" t="s">
        <v>10</v>
      </c>
      <c r="N1116" t="s">
        <v>2119</v>
      </c>
      <c r="O1116" t="s">
        <v>2119</v>
      </c>
      <c r="P1116" t="s">
        <v>2695</v>
      </c>
      <c r="Q1116" t="s">
        <v>3240</v>
      </c>
      <c r="R1116" t="s">
        <v>2244</v>
      </c>
      <c r="S1116">
        <v>10816562.8101047</v>
      </c>
      <c r="T1116">
        <v>43</v>
      </c>
      <c r="U1116" t="s">
        <v>2245</v>
      </c>
      <c r="W1116" t="s">
        <v>2121</v>
      </c>
      <c r="X1116" t="str">
        <f t="shared" si="17"/>
        <v>BO463673@TRAC Corp</v>
      </c>
      <c r="Y1116">
        <f>_xlfn.IFNA(_xll.BDP(X1116,"INTERVAL_SUM", "MARKET_DATA_OVERRIDE=px_volume", "CALC_INTERVAL=5D"), "")</f>
        <v>30410</v>
      </c>
      <c r="Z1116" cm="1">
        <f t="array" ref="Z1116">_xll.BDP(B1116, "CF_ACT_CASH_PAID_FOR_INT_DEBT")</f>
        <v>392</v>
      </c>
      <c r="AA1116" t="str" cm="1">
        <f t="array" ref="AA1116">_xll.BDP(B1116, "TYPE_OF_BOND")</f>
        <v>#N/A Field Not Applicable</v>
      </c>
    </row>
    <row r="1117" spans="1:27" x14ac:dyDescent="0.25">
      <c r="A1117">
        <v>1115</v>
      </c>
      <c r="B1117" t="s">
        <v>2246</v>
      </c>
      <c r="C1117" s="4" t="s">
        <v>2118</v>
      </c>
      <c r="D1117" s="4">
        <v>300000000</v>
      </c>
      <c r="E1117" t="s">
        <v>12</v>
      </c>
      <c r="F1117" s="1">
        <v>54970</v>
      </c>
      <c r="G1117">
        <v>2.9</v>
      </c>
      <c r="H1117" t="s">
        <v>9</v>
      </c>
      <c r="L1117" t="s">
        <v>1168</v>
      </c>
      <c r="M1117" t="s">
        <v>10</v>
      </c>
      <c r="N1117" t="s">
        <v>2119</v>
      </c>
      <c r="O1117" t="s">
        <v>2119</v>
      </c>
      <c r="P1117" t="s">
        <v>2695</v>
      </c>
      <c r="Q1117" t="s">
        <v>3240</v>
      </c>
      <c r="R1117" t="s">
        <v>2247</v>
      </c>
      <c r="S1117">
        <v>9884025.5915798992</v>
      </c>
      <c r="T1117">
        <v>24</v>
      </c>
      <c r="U1117" t="s">
        <v>2248</v>
      </c>
      <c r="W1117" t="s">
        <v>2121</v>
      </c>
      <c r="X1117" t="str">
        <f t="shared" si="17"/>
        <v>BJ818816@TRAC Corp</v>
      </c>
      <c r="Y1117">
        <f>_xlfn.IFNA(_xll.BDP(X1117,"INTERVAL_SUM", "MARKET_DATA_OVERRIDE=px_volume", "CALC_INTERVAL=5D"), "")</f>
        <v>10</v>
      </c>
      <c r="Z1117" cm="1">
        <f t="array" ref="Z1117">_xll.BDP(B1117, "CF_ACT_CASH_PAID_FOR_INT_DEBT")</f>
        <v>392</v>
      </c>
      <c r="AA1117" t="str" cm="1">
        <f t="array" ref="AA1117">_xll.BDP(B1117, "TYPE_OF_BOND")</f>
        <v>#N/A Field Not Applicable</v>
      </c>
    </row>
    <row r="1118" spans="1:27" x14ac:dyDescent="0.25">
      <c r="A1118">
        <v>1116</v>
      </c>
      <c r="B1118" t="s">
        <v>2249</v>
      </c>
      <c r="C1118" s="4" t="s">
        <v>2118</v>
      </c>
      <c r="D1118" s="4">
        <v>471438000</v>
      </c>
      <c r="E1118" t="s">
        <v>12</v>
      </c>
      <c r="F1118" s="1">
        <v>54455</v>
      </c>
      <c r="G1118">
        <v>4.25</v>
      </c>
      <c r="H1118" t="s">
        <v>9</v>
      </c>
      <c r="L1118" t="s">
        <v>1168</v>
      </c>
      <c r="M1118" t="s">
        <v>10</v>
      </c>
      <c r="N1118" t="s">
        <v>2119</v>
      </c>
      <c r="O1118" t="s">
        <v>2119</v>
      </c>
      <c r="P1118" t="s">
        <v>2695</v>
      </c>
      <c r="Q1118" t="s">
        <v>3240</v>
      </c>
      <c r="R1118" t="s">
        <v>2250</v>
      </c>
      <c r="S1118">
        <v>6664777.0216017701</v>
      </c>
      <c r="T1118">
        <v>19</v>
      </c>
      <c r="U1118" t="s">
        <v>2251</v>
      </c>
      <c r="W1118" t="s">
        <v>2121</v>
      </c>
      <c r="X1118" t="str">
        <f t="shared" si="17"/>
        <v>AW645535@TRAC Corp</v>
      </c>
      <c r="Y1118" t="str">
        <f>_xlfn.IFNA(_xll.BDP(X1118,"INTERVAL_SUM", "MARKET_DATA_OVERRIDE=px_volume", "CALC_INTERVAL=5D"), "")</f>
        <v>#N/A N/A</v>
      </c>
      <c r="Z1118" cm="1">
        <f t="array" ref="Z1118">_xll.BDP(B1118, "CF_ACT_CASH_PAID_FOR_INT_DEBT")</f>
        <v>392</v>
      </c>
      <c r="AA1118" t="str" cm="1">
        <f t="array" ref="AA1118">_xll.BDP(B1118, "TYPE_OF_BOND")</f>
        <v>#N/A Field Not Applicable</v>
      </c>
    </row>
    <row r="1119" spans="1:27" x14ac:dyDescent="0.25">
      <c r="A1119">
        <v>1117</v>
      </c>
      <c r="B1119" t="s">
        <v>2252</v>
      </c>
      <c r="C1119" s="4" t="s">
        <v>2118</v>
      </c>
      <c r="D1119" s="4">
        <v>73500000</v>
      </c>
      <c r="E1119" t="s">
        <v>17</v>
      </c>
      <c r="F1119" s="1">
        <v>47058</v>
      </c>
      <c r="G1119">
        <v>4.25</v>
      </c>
      <c r="H1119" t="s">
        <v>9</v>
      </c>
      <c r="L1119" t="s">
        <v>1168</v>
      </c>
      <c r="M1119" t="s">
        <v>10</v>
      </c>
      <c r="N1119" t="s">
        <v>2119</v>
      </c>
      <c r="O1119" t="s">
        <v>2119</v>
      </c>
      <c r="P1119" t="s">
        <v>2695</v>
      </c>
      <c r="Q1119" t="s">
        <v>3240</v>
      </c>
      <c r="R1119" t="s">
        <v>2253</v>
      </c>
      <c r="S1119">
        <v>4465444.4347962998</v>
      </c>
      <c r="T1119">
        <v>31</v>
      </c>
      <c r="W1119" t="s">
        <v>2121</v>
      </c>
      <c r="X1119" t="str">
        <f t="shared" si="17"/>
        <v>AU814405@TRAC Corp</v>
      </c>
      <c r="Y1119">
        <f>_xlfn.IFNA(_xll.BDP(X1119,"INTERVAL_SUM", "MARKET_DATA_OVERRIDE=px_volume", "CALC_INTERVAL=5D"), "")</f>
        <v>268</v>
      </c>
      <c r="Z1119" cm="1">
        <f t="array" ref="Z1119">_xll.BDP(B1119, "CF_ACT_CASH_PAID_FOR_INT_DEBT")</f>
        <v>983</v>
      </c>
      <c r="AA1119" t="str" cm="1">
        <f t="array" ref="AA1119">_xll.BDP(B1119, "TYPE_OF_BOND")</f>
        <v>#N/A Field Not Applicable</v>
      </c>
    </row>
    <row r="1120" spans="1:27" x14ac:dyDescent="0.25">
      <c r="A1120">
        <v>1118</v>
      </c>
      <c r="B1120" t="s">
        <v>2254</v>
      </c>
      <c r="C1120" s="4" t="s">
        <v>2118</v>
      </c>
      <c r="D1120" s="4">
        <v>300000000</v>
      </c>
      <c r="E1120" t="s">
        <v>17</v>
      </c>
      <c r="F1120" s="1">
        <v>46844</v>
      </c>
      <c r="G1120">
        <v>4</v>
      </c>
      <c r="H1120" t="s">
        <v>9</v>
      </c>
      <c r="L1120" t="s">
        <v>1168</v>
      </c>
      <c r="M1120" t="s">
        <v>10</v>
      </c>
      <c r="N1120" t="s">
        <v>2119</v>
      </c>
      <c r="O1120" t="s">
        <v>2119</v>
      </c>
      <c r="P1120" t="s">
        <v>2696</v>
      </c>
      <c r="Q1120" t="s">
        <v>3241</v>
      </c>
      <c r="R1120" t="s">
        <v>2255</v>
      </c>
      <c r="S1120">
        <v>14410464.8798659</v>
      </c>
      <c r="T1120">
        <v>61</v>
      </c>
      <c r="W1120" t="s">
        <v>2121</v>
      </c>
      <c r="X1120" t="str">
        <f t="shared" si="17"/>
        <v>AR931230@TRAC Corp</v>
      </c>
      <c r="Y1120">
        <f>_xlfn.IFNA(_xll.BDP(X1120,"INTERVAL_SUM", "MARKET_DATA_OVERRIDE=px_volume", "CALC_INTERVAL=5D"), "")</f>
        <v>2079</v>
      </c>
      <c r="Z1120" t="str" cm="1">
        <f t="array" ref="Z1120">_xll.BDP(B1120, "CF_ACT_CASH_PAID_FOR_INT_DEBT")</f>
        <v>#N/A N/A</v>
      </c>
      <c r="AA1120" t="str" cm="1">
        <f t="array" ref="AA1120">_xll.BDP(B1120, "TYPE_OF_BOND")</f>
        <v>#N/A Field Not Applicable</v>
      </c>
    </row>
    <row r="1121" spans="1:27" x14ac:dyDescent="0.25">
      <c r="A1121">
        <v>1119</v>
      </c>
      <c r="B1121" t="s">
        <v>2256</v>
      </c>
      <c r="C1121" s="4" t="s">
        <v>2118</v>
      </c>
      <c r="D1121" s="4">
        <v>400000000</v>
      </c>
      <c r="E1121" t="s">
        <v>12</v>
      </c>
      <c r="F1121" s="1">
        <v>54118</v>
      </c>
      <c r="G1121">
        <v>3.95</v>
      </c>
      <c r="H1121" t="s">
        <v>9</v>
      </c>
      <c r="L1121" t="s">
        <v>1168</v>
      </c>
      <c r="M1121" t="s">
        <v>10</v>
      </c>
      <c r="N1121" t="s">
        <v>2119</v>
      </c>
      <c r="O1121" t="s">
        <v>2119</v>
      </c>
      <c r="P1121" t="s">
        <v>2695</v>
      </c>
      <c r="Q1121" t="s">
        <v>3240</v>
      </c>
      <c r="R1121" t="s">
        <v>2257</v>
      </c>
      <c r="S1121">
        <v>8485840.50192344</v>
      </c>
      <c r="T1121">
        <v>24</v>
      </c>
      <c r="W1121" t="s">
        <v>2121</v>
      </c>
      <c r="X1121" t="str">
        <f t="shared" si="17"/>
        <v>AR501302@TRAC Corp</v>
      </c>
      <c r="Y1121">
        <f>_xlfn.IFNA(_xll.BDP(X1121,"INTERVAL_SUM", "MARKET_DATA_OVERRIDE=px_volume", "CALC_INTERVAL=5D"), "")</f>
        <v>3950</v>
      </c>
      <c r="Z1121" cm="1">
        <f t="array" ref="Z1121">_xll.BDP(B1121, "CF_ACT_CASH_PAID_FOR_INT_DEBT")</f>
        <v>392</v>
      </c>
      <c r="AA1121" t="str" cm="1">
        <f t="array" ref="AA1121">_xll.BDP(B1121, "TYPE_OF_BOND")</f>
        <v>#N/A Field Not Applicable</v>
      </c>
    </row>
    <row r="1122" spans="1:27" x14ac:dyDescent="0.25">
      <c r="A1122">
        <v>1120</v>
      </c>
      <c r="B1122" t="s">
        <v>2258</v>
      </c>
      <c r="C1122" s="4" t="s">
        <v>2118</v>
      </c>
      <c r="D1122" s="4">
        <v>190407000</v>
      </c>
      <c r="E1122" t="s">
        <v>17</v>
      </c>
      <c r="F1122" s="1">
        <v>53936</v>
      </c>
      <c r="G1122">
        <v>4.0999999999999996</v>
      </c>
      <c r="H1122" t="s">
        <v>9</v>
      </c>
      <c r="L1122" t="s">
        <v>1168</v>
      </c>
      <c r="M1122" t="s">
        <v>10</v>
      </c>
      <c r="N1122" t="s">
        <v>2119</v>
      </c>
      <c r="O1122" t="s">
        <v>2119</v>
      </c>
      <c r="P1122" t="s">
        <v>2696</v>
      </c>
      <c r="Q1122" t="s">
        <v>3241</v>
      </c>
      <c r="R1122" t="s">
        <v>2259</v>
      </c>
      <c r="S1122">
        <v>6165022.7394893197</v>
      </c>
      <c r="T1122">
        <v>23</v>
      </c>
      <c r="W1122" t="s">
        <v>2121</v>
      </c>
      <c r="X1122" t="str">
        <f t="shared" si="17"/>
        <v>AO844143@TRAC Corp</v>
      </c>
      <c r="Y1122" t="str">
        <f>_xlfn.IFNA(_xll.BDP(X1122,"INTERVAL_SUM", "MARKET_DATA_OVERRIDE=px_volume", "CALC_INTERVAL=5D"), "")</f>
        <v>#N/A N/A</v>
      </c>
      <c r="Z1122" t="str" cm="1">
        <f t="array" ref="Z1122">_xll.BDP(B1122, "CF_ACT_CASH_PAID_FOR_INT_DEBT")</f>
        <v>#N/A N/A</v>
      </c>
      <c r="AA1122" t="str" cm="1">
        <f t="array" ref="AA1122">_xll.BDP(B1122, "TYPE_OF_BOND")</f>
        <v>#N/A Field Not Applicable</v>
      </c>
    </row>
    <row r="1123" spans="1:27" x14ac:dyDescent="0.25">
      <c r="A1123">
        <v>1121</v>
      </c>
      <c r="B1123" t="s">
        <v>2260</v>
      </c>
      <c r="C1123" s="4" t="s">
        <v>2118</v>
      </c>
      <c r="D1123" s="4">
        <v>300000000</v>
      </c>
      <c r="E1123" t="s">
        <v>12</v>
      </c>
      <c r="F1123" s="1">
        <v>46419</v>
      </c>
      <c r="G1123">
        <v>3</v>
      </c>
      <c r="H1123" t="s">
        <v>9</v>
      </c>
      <c r="L1123" t="s">
        <v>1168</v>
      </c>
      <c r="M1123" t="s">
        <v>10</v>
      </c>
      <c r="N1123" t="s">
        <v>2119</v>
      </c>
      <c r="O1123" t="s">
        <v>2119</v>
      </c>
      <c r="P1123" t="s">
        <v>2695</v>
      </c>
      <c r="Q1123" t="s">
        <v>3240</v>
      </c>
      <c r="R1123" t="s">
        <v>2261</v>
      </c>
      <c r="S1123">
        <v>8221727.9361844501</v>
      </c>
      <c r="T1123">
        <v>83</v>
      </c>
      <c r="U1123" t="s">
        <v>2262</v>
      </c>
      <c r="W1123" t="s">
        <v>2121</v>
      </c>
      <c r="X1123" t="str">
        <f t="shared" si="17"/>
        <v>AM077055@TRAC Corp</v>
      </c>
      <c r="Y1123">
        <f>_xlfn.IFNA(_xll.BDP(X1123,"INTERVAL_SUM", "MARKET_DATA_OVERRIDE=px_volume", "CALC_INTERVAL=5D"), "")</f>
        <v>4650</v>
      </c>
      <c r="Z1123" cm="1">
        <f t="array" ref="Z1123">_xll.BDP(B1123, "CF_ACT_CASH_PAID_FOR_INT_DEBT")</f>
        <v>392</v>
      </c>
      <c r="AA1123" t="str" cm="1">
        <f t="array" ref="AA1123">_xll.BDP(B1123, "TYPE_OF_BOND")</f>
        <v>#N/A Field Not Applicable</v>
      </c>
    </row>
    <row r="1124" spans="1:27" x14ac:dyDescent="0.25">
      <c r="A1124">
        <v>1122</v>
      </c>
      <c r="B1124" t="s">
        <v>3608</v>
      </c>
      <c r="C1124" s="4" t="s">
        <v>3609</v>
      </c>
      <c r="D1124" s="4">
        <v>823775000</v>
      </c>
      <c r="E1124" t="s">
        <v>11</v>
      </c>
      <c r="F1124" s="1">
        <v>48050</v>
      </c>
      <c r="G1124">
        <v>8.4295000000000009</v>
      </c>
      <c r="H1124" t="s">
        <v>13</v>
      </c>
      <c r="I1124" t="s">
        <v>2631</v>
      </c>
      <c r="J1124">
        <v>475</v>
      </c>
      <c r="L1124" t="s">
        <v>1168</v>
      </c>
      <c r="M1124" t="s">
        <v>10</v>
      </c>
      <c r="N1124" t="s">
        <v>15</v>
      </c>
      <c r="O1124" t="s">
        <v>3110</v>
      </c>
      <c r="P1124" t="s">
        <v>2637</v>
      </c>
      <c r="Q1124" t="s">
        <v>3123</v>
      </c>
      <c r="R1124" t="s">
        <v>3610</v>
      </c>
      <c r="S1124">
        <v>2000000</v>
      </c>
      <c r="T1124">
        <v>5</v>
      </c>
      <c r="V1124" t="s">
        <v>227</v>
      </c>
      <c r="W1124" t="s">
        <v>3611</v>
      </c>
      <c r="X1124" t="str">
        <f t="shared" si="17"/>
        <v>BL514276@TRAC Corp</v>
      </c>
      <c r="Y1124" t="str">
        <f>_xlfn.IFNA(_xll.BDP(X1124,"INTERVAL_SUM", "MARKET_DATA_OVERRIDE=px_volume", "CALC_INTERVAL=5D"), "")</f>
        <v>#N/A N/A</v>
      </c>
      <c r="Z1124" t="str" cm="1">
        <f t="array" ref="Z1124">_xll.BDP(B1124, "CF_ACT_CASH_PAID_FOR_INT_DEBT")</f>
        <v>#N/A N/A</v>
      </c>
      <c r="AA1124" t="str" cm="1">
        <f t="array" ref="AA1124">_xll.BDP(B1124, "TYPE_OF_BOND")</f>
        <v>#N/A Field Not Applicable</v>
      </c>
    </row>
    <row r="1125" spans="1:27" x14ac:dyDescent="0.25">
      <c r="A1125">
        <v>1123</v>
      </c>
      <c r="B1125" t="s">
        <v>3612</v>
      </c>
      <c r="C1125" s="4" t="s">
        <v>3609</v>
      </c>
      <c r="D1125" s="4">
        <v>385000000</v>
      </c>
      <c r="E1125" t="s">
        <v>11</v>
      </c>
      <c r="F1125" s="1">
        <v>46750</v>
      </c>
      <c r="G1125">
        <v>9.9010999999999996</v>
      </c>
      <c r="H1125" t="s">
        <v>13</v>
      </c>
      <c r="I1125" t="s">
        <v>2635</v>
      </c>
      <c r="J1125">
        <v>625</v>
      </c>
      <c r="L1125" t="s">
        <v>1168</v>
      </c>
      <c r="M1125" t="s">
        <v>10</v>
      </c>
      <c r="N1125" t="s">
        <v>15</v>
      </c>
      <c r="O1125" t="s">
        <v>3110</v>
      </c>
      <c r="P1125" t="s">
        <v>2637</v>
      </c>
      <c r="Q1125" t="s">
        <v>3123</v>
      </c>
      <c r="R1125" t="s">
        <v>3613</v>
      </c>
      <c r="V1125" t="s">
        <v>227</v>
      </c>
      <c r="W1125" t="s">
        <v>3611</v>
      </c>
      <c r="X1125" t="str">
        <f t="shared" si="17"/>
        <v>BL400111@TRAC Corp</v>
      </c>
      <c r="Y1125" t="str">
        <f>_xlfn.IFNA(_xll.BDP(X1125,"INTERVAL_SUM", "MARKET_DATA_OVERRIDE=px_volume", "CALC_INTERVAL=5D"), "")</f>
        <v>#N/A N/A</v>
      </c>
      <c r="Z1125" t="str" cm="1">
        <f t="array" ref="Z1125">_xll.BDP(B1125, "CF_ACT_CASH_PAID_FOR_INT_DEBT")</f>
        <v>#N/A N/A</v>
      </c>
      <c r="AA1125" t="str" cm="1">
        <f t="array" ref="AA1125">_xll.BDP(B1125, "TYPE_OF_BOND")</f>
        <v>#N/A Field Not Applicable</v>
      </c>
    </row>
    <row r="1126" spans="1:27" x14ac:dyDescent="0.25">
      <c r="A1126">
        <v>1124</v>
      </c>
      <c r="B1126" t="s">
        <v>3614</v>
      </c>
      <c r="C1126" s="4" t="s">
        <v>3615</v>
      </c>
      <c r="D1126" s="4">
        <v>810000000</v>
      </c>
      <c r="E1126" t="s">
        <v>11</v>
      </c>
      <c r="F1126" s="1">
        <v>46966</v>
      </c>
      <c r="G1126">
        <v>11.146699999999999</v>
      </c>
      <c r="H1126" t="s">
        <v>13</v>
      </c>
      <c r="I1126" t="s">
        <v>2631</v>
      </c>
      <c r="J1126">
        <v>750</v>
      </c>
      <c r="L1126" t="s">
        <v>1168</v>
      </c>
      <c r="M1126" t="s">
        <v>10</v>
      </c>
      <c r="N1126" t="s">
        <v>15</v>
      </c>
      <c r="O1126" t="s">
        <v>3110</v>
      </c>
      <c r="P1126" t="s">
        <v>2637</v>
      </c>
      <c r="Q1126" t="s">
        <v>3616</v>
      </c>
      <c r="R1126" t="s">
        <v>3617</v>
      </c>
      <c r="S1126">
        <v>5000000</v>
      </c>
      <c r="T1126">
        <v>6</v>
      </c>
      <c r="V1126" t="s">
        <v>256</v>
      </c>
      <c r="W1126" t="s">
        <v>3618</v>
      </c>
      <c r="X1126" t="str">
        <f t="shared" si="17"/>
        <v>BL427484@TRAC Corp</v>
      </c>
      <c r="Y1126" t="str">
        <f>_xlfn.IFNA(_xll.BDP(X1126,"INTERVAL_SUM", "MARKET_DATA_OVERRIDE=px_volume", "CALC_INTERVAL=5D"), "")</f>
        <v>#N/A N/A</v>
      </c>
      <c r="Z1126" cm="1">
        <f t="array" ref="Z1126">_xll.BDP(B1126, "CF_ACT_CASH_PAID_FOR_INT_DEBT")</f>
        <v>417</v>
      </c>
      <c r="AA1126" t="str" cm="1">
        <f t="array" ref="AA1126">_xll.BDP(B1126, "TYPE_OF_BOND")</f>
        <v>#N/A Field Not Applicable</v>
      </c>
    </row>
    <row r="1127" spans="1:27" x14ac:dyDescent="0.25">
      <c r="A1127">
        <v>1125</v>
      </c>
      <c r="B1127" t="s">
        <v>2263</v>
      </c>
      <c r="C1127" s="4" t="s">
        <v>2264</v>
      </c>
      <c r="D1127" s="4">
        <v>800000000</v>
      </c>
      <c r="E1127" t="s">
        <v>17</v>
      </c>
      <c r="F1127" s="1">
        <v>47543</v>
      </c>
      <c r="G1127">
        <v>6.625</v>
      </c>
      <c r="H1127" t="s">
        <v>9</v>
      </c>
      <c r="L1127" t="s">
        <v>1168</v>
      </c>
      <c r="M1127" t="s">
        <v>10</v>
      </c>
      <c r="N1127" t="s">
        <v>36</v>
      </c>
      <c r="O1127" t="s">
        <v>3200</v>
      </c>
      <c r="P1127" t="s">
        <v>2668</v>
      </c>
      <c r="Q1127" t="s">
        <v>3243</v>
      </c>
      <c r="R1127" t="s">
        <v>2265</v>
      </c>
      <c r="S1127">
        <v>3999631.7485255301</v>
      </c>
      <c r="T1127">
        <v>34</v>
      </c>
      <c r="U1127" t="s">
        <v>1169</v>
      </c>
      <c r="W1127" t="s">
        <v>2266</v>
      </c>
      <c r="X1127" t="str">
        <f t="shared" si="17"/>
        <v>BT999880@TRAC Corp</v>
      </c>
      <c r="Y1127">
        <f>_xlfn.IFNA(_xll.BDP(X1127,"INTERVAL_SUM", "MARKET_DATA_OVERRIDE=px_volume", "CALC_INTERVAL=5D"), "")</f>
        <v>15112</v>
      </c>
      <c r="Z1127" t="str" cm="1">
        <f t="array" ref="Z1127">_xll.BDP(B1127, "CF_ACT_CASH_PAID_FOR_INT_DEBT")</f>
        <v>#N/A N/A</v>
      </c>
      <c r="AA1127" t="str" cm="1">
        <f t="array" ref="AA1127">_xll.BDP(B1127, "TYPE_OF_BOND")</f>
        <v>#N/A Field Not Applicable</v>
      </c>
    </row>
    <row r="1128" spans="1:27" x14ac:dyDescent="0.25">
      <c r="A1128">
        <v>1126</v>
      </c>
      <c r="B1128" t="s">
        <v>2267</v>
      </c>
      <c r="C1128" s="4" t="s">
        <v>2264</v>
      </c>
      <c r="D1128" s="4">
        <v>2068500000</v>
      </c>
      <c r="E1128" t="s">
        <v>11</v>
      </c>
      <c r="F1128" s="1">
        <v>47212</v>
      </c>
      <c r="G1128">
        <v>6.7625999999999999</v>
      </c>
      <c r="H1128" t="s">
        <v>13</v>
      </c>
      <c r="I1128" t="s">
        <v>2635</v>
      </c>
      <c r="J1128">
        <v>300</v>
      </c>
      <c r="L1128" t="s">
        <v>1168</v>
      </c>
      <c r="M1128" t="s">
        <v>10</v>
      </c>
      <c r="N1128" t="s">
        <v>36</v>
      </c>
      <c r="O1128" t="s">
        <v>3200</v>
      </c>
      <c r="P1128" t="s">
        <v>2668</v>
      </c>
      <c r="Q1128" t="s">
        <v>3243</v>
      </c>
      <c r="R1128" t="s">
        <v>2268</v>
      </c>
      <c r="S1128">
        <v>5000000</v>
      </c>
      <c r="T1128">
        <v>60</v>
      </c>
      <c r="V1128" t="s">
        <v>227</v>
      </c>
      <c r="W1128" t="s">
        <v>2266</v>
      </c>
      <c r="X1128" t="str">
        <f t="shared" si="17"/>
        <v>BL467971@TRAC Corp</v>
      </c>
      <c r="Y1128" t="str">
        <f>_xlfn.IFNA(_xll.BDP(X1128,"INTERVAL_SUM", "MARKET_DATA_OVERRIDE=px_volume", "CALC_INTERVAL=5D"), "")</f>
        <v>#N/A N/A</v>
      </c>
      <c r="Z1128" t="str" cm="1">
        <f t="array" ref="Z1128">_xll.BDP(B1128, "CF_ACT_CASH_PAID_FOR_INT_DEBT")</f>
        <v>#N/A N/A</v>
      </c>
      <c r="AA1128" t="str" cm="1">
        <f t="array" ref="AA1128">_xll.BDP(B1128, "TYPE_OF_BOND")</f>
        <v>#N/A Field Not Applicable</v>
      </c>
    </row>
    <row r="1129" spans="1:27" x14ac:dyDescent="0.25">
      <c r="A1129">
        <v>1127</v>
      </c>
      <c r="B1129" t="s">
        <v>2269</v>
      </c>
      <c r="C1129" s="4" t="s">
        <v>2264</v>
      </c>
      <c r="D1129" s="4">
        <v>637000000</v>
      </c>
      <c r="E1129" t="s">
        <v>11</v>
      </c>
      <c r="F1129" s="1">
        <v>47212</v>
      </c>
      <c r="G1129">
        <v>6.0620000000000003</v>
      </c>
      <c r="H1129" t="s">
        <v>13</v>
      </c>
      <c r="I1129" t="s">
        <v>2636</v>
      </c>
      <c r="J1129">
        <v>375</v>
      </c>
      <c r="L1129" t="s">
        <v>1171</v>
      </c>
      <c r="M1129" t="s">
        <v>10</v>
      </c>
      <c r="N1129" t="s">
        <v>36</v>
      </c>
      <c r="O1129" t="s">
        <v>3200</v>
      </c>
      <c r="P1129" t="s">
        <v>2668</v>
      </c>
      <c r="Q1129" t="s">
        <v>3243</v>
      </c>
      <c r="R1129" t="s">
        <v>2270</v>
      </c>
      <c r="S1129">
        <v>2000000</v>
      </c>
      <c r="T1129">
        <v>23</v>
      </c>
      <c r="V1129" t="s">
        <v>227</v>
      </c>
      <c r="W1129" t="s">
        <v>2266</v>
      </c>
      <c r="X1129" t="str">
        <f t="shared" si="17"/>
        <v>BL384340@TRAC Corp</v>
      </c>
      <c r="Y1129" t="str">
        <f>_xlfn.IFNA(_xll.BDP(X1129,"INTERVAL_SUM", "MARKET_DATA_OVERRIDE=px_volume", "CALC_INTERVAL=5D"), "")</f>
        <v>#N/A N/A</v>
      </c>
      <c r="Z1129" t="str" cm="1">
        <f t="array" ref="Z1129">_xll.BDP(B1129, "CF_ACT_CASH_PAID_FOR_INT_DEBT")</f>
        <v>#N/A N/A</v>
      </c>
      <c r="AA1129" t="str" cm="1">
        <f t="array" ref="AA1129">_xll.BDP(B1129, "TYPE_OF_BOND")</f>
        <v>#N/A Field Not Applicable</v>
      </c>
    </row>
    <row r="1130" spans="1:27" x14ac:dyDescent="0.25">
      <c r="A1130">
        <v>1128</v>
      </c>
      <c r="B1130" t="s">
        <v>3807</v>
      </c>
      <c r="C1130" s="4" t="s">
        <v>3808</v>
      </c>
      <c r="D1130" s="4">
        <v>800000000</v>
      </c>
      <c r="E1130" t="s">
        <v>12</v>
      </c>
      <c r="F1130" s="1">
        <v>47710</v>
      </c>
      <c r="G1130">
        <v>9.875</v>
      </c>
      <c r="H1130" t="s">
        <v>9</v>
      </c>
      <c r="L1130" t="s">
        <v>1168</v>
      </c>
      <c r="M1130" t="s">
        <v>10</v>
      </c>
      <c r="N1130" t="s">
        <v>14</v>
      </c>
      <c r="O1130" t="s">
        <v>3120</v>
      </c>
      <c r="P1130" t="s">
        <v>2641</v>
      </c>
      <c r="Q1130" t="s">
        <v>3235</v>
      </c>
      <c r="R1130" t="s">
        <v>3809</v>
      </c>
      <c r="S1130">
        <v>9022998.2252083793</v>
      </c>
      <c r="T1130">
        <v>50</v>
      </c>
      <c r="U1130" t="s">
        <v>1169</v>
      </c>
      <c r="W1130" t="s">
        <v>3810</v>
      </c>
      <c r="X1130" t="str">
        <f t="shared" si="17"/>
        <v>ZI113660@TRAC Corp</v>
      </c>
      <c r="Y1130">
        <f>_xlfn.IFNA(_xll.BDP(X1130,"INTERVAL_SUM", "MARKET_DATA_OVERRIDE=px_volume", "CALC_INTERVAL=5D"), "")</f>
        <v>14972</v>
      </c>
      <c r="Z1130" cm="1">
        <f t="array" ref="Z1130">_xll.BDP(B1130, "CF_ACT_CASH_PAID_FOR_INT_DEBT")</f>
        <v>496</v>
      </c>
      <c r="AA1130" t="str" cm="1">
        <f t="array" ref="AA1130">_xll.BDP(B1130, "TYPE_OF_BOND")</f>
        <v>#N/A Field Not Applicable</v>
      </c>
    </row>
    <row r="1131" spans="1:27" x14ac:dyDescent="0.25">
      <c r="A1131">
        <v>1129</v>
      </c>
      <c r="B1131" t="s">
        <v>3811</v>
      </c>
      <c r="C1131" s="4" t="s">
        <v>3808</v>
      </c>
      <c r="D1131" s="4">
        <v>800000000</v>
      </c>
      <c r="E1131" t="s">
        <v>17</v>
      </c>
      <c r="F1131" s="1">
        <v>48366</v>
      </c>
      <c r="G1131">
        <v>10</v>
      </c>
      <c r="H1131" t="s">
        <v>9</v>
      </c>
      <c r="L1131" t="s">
        <v>1168</v>
      </c>
      <c r="M1131" t="s">
        <v>10</v>
      </c>
      <c r="N1131" t="s">
        <v>14</v>
      </c>
      <c r="O1131" t="s">
        <v>3120</v>
      </c>
      <c r="P1131" t="s">
        <v>2641</v>
      </c>
      <c r="Q1131" t="s">
        <v>3235</v>
      </c>
      <c r="R1131" t="s">
        <v>3812</v>
      </c>
      <c r="S1131">
        <v>14834379.822505699</v>
      </c>
      <c r="T1131">
        <v>40</v>
      </c>
      <c r="U1131" t="s">
        <v>1169</v>
      </c>
      <c r="W1131" t="s">
        <v>3810</v>
      </c>
      <c r="X1131" t="str">
        <f t="shared" si="17"/>
        <v>YX014619@TRAC Corp</v>
      </c>
      <c r="Y1131">
        <f>_xlfn.IFNA(_xll.BDP(X1131,"INTERVAL_SUM", "MARKET_DATA_OVERRIDE=px_volume", "CALC_INTERVAL=5D"), "")</f>
        <v>28929</v>
      </c>
      <c r="Z1131" cm="1">
        <f t="array" ref="Z1131">_xll.BDP(B1131, "CF_ACT_CASH_PAID_FOR_INT_DEBT")</f>
        <v>496</v>
      </c>
      <c r="AA1131" t="str" cm="1">
        <f t="array" ref="AA1131">_xll.BDP(B1131, "TYPE_OF_BOND")</f>
        <v>#N/A Field Not Applicable</v>
      </c>
    </row>
    <row r="1132" spans="1:27" x14ac:dyDescent="0.25">
      <c r="A1132">
        <v>1130</v>
      </c>
      <c r="B1132" t="s">
        <v>3813</v>
      </c>
      <c r="C1132" s="4" t="s">
        <v>3808</v>
      </c>
      <c r="D1132" s="4">
        <v>700000000</v>
      </c>
      <c r="E1132" t="s">
        <v>11</v>
      </c>
      <c r="F1132" s="1">
        <v>48259</v>
      </c>
      <c r="G1132">
        <v>8.375</v>
      </c>
      <c r="H1132" t="s">
        <v>9</v>
      </c>
      <c r="L1132" t="s">
        <v>1168</v>
      </c>
      <c r="M1132" t="s">
        <v>10</v>
      </c>
      <c r="N1132" t="s">
        <v>14</v>
      </c>
      <c r="O1132" t="s">
        <v>3120</v>
      </c>
      <c r="P1132" t="s">
        <v>2641</v>
      </c>
      <c r="Q1132" t="s">
        <v>3235</v>
      </c>
      <c r="R1132" t="s">
        <v>3814</v>
      </c>
      <c r="S1132">
        <v>12170625.541157899</v>
      </c>
      <c r="T1132">
        <v>47</v>
      </c>
      <c r="U1132" t="s">
        <v>1169</v>
      </c>
      <c r="W1132" t="s">
        <v>3810</v>
      </c>
      <c r="X1132" t="str">
        <f t="shared" si="17"/>
        <v>YS646077@TRAC Corp</v>
      </c>
      <c r="Y1132">
        <f>_xlfn.IFNA(_xll.BDP(X1132,"INTERVAL_SUM", "MARKET_DATA_OVERRIDE=px_volume", "CALC_INTERVAL=5D"), "")</f>
        <v>17496</v>
      </c>
      <c r="Z1132" cm="1">
        <f t="array" ref="Z1132">_xll.BDP(B1132, "CF_ACT_CASH_PAID_FOR_INT_DEBT")</f>
        <v>496</v>
      </c>
      <c r="AA1132" t="str" cm="1">
        <f t="array" ref="AA1132">_xll.BDP(B1132, "TYPE_OF_BOND")</f>
        <v>#N/A Field Not Applicable</v>
      </c>
    </row>
    <row r="1133" spans="1:27" x14ac:dyDescent="0.25">
      <c r="A1133">
        <v>1131</v>
      </c>
      <c r="B1133" t="s">
        <v>3815</v>
      </c>
      <c r="C1133" s="4" t="s">
        <v>3808</v>
      </c>
      <c r="D1133" s="4">
        <v>1500000000</v>
      </c>
      <c r="E1133" s="1" t="s">
        <v>12</v>
      </c>
      <c r="F1133" s="1">
        <v>49065</v>
      </c>
      <c r="G1133">
        <v>7</v>
      </c>
      <c r="H1133" t="s">
        <v>9</v>
      </c>
      <c r="L1133" t="s">
        <v>1168</v>
      </c>
      <c r="M1133" t="s">
        <v>10</v>
      </c>
      <c r="N1133" t="s">
        <v>14</v>
      </c>
      <c r="O1133" t="s">
        <v>3120</v>
      </c>
      <c r="P1133" t="s">
        <v>2641</v>
      </c>
      <c r="Q1133" t="s">
        <v>3235</v>
      </c>
      <c r="R1133" t="s">
        <v>3816</v>
      </c>
      <c r="S1133">
        <v>17240423.6808112</v>
      </c>
      <c r="T1133">
        <v>49</v>
      </c>
      <c r="U1133" t="s">
        <v>1169</v>
      </c>
      <c r="W1133" t="s">
        <v>3810</v>
      </c>
      <c r="X1133" t="str">
        <f t="shared" si="17"/>
        <v>DI510089@TRAC Corp</v>
      </c>
      <c r="Y1133">
        <f>_xlfn.IFNA(_xll.BDP(X1133,"INTERVAL_SUM", "MARKET_DATA_OVERRIDE=px_volume", "CALC_INTERVAL=5D"), "")</f>
        <v>63114</v>
      </c>
      <c r="Z1133" cm="1">
        <f t="array" ref="Z1133">_xll.BDP(B1133, "CF_ACT_CASH_PAID_FOR_INT_DEBT")</f>
        <v>496</v>
      </c>
      <c r="AA1133" t="str" cm="1">
        <f t="array" ref="AA1133">_xll.BDP(B1133, "TYPE_OF_BOND")</f>
        <v>#N/A Field Not Applicable</v>
      </c>
    </row>
    <row r="1134" spans="1:27" x14ac:dyDescent="0.25">
      <c r="A1134">
        <v>1132</v>
      </c>
      <c r="B1134" t="s">
        <v>3817</v>
      </c>
      <c r="C1134" s="4" t="s">
        <v>3808</v>
      </c>
      <c r="D1134" s="4">
        <v>500000000</v>
      </c>
      <c r="E1134" s="1" t="s">
        <v>17</v>
      </c>
      <c r="F1134" s="1">
        <v>47133</v>
      </c>
      <c r="G1134">
        <v>5.375</v>
      </c>
      <c r="H1134" t="s">
        <v>9</v>
      </c>
      <c r="L1134" t="s">
        <v>1168</v>
      </c>
      <c r="M1134" t="s">
        <v>10</v>
      </c>
      <c r="N1134" t="s">
        <v>14</v>
      </c>
      <c r="O1134" t="s">
        <v>3120</v>
      </c>
      <c r="P1134" t="s">
        <v>2641</v>
      </c>
      <c r="Q1134" t="s">
        <v>3235</v>
      </c>
      <c r="R1134" t="s">
        <v>3818</v>
      </c>
      <c r="S1134">
        <v>7871172.8632793799</v>
      </c>
      <c r="T1134">
        <v>40</v>
      </c>
      <c r="U1134" t="s">
        <v>1169</v>
      </c>
      <c r="W1134" t="s">
        <v>3810</v>
      </c>
      <c r="X1134" t="str">
        <f t="shared" si="17"/>
        <v>BM830989@TRAC Corp</v>
      </c>
      <c r="Y1134">
        <f>_xlfn.IFNA(_xll.BDP(X1134,"INTERVAL_SUM", "MARKET_DATA_OVERRIDE=px_volume", "CALC_INTERVAL=5D"), "")</f>
        <v>5641</v>
      </c>
      <c r="Z1134" cm="1">
        <f t="array" ref="Z1134">_xll.BDP(B1134, "CF_ACT_CASH_PAID_FOR_INT_DEBT")</f>
        <v>496</v>
      </c>
      <c r="AA1134" t="str" cm="1">
        <f t="array" ref="AA1134">_xll.BDP(B1134, "TYPE_OF_BOND")</f>
        <v>#N/A Field Not Applicable</v>
      </c>
    </row>
    <row r="1135" spans="1:27" x14ac:dyDescent="0.25">
      <c r="A1135">
        <v>1133</v>
      </c>
      <c r="B1135" t="s">
        <v>3819</v>
      </c>
      <c r="C1135" s="4" t="s">
        <v>3808</v>
      </c>
      <c r="D1135" s="4">
        <v>490021875</v>
      </c>
      <c r="E1135" s="1" t="s">
        <v>11</v>
      </c>
      <c r="F1135" s="1">
        <v>47987</v>
      </c>
      <c r="G1135">
        <v>7.1574999999999998</v>
      </c>
      <c r="H1135" t="s">
        <v>13</v>
      </c>
      <c r="I1135" t="s">
        <v>2635</v>
      </c>
      <c r="J1135">
        <v>350</v>
      </c>
      <c r="L1135" t="s">
        <v>1168</v>
      </c>
      <c r="M1135" t="s">
        <v>10</v>
      </c>
      <c r="N1135" t="s">
        <v>14</v>
      </c>
      <c r="O1135" t="s">
        <v>3120</v>
      </c>
      <c r="P1135" t="s">
        <v>2641</v>
      </c>
      <c r="Q1135" t="s">
        <v>3235</v>
      </c>
      <c r="R1135" t="s">
        <v>3820</v>
      </c>
      <c r="S1135">
        <v>3000000</v>
      </c>
      <c r="T1135">
        <v>26</v>
      </c>
      <c r="V1135" t="s">
        <v>227</v>
      </c>
      <c r="W1135" t="s">
        <v>3810</v>
      </c>
      <c r="X1135" t="str">
        <f t="shared" si="17"/>
        <v>BL481222@TRAC Corp</v>
      </c>
      <c r="Y1135" t="str">
        <f>_xlfn.IFNA(_xll.BDP(X1135,"INTERVAL_SUM", "MARKET_DATA_OVERRIDE=px_volume", "CALC_INTERVAL=5D"), "")</f>
        <v>#N/A N/A</v>
      </c>
      <c r="Z1135" cm="1">
        <f t="array" ref="Z1135">_xll.BDP(B1135, "CF_ACT_CASH_PAID_FOR_INT_DEBT")</f>
        <v>496</v>
      </c>
      <c r="AA1135" t="str" cm="1">
        <f t="array" ref="AA1135">_xll.BDP(B1135, "TYPE_OF_BOND")</f>
        <v>#N/A Field Not Applicable</v>
      </c>
    </row>
    <row r="1136" spans="1:27" x14ac:dyDescent="0.25">
      <c r="A1136">
        <v>1134</v>
      </c>
      <c r="B1136" t="s">
        <v>3821</v>
      </c>
      <c r="C1136" s="4" t="s">
        <v>3808</v>
      </c>
      <c r="D1136" s="4">
        <v>1910962500</v>
      </c>
      <c r="E1136" s="1" t="s">
        <v>11</v>
      </c>
      <c r="F1136" s="1">
        <v>47987</v>
      </c>
      <c r="G1136">
        <v>7.5029000000000003</v>
      </c>
      <c r="H1136" t="s">
        <v>13</v>
      </c>
      <c r="I1136" t="s">
        <v>2635</v>
      </c>
      <c r="J1136">
        <v>375</v>
      </c>
      <c r="L1136" t="s">
        <v>1168</v>
      </c>
      <c r="M1136" t="s">
        <v>10</v>
      </c>
      <c r="N1136" t="s">
        <v>14</v>
      </c>
      <c r="O1136" t="s">
        <v>3120</v>
      </c>
      <c r="P1136" t="s">
        <v>2641</v>
      </c>
      <c r="Q1136" t="s">
        <v>3235</v>
      </c>
      <c r="R1136" t="s">
        <v>3820</v>
      </c>
      <c r="S1136">
        <v>3000000</v>
      </c>
      <c r="T1136">
        <v>34</v>
      </c>
      <c r="V1136" t="s">
        <v>227</v>
      </c>
      <c r="W1136" t="s">
        <v>3810</v>
      </c>
      <c r="X1136" t="str">
        <f t="shared" si="17"/>
        <v>BL475560@TRAC Corp</v>
      </c>
      <c r="Y1136" t="str">
        <f>_xlfn.IFNA(_xll.BDP(X1136,"INTERVAL_SUM", "MARKET_DATA_OVERRIDE=px_volume", "CALC_INTERVAL=5D"), "")</f>
        <v>#N/A N/A</v>
      </c>
      <c r="Z1136" cm="1">
        <f t="array" ref="Z1136">_xll.BDP(B1136, "CF_ACT_CASH_PAID_FOR_INT_DEBT")</f>
        <v>496</v>
      </c>
      <c r="AA1136" t="str" cm="1">
        <f t="array" ref="AA1136">_xll.BDP(B1136, "TYPE_OF_BOND")</f>
        <v>#N/A Field Not Applicable</v>
      </c>
    </row>
    <row r="1137" spans="1:27" x14ac:dyDescent="0.25">
      <c r="A1137">
        <v>1135</v>
      </c>
      <c r="B1137" t="s">
        <v>3822</v>
      </c>
      <c r="C1137" s="4" t="s">
        <v>3808</v>
      </c>
      <c r="D1137" s="4">
        <v>280000000</v>
      </c>
      <c r="E1137" s="1" t="s">
        <v>11</v>
      </c>
      <c r="F1137" s="1">
        <v>47542</v>
      </c>
      <c r="G1137">
        <v>5.1439000000000004</v>
      </c>
      <c r="H1137" t="s">
        <v>13</v>
      </c>
      <c r="I1137" t="s">
        <v>2631</v>
      </c>
      <c r="J1137">
        <v>150</v>
      </c>
      <c r="L1137" t="s">
        <v>1168</v>
      </c>
      <c r="M1137" t="s">
        <v>10</v>
      </c>
      <c r="N1137" t="s">
        <v>14</v>
      </c>
      <c r="O1137" t="s">
        <v>3120</v>
      </c>
      <c r="P1137" t="s">
        <v>2641</v>
      </c>
      <c r="Q1137" t="s">
        <v>3235</v>
      </c>
      <c r="R1137" t="s">
        <v>3823</v>
      </c>
      <c r="V1137" t="s">
        <v>945</v>
      </c>
      <c r="W1137" t="s">
        <v>3810</v>
      </c>
      <c r="X1137" t="str">
        <f t="shared" si="17"/>
        <v>BL279565@TRAC Corp</v>
      </c>
      <c r="Y1137" t="str">
        <f>_xlfn.IFNA(_xll.BDP(X1137,"INTERVAL_SUM", "MARKET_DATA_OVERRIDE=px_volume", "CALC_INTERVAL=5D"), "")</f>
        <v>#N/A N/A</v>
      </c>
      <c r="Z1137" cm="1">
        <f t="array" ref="Z1137">_xll.BDP(B1137, "CF_ACT_CASH_PAID_FOR_INT_DEBT")</f>
        <v>496</v>
      </c>
      <c r="AA1137" t="str" cm="1">
        <f t="array" ref="AA1137">_xll.BDP(B1137, "TYPE_OF_BOND")</f>
        <v>#N/A Field Not Applicable</v>
      </c>
    </row>
    <row r="1138" spans="1:27" x14ac:dyDescent="0.25">
      <c r="A1138">
        <v>1136</v>
      </c>
      <c r="B1138" t="s">
        <v>3824</v>
      </c>
      <c r="C1138" s="4" t="s">
        <v>3808</v>
      </c>
      <c r="D1138" s="4">
        <v>247749671.65000001</v>
      </c>
      <c r="E1138" s="1" t="s">
        <v>11</v>
      </c>
      <c r="F1138" s="1">
        <v>47987</v>
      </c>
      <c r="G1138">
        <v>7.5111999999999997</v>
      </c>
      <c r="H1138" t="s">
        <v>13</v>
      </c>
      <c r="I1138" t="s">
        <v>2631</v>
      </c>
      <c r="J1138">
        <v>375</v>
      </c>
      <c r="L1138" t="s">
        <v>1168</v>
      </c>
      <c r="M1138" t="s">
        <v>10</v>
      </c>
      <c r="N1138" t="s">
        <v>14</v>
      </c>
      <c r="O1138" t="s">
        <v>3120</v>
      </c>
      <c r="P1138" t="s">
        <v>2641</v>
      </c>
      <c r="Q1138" t="s">
        <v>3235</v>
      </c>
      <c r="R1138" t="s">
        <v>3825</v>
      </c>
      <c r="S1138">
        <v>3043797.80655151</v>
      </c>
      <c r="T1138">
        <v>9</v>
      </c>
      <c r="V1138" t="s">
        <v>227</v>
      </c>
      <c r="W1138" t="s">
        <v>3810</v>
      </c>
      <c r="X1138" t="str">
        <f t="shared" si="17"/>
        <v>BL1001MI@TRAC Corp</v>
      </c>
      <c r="Y1138" t="str">
        <f>_xlfn.IFNA(_xll.BDP(X1138,"INTERVAL_SUM", "MARKET_DATA_OVERRIDE=px_volume", "CALC_INTERVAL=5D"), "")</f>
        <v>#N/A N/A</v>
      </c>
      <c r="Z1138" cm="1">
        <f t="array" ref="Z1138">_xll.BDP(B1138, "CF_ACT_CASH_PAID_FOR_INT_DEBT")</f>
        <v>496</v>
      </c>
      <c r="AA1138" t="str" cm="1">
        <f t="array" ref="AA1138">_xll.BDP(B1138, "TYPE_OF_BOND")</f>
        <v>#N/A Field Not Applicable</v>
      </c>
    </row>
    <row r="1139" spans="1:27" x14ac:dyDescent="0.25">
      <c r="A1139">
        <v>1137</v>
      </c>
      <c r="B1139" t="s">
        <v>2285</v>
      </c>
      <c r="C1139" s="4" t="s">
        <v>2286</v>
      </c>
      <c r="D1139" s="4">
        <v>10909000</v>
      </c>
      <c r="E1139" s="1" t="s">
        <v>17</v>
      </c>
      <c r="F1139" s="1">
        <v>46784</v>
      </c>
      <c r="G1139">
        <v>9.25</v>
      </c>
      <c r="H1139" t="s">
        <v>9</v>
      </c>
      <c r="L1139" t="s">
        <v>1168</v>
      </c>
      <c r="M1139" t="s">
        <v>10</v>
      </c>
      <c r="N1139" t="s">
        <v>14</v>
      </c>
      <c r="O1139" t="s">
        <v>3120</v>
      </c>
      <c r="P1139" t="s">
        <v>2641</v>
      </c>
      <c r="Q1139" t="s">
        <v>3244</v>
      </c>
      <c r="R1139" t="s">
        <v>2287</v>
      </c>
      <c r="S1139">
        <v>-9997</v>
      </c>
      <c r="U1139" t="s">
        <v>1169</v>
      </c>
      <c r="W1139" t="s">
        <v>2288</v>
      </c>
      <c r="X1139" t="str">
        <f t="shared" si="17"/>
        <v>ZP566477@TRAC Corp</v>
      </c>
      <c r="Y1139" t="str">
        <f>_xlfn.IFNA(_xll.BDP(X1139,"INTERVAL_SUM", "MARKET_DATA_OVERRIDE=px_volume", "CALC_INTERVAL=5D"), "")</f>
        <v>#N/A N/A</v>
      </c>
      <c r="Z1139" t="str" cm="1">
        <f t="array" ref="Z1139">_xll.BDP(B1139, "CF_ACT_CASH_PAID_FOR_INT_DEBT")</f>
        <v>#N/A N/A</v>
      </c>
      <c r="AA1139" t="str" cm="1">
        <f t="array" ref="AA1139">_xll.BDP(B1139, "TYPE_OF_BOND")</f>
        <v>#N/A Field Not Applicable</v>
      </c>
    </row>
    <row r="1140" spans="1:27" x14ac:dyDescent="0.25">
      <c r="A1140">
        <v>1138</v>
      </c>
      <c r="B1140" t="s">
        <v>2289</v>
      </c>
      <c r="C1140" s="4" t="s">
        <v>2286</v>
      </c>
      <c r="D1140" s="4">
        <v>793661800.82599998</v>
      </c>
      <c r="E1140" s="1" t="s">
        <v>33</v>
      </c>
      <c r="F1140" s="1">
        <v>47529</v>
      </c>
      <c r="G1140">
        <v>9.7810000000000006</v>
      </c>
      <c r="H1140" t="s">
        <v>64</v>
      </c>
      <c r="K1140">
        <v>9.7810000000000006</v>
      </c>
      <c r="L1140" t="s">
        <v>1168</v>
      </c>
      <c r="M1140" t="s">
        <v>10</v>
      </c>
      <c r="N1140" t="s">
        <v>14</v>
      </c>
      <c r="O1140" t="s">
        <v>3120</v>
      </c>
      <c r="P1140" t="s">
        <v>2641</v>
      </c>
      <c r="Q1140" t="s">
        <v>3244</v>
      </c>
      <c r="R1140" t="s">
        <v>2290</v>
      </c>
      <c r="S1140">
        <v>5590915.4169375096</v>
      </c>
      <c r="T1140">
        <v>43</v>
      </c>
      <c r="U1140" t="s">
        <v>1169</v>
      </c>
      <c r="W1140" t="s">
        <v>2288</v>
      </c>
      <c r="X1140" t="str">
        <f t="shared" si="17"/>
        <v>ZD303091@TRAC Corp</v>
      </c>
      <c r="Y1140">
        <f>_xlfn.IFNA(_xll.BDP(X1140,"INTERVAL_SUM", "MARKET_DATA_OVERRIDE=px_volume", "CALC_INTERVAL=5D"), "")</f>
        <v>2731</v>
      </c>
      <c r="Z1140" t="str" cm="1">
        <f t="array" ref="Z1140">_xll.BDP(B1140, "CF_ACT_CASH_PAID_FOR_INT_DEBT")</f>
        <v>#N/A N/A</v>
      </c>
      <c r="AA1140" t="str" cm="1">
        <f t="array" ref="AA1140">_xll.BDP(B1140, "TYPE_OF_BOND")</f>
        <v>PIK</v>
      </c>
    </row>
    <row r="1141" spans="1:27" x14ac:dyDescent="0.25">
      <c r="A1141">
        <v>1139</v>
      </c>
      <c r="B1141" t="s">
        <v>2291</v>
      </c>
      <c r="C1141" s="4" t="s">
        <v>2286</v>
      </c>
      <c r="D1141" s="4">
        <v>900000000</v>
      </c>
      <c r="E1141" s="1" t="s">
        <v>11</v>
      </c>
      <c r="F1141" s="1">
        <v>48410</v>
      </c>
      <c r="G1141">
        <v>8.5</v>
      </c>
      <c r="H1141" t="s">
        <v>9</v>
      </c>
      <c r="L1141" t="s">
        <v>1168</v>
      </c>
      <c r="M1141" t="s">
        <v>10</v>
      </c>
      <c r="N1141" t="s">
        <v>14</v>
      </c>
      <c r="O1141" t="s">
        <v>3120</v>
      </c>
      <c r="P1141" t="s">
        <v>2641</v>
      </c>
      <c r="Q1141" t="s">
        <v>3244</v>
      </c>
      <c r="R1141" t="s">
        <v>2292</v>
      </c>
      <c r="S1141">
        <v>9080759.2764282003</v>
      </c>
      <c r="T1141">
        <v>43</v>
      </c>
      <c r="U1141" t="s">
        <v>1169</v>
      </c>
      <c r="W1141" t="s">
        <v>2288</v>
      </c>
      <c r="X1141" t="str">
        <f t="shared" si="17"/>
        <v>YN655208@TRAC Corp</v>
      </c>
      <c r="Y1141">
        <f>_xlfn.IFNA(_xll.BDP(X1141,"INTERVAL_SUM", "MARKET_DATA_OVERRIDE=px_volume", "CALC_INTERVAL=5D"), "")</f>
        <v>8334</v>
      </c>
      <c r="Z1141" t="str" cm="1">
        <f t="array" ref="Z1141">_xll.BDP(B1141, "CF_ACT_CASH_PAID_FOR_INT_DEBT")</f>
        <v>#N/A N/A</v>
      </c>
      <c r="AA1141" t="str" cm="1">
        <f t="array" ref="AA1141">_xll.BDP(B1141, "TYPE_OF_BOND")</f>
        <v>#N/A Field Not Applicable</v>
      </c>
    </row>
    <row r="1142" spans="1:27" x14ac:dyDescent="0.25">
      <c r="A1142">
        <v>1140</v>
      </c>
      <c r="B1142" t="s">
        <v>2293</v>
      </c>
      <c r="C1142" s="4" t="s">
        <v>2286</v>
      </c>
      <c r="D1142" s="4">
        <v>1400000000</v>
      </c>
      <c r="E1142" s="1" t="s">
        <v>11</v>
      </c>
      <c r="F1142" s="1">
        <v>48395</v>
      </c>
      <c r="G1142">
        <v>8.1439000000000004</v>
      </c>
      <c r="H1142" t="s">
        <v>13</v>
      </c>
      <c r="I1142" t="s">
        <v>2631</v>
      </c>
      <c r="J1142">
        <v>450</v>
      </c>
      <c r="L1142" t="s">
        <v>1168</v>
      </c>
      <c r="M1142" t="s">
        <v>10</v>
      </c>
      <c r="N1142" t="s">
        <v>14</v>
      </c>
      <c r="O1142" t="s">
        <v>3120</v>
      </c>
      <c r="P1142" t="s">
        <v>2641</v>
      </c>
      <c r="Q1142" t="s">
        <v>3244</v>
      </c>
      <c r="R1142" t="s">
        <v>2294</v>
      </c>
      <c r="S1142">
        <v>3000000</v>
      </c>
      <c r="T1142">
        <v>26</v>
      </c>
      <c r="V1142" t="s">
        <v>227</v>
      </c>
      <c r="W1142" t="s">
        <v>2288</v>
      </c>
      <c r="X1142" t="str">
        <f t="shared" si="17"/>
        <v>BL514093@TRAC Corp</v>
      </c>
      <c r="Y1142" t="str">
        <f>_xlfn.IFNA(_xll.BDP(X1142,"INTERVAL_SUM", "MARKET_DATA_OVERRIDE=px_volume", "CALC_INTERVAL=5D"), "")</f>
        <v>#N/A N/A</v>
      </c>
      <c r="Z1142" t="str" cm="1">
        <f t="array" ref="Z1142">_xll.BDP(B1142, "CF_ACT_CASH_PAID_FOR_INT_DEBT")</f>
        <v>#N/A N/A</v>
      </c>
      <c r="AA1142" t="str" cm="1">
        <f t="array" ref="AA1142">_xll.BDP(B1142, "TYPE_OF_BOND")</f>
        <v>#N/A Field Not Applicable</v>
      </c>
    </row>
    <row r="1143" spans="1:27" x14ac:dyDescent="0.25">
      <c r="A1143">
        <v>1141</v>
      </c>
      <c r="B1143" t="s">
        <v>2295</v>
      </c>
      <c r="C1143" s="4" t="s">
        <v>2296</v>
      </c>
      <c r="D1143" s="4">
        <v>790705000</v>
      </c>
      <c r="E1143" s="1" t="s">
        <v>11</v>
      </c>
      <c r="F1143" s="1">
        <v>48091</v>
      </c>
      <c r="G1143">
        <v>9.75</v>
      </c>
      <c r="H1143" t="s">
        <v>9</v>
      </c>
      <c r="L1143" t="s">
        <v>1168</v>
      </c>
      <c r="M1143" t="s">
        <v>10</v>
      </c>
      <c r="N1143" t="s">
        <v>14</v>
      </c>
      <c r="O1143" t="s">
        <v>3120</v>
      </c>
      <c r="P1143" t="s">
        <v>2641</v>
      </c>
      <c r="Q1143" t="s">
        <v>3244</v>
      </c>
      <c r="R1143" t="s">
        <v>2297</v>
      </c>
      <c r="S1143">
        <v>10836735.118246701</v>
      </c>
      <c r="T1143">
        <v>45</v>
      </c>
      <c r="U1143" t="s">
        <v>1169</v>
      </c>
      <c r="W1143" t="s">
        <v>2298</v>
      </c>
      <c r="X1143" t="str">
        <f t="shared" si="17"/>
        <v>DF476578@TRAC Corp</v>
      </c>
      <c r="Y1143" t="str">
        <f>_xlfn.IFNA(_xll.BDP(X1143,"INTERVAL_SUM", "MARKET_DATA_OVERRIDE=px_volume", "CALC_INTERVAL=5D"), "")</f>
        <v>#N/A N/A</v>
      </c>
      <c r="Z1143" cm="1">
        <f t="array" ref="Z1143">_xll.BDP(B1143, "CF_ACT_CASH_PAID_FOR_INT_DEBT")</f>
        <v>65.88</v>
      </c>
      <c r="AA1143" t="str" cm="1">
        <f t="array" ref="AA1143">_xll.BDP(B1143, "TYPE_OF_BOND")</f>
        <v>#N/A Field Not Applicable</v>
      </c>
    </row>
    <row r="1144" spans="1:27" x14ac:dyDescent="0.25">
      <c r="A1144">
        <v>1142</v>
      </c>
      <c r="B1144" t="s">
        <v>2299</v>
      </c>
      <c r="C1144" s="4" t="s">
        <v>2300</v>
      </c>
      <c r="D1144" s="4">
        <v>783876500</v>
      </c>
      <c r="E1144" s="1" t="s">
        <v>11</v>
      </c>
      <c r="F1144" s="1">
        <v>47771</v>
      </c>
      <c r="G1144">
        <v>7.9025999999999996</v>
      </c>
      <c r="H1144" t="s">
        <v>13</v>
      </c>
      <c r="I1144" t="s">
        <v>2631</v>
      </c>
      <c r="J1144">
        <v>425</v>
      </c>
      <c r="L1144" t="s">
        <v>1168</v>
      </c>
      <c r="M1144" t="s">
        <v>10</v>
      </c>
      <c r="N1144" t="s">
        <v>14</v>
      </c>
      <c r="O1144" t="s">
        <v>3120</v>
      </c>
      <c r="P1144" t="s">
        <v>2641</v>
      </c>
      <c r="Q1144" t="s">
        <v>3228</v>
      </c>
      <c r="R1144" t="s">
        <v>2301</v>
      </c>
      <c r="S1144">
        <v>5000000</v>
      </c>
      <c r="T1144">
        <v>7</v>
      </c>
      <c r="V1144" t="s">
        <v>227</v>
      </c>
      <c r="W1144" t="s">
        <v>2302</v>
      </c>
      <c r="X1144" t="str">
        <f t="shared" si="17"/>
        <v>BL523447@TRAC Corp</v>
      </c>
      <c r="Y1144" t="str">
        <f>_xlfn.IFNA(_xll.BDP(X1144,"INTERVAL_SUM", "MARKET_DATA_OVERRIDE=px_volume", "CALC_INTERVAL=5D"), "")</f>
        <v>#N/A N/A</v>
      </c>
      <c r="Z1144" t="str" cm="1">
        <f t="array" ref="Z1144">_xll.BDP(B1144, "CF_ACT_CASH_PAID_FOR_INT_DEBT")</f>
        <v>#N/A N/A</v>
      </c>
      <c r="AA1144" t="str" cm="1">
        <f t="array" ref="AA1144">_xll.BDP(B1144, "TYPE_OF_BOND")</f>
        <v>#N/A Field Not Applicable</v>
      </c>
    </row>
    <row r="1145" spans="1:27" x14ac:dyDescent="0.25">
      <c r="A1145">
        <v>1143</v>
      </c>
      <c r="B1145" t="s">
        <v>2303</v>
      </c>
      <c r="C1145" s="4" t="s">
        <v>2300</v>
      </c>
      <c r="D1145" s="4">
        <v>129375000</v>
      </c>
      <c r="E1145" t="s">
        <v>11</v>
      </c>
      <c r="F1145" s="1">
        <v>47771</v>
      </c>
      <c r="G1145">
        <v>9.4025999999999996</v>
      </c>
      <c r="H1145" t="s">
        <v>13</v>
      </c>
      <c r="I1145" t="s">
        <v>2631</v>
      </c>
      <c r="J1145">
        <v>575</v>
      </c>
      <c r="L1145" t="s">
        <v>1168</v>
      </c>
      <c r="M1145" t="s">
        <v>10</v>
      </c>
      <c r="N1145" t="s">
        <v>14</v>
      </c>
      <c r="O1145" t="s">
        <v>3120</v>
      </c>
      <c r="P1145" t="s">
        <v>2641</v>
      </c>
      <c r="Q1145" t="s">
        <v>3228</v>
      </c>
      <c r="R1145" t="s">
        <v>2301</v>
      </c>
      <c r="S1145">
        <v>5000000</v>
      </c>
      <c r="T1145">
        <v>14</v>
      </c>
      <c r="V1145" t="s">
        <v>227</v>
      </c>
      <c r="W1145" t="s">
        <v>2302</v>
      </c>
      <c r="X1145" t="str">
        <f t="shared" si="17"/>
        <v>BL523446@TRAC Corp</v>
      </c>
      <c r="Y1145" t="str">
        <f>_xlfn.IFNA(_xll.BDP(X1145,"INTERVAL_SUM", "MARKET_DATA_OVERRIDE=px_volume", "CALC_INTERVAL=5D"), "")</f>
        <v>#N/A N/A</v>
      </c>
      <c r="Z1145" t="str" cm="1">
        <f t="array" ref="Z1145">_xll.BDP(B1145, "CF_ACT_CASH_PAID_FOR_INT_DEBT")</f>
        <v>#N/A N/A</v>
      </c>
      <c r="AA1145" t="str" cm="1">
        <f t="array" ref="AA1145">_xll.BDP(B1145, "TYPE_OF_BOND")</f>
        <v>#N/A Field Not Applicable</v>
      </c>
    </row>
    <row r="1146" spans="1:27" x14ac:dyDescent="0.25">
      <c r="A1146">
        <v>1144</v>
      </c>
      <c r="B1146" t="s">
        <v>2304</v>
      </c>
      <c r="C1146" s="4" t="s">
        <v>2300</v>
      </c>
      <c r="D1146" s="4">
        <v>62000000</v>
      </c>
      <c r="E1146" t="s">
        <v>11</v>
      </c>
      <c r="F1146" s="1">
        <v>47679</v>
      </c>
      <c r="G1146">
        <v>7.1764000000000001</v>
      </c>
      <c r="H1146" t="s">
        <v>13</v>
      </c>
      <c r="I1146" t="s">
        <v>2631</v>
      </c>
      <c r="J1146">
        <v>350</v>
      </c>
      <c r="L1146" t="s">
        <v>1168</v>
      </c>
      <c r="M1146" t="s">
        <v>10</v>
      </c>
      <c r="N1146" t="s">
        <v>14</v>
      </c>
      <c r="O1146" t="s">
        <v>3120</v>
      </c>
      <c r="P1146" t="s">
        <v>2641</v>
      </c>
      <c r="Q1146" t="s">
        <v>3228</v>
      </c>
      <c r="R1146" t="s">
        <v>2305</v>
      </c>
      <c r="V1146" t="s">
        <v>226</v>
      </c>
      <c r="W1146" t="s">
        <v>2302</v>
      </c>
      <c r="X1146" t="str">
        <f t="shared" si="17"/>
        <v>BL375657@TRAC Corp</v>
      </c>
      <c r="Y1146" t="str">
        <f>_xlfn.IFNA(_xll.BDP(X1146,"INTERVAL_SUM", "MARKET_DATA_OVERRIDE=px_volume", "CALC_INTERVAL=5D"), "")</f>
        <v>#N/A N/A</v>
      </c>
      <c r="Z1146" t="str" cm="1">
        <f t="array" ref="Z1146">_xll.BDP(B1146, "CF_ACT_CASH_PAID_FOR_INT_DEBT")</f>
        <v>#N/A N/A</v>
      </c>
      <c r="AA1146" t="str" cm="1">
        <f t="array" ref="AA1146">_xll.BDP(B1146, "TYPE_OF_BOND")</f>
        <v>#N/A Field Not Applicable</v>
      </c>
    </row>
    <row r="1147" spans="1:27" x14ac:dyDescent="0.25">
      <c r="A1147">
        <v>1145</v>
      </c>
      <c r="B1147" t="s">
        <v>2306</v>
      </c>
      <c r="C1147" s="4" t="s">
        <v>2307</v>
      </c>
      <c r="D1147" s="4">
        <v>775000000</v>
      </c>
      <c r="E1147" t="s">
        <v>12</v>
      </c>
      <c r="F1147" s="1">
        <v>47406</v>
      </c>
      <c r="G1147">
        <v>9.5</v>
      </c>
      <c r="H1147" t="s">
        <v>9</v>
      </c>
      <c r="L1147" t="s">
        <v>1168</v>
      </c>
      <c r="M1147" t="s">
        <v>10</v>
      </c>
      <c r="N1147" t="s">
        <v>36</v>
      </c>
      <c r="O1147" t="s">
        <v>3198</v>
      </c>
      <c r="P1147" t="s">
        <v>2682</v>
      </c>
      <c r="Q1147" t="s">
        <v>2682</v>
      </c>
      <c r="R1147" t="s">
        <v>2308</v>
      </c>
      <c r="S1147">
        <v>3285424.4406214701</v>
      </c>
      <c r="T1147">
        <v>15</v>
      </c>
      <c r="U1147" t="s">
        <v>1169</v>
      </c>
      <c r="W1147" t="s">
        <v>2309</v>
      </c>
      <c r="X1147" t="str">
        <f t="shared" si="17"/>
        <v>YV910290@TRAC Corp</v>
      </c>
      <c r="Y1147">
        <f>_xlfn.IFNA(_xll.BDP(X1147,"INTERVAL_SUM", "MARKET_DATA_OVERRIDE=px_volume", "CALC_INTERVAL=5D"), "")</f>
        <v>615</v>
      </c>
      <c r="Z1147" t="str" cm="1">
        <f t="array" ref="Z1147">_xll.BDP(B1147, "CF_ACT_CASH_PAID_FOR_INT_DEBT")</f>
        <v>#N/A N/A</v>
      </c>
      <c r="AA1147" t="str" cm="1">
        <f t="array" ref="AA1147">_xll.BDP(B1147, "TYPE_OF_BOND")</f>
        <v>#N/A Field Not Applicable</v>
      </c>
    </row>
    <row r="1148" spans="1:27" x14ac:dyDescent="0.25">
      <c r="A1148">
        <v>1146</v>
      </c>
      <c r="B1148" t="s">
        <v>1889</v>
      </c>
      <c r="C1148" s="4" t="s">
        <v>1890</v>
      </c>
      <c r="D1148" s="4">
        <v>750000000</v>
      </c>
      <c r="E1148" t="s">
        <v>33</v>
      </c>
      <c r="F1148" s="1">
        <v>47710</v>
      </c>
      <c r="G1148">
        <v>9.875</v>
      </c>
      <c r="H1148" t="s">
        <v>9</v>
      </c>
      <c r="L1148" t="s">
        <v>1168</v>
      </c>
      <c r="M1148" t="s">
        <v>10</v>
      </c>
      <c r="N1148" t="s">
        <v>16</v>
      </c>
      <c r="O1148" t="s">
        <v>3135</v>
      </c>
      <c r="P1148" t="s">
        <v>2629</v>
      </c>
      <c r="Q1148" t="s">
        <v>3205</v>
      </c>
      <c r="R1148" t="s">
        <v>1891</v>
      </c>
      <c r="S1148">
        <v>2062096.02689649</v>
      </c>
      <c r="T1148">
        <v>26</v>
      </c>
      <c r="U1148" t="s">
        <v>1169</v>
      </c>
      <c r="W1148" t="s">
        <v>1892</v>
      </c>
      <c r="X1148" t="str">
        <f t="shared" si="17"/>
        <v>YM778585@TRAC Corp</v>
      </c>
      <c r="Y1148">
        <f>_xlfn.IFNA(_xll.BDP(X1148,"INTERVAL_SUM", "MARKET_DATA_OVERRIDE=px_volume", "CALC_INTERVAL=5D"), "")</f>
        <v>50569</v>
      </c>
      <c r="Z1148" cm="1">
        <f t="array" ref="Z1148">_xll.BDP(B1148, "CF_ACT_CASH_PAID_FOR_INT_DEBT")</f>
        <v>168.411</v>
      </c>
      <c r="AA1148" t="str" cm="1">
        <f t="array" ref="AA1148">_xll.BDP(B1148, "TYPE_OF_BOND")</f>
        <v>#N/A Field Not Applicable</v>
      </c>
    </row>
    <row r="1149" spans="1:27" x14ac:dyDescent="0.25">
      <c r="A1149">
        <v>1147</v>
      </c>
      <c r="B1149" t="s">
        <v>1893</v>
      </c>
      <c r="C1149" s="4" t="s">
        <v>1890</v>
      </c>
      <c r="D1149" s="4">
        <v>458826591</v>
      </c>
      <c r="E1149" t="s">
        <v>8</v>
      </c>
      <c r="F1149" s="1">
        <v>41486</v>
      </c>
      <c r="G1149">
        <v>11</v>
      </c>
      <c r="H1149" t="s">
        <v>34</v>
      </c>
      <c r="L1149" t="s">
        <v>1168</v>
      </c>
      <c r="M1149" t="s">
        <v>10</v>
      </c>
      <c r="N1149" t="s">
        <v>16</v>
      </c>
      <c r="O1149" t="s">
        <v>3135</v>
      </c>
      <c r="P1149" t="s">
        <v>2629</v>
      </c>
      <c r="Q1149" t="s">
        <v>3136</v>
      </c>
      <c r="R1149" t="s">
        <v>1894</v>
      </c>
      <c r="S1149">
        <v>-9997</v>
      </c>
      <c r="U1149" t="s">
        <v>1176</v>
      </c>
      <c r="W1149" t="s">
        <v>1892</v>
      </c>
      <c r="X1149" t="str">
        <f t="shared" si="17"/>
        <v>EG728952@TRAC Corp</v>
      </c>
      <c r="Y1149" t="str">
        <f>_xlfn.IFNA(_xll.BDP(X1149,"INTERVAL_SUM", "MARKET_DATA_OVERRIDE=px_volume", "CALC_INTERVAL=5D"), "")</f>
        <v>#N/A N/A</v>
      </c>
      <c r="Z1149" cm="1">
        <f t="array" ref="Z1149">_xll.BDP(B1149, "CF_ACT_CASH_PAID_FOR_INT_DEBT")</f>
        <v>168.411</v>
      </c>
      <c r="AA1149" t="str" cm="1">
        <f t="array" ref="AA1149">_xll.BDP(B1149, "TYPE_OF_BOND")</f>
        <v>Convertible</v>
      </c>
    </row>
    <row r="1150" spans="1:27" x14ac:dyDescent="0.25">
      <c r="A1150">
        <v>1148</v>
      </c>
      <c r="B1150" t="s">
        <v>1895</v>
      </c>
      <c r="C1150" s="4" t="s">
        <v>1890</v>
      </c>
      <c r="D1150" s="4">
        <v>392071000</v>
      </c>
      <c r="E1150" t="s">
        <v>17</v>
      </c>
      <c r="F1150" s="1">
        <v>47863</v>
      </c>
      <c r="G1150">
        <v>5.375</v>
      </c>
      <c r="H1150" t="s">
        <v>9</v>
      </c>
      <c r="L1150" t="s">
        <v>1168</v>
      </c>
      <c r="M1150" t="s">
        <v>10</v>
      </c>
      <c r="N1150" t="s">
        <v>16</v>
      </c>
      <c r="O1150" t="s">
        <v>3135</v>
      </c>
      <c r="P1150" t="s">
        <v>2629</v>
      </c>
      <c r="Q1150" t="s">
        <v>3136</v>
      </c>
      <c r="R1150" t="s">
        <v>1896</v>
      </c>
      <c r="S1150">
        <v>2060636.62706408</v>
      </c>
      <c r="T1150">
        <v>11</v>
      </c>
      <c r="U1150" t="s">
        <v>1169</v>
      </c>
      <c r="W1150" t="s">
        <v>1892</v>
      </c>
      <c r="X1150" t="str">
        <f t="shared" si="17"/>
        <v>BN071169@TRAC Corp</v>
      </c>
      <c r="Y1150">
        <f>_xlfn.IFNA(_xll.BDP(X1150,"INTERVAL_SUM", "MARKET_DATA_OVERRIDE=px_volume", "CALC_INTERVAL=5D"), "")</f>
        <v>10077</v>
      </c>
      <c r="Z1150" cm="1">
        <f t="array" ref="Z1150">_xll.BDP(B1150, "CF_ACT_CASH_PAID_FOR_INT_DEBT")</f>
        <v>168.411</v>
      </c>
      <c r="AA1150" t="str" cm="1">
        <f t="array" ref="AA1150">_xll.BDP(B1150, "TYPE_OF_BOND")</f>
        <v>#N/A Field Not Applicable</v>
      </c>
    </row>
    <row r="1151" spans="1:27" x14ac:dyDescent="0.25">
      <c r="A1151">
        <v>1149</v>
      </c>
      <c r="B1151" t="s">
        <v>1897</v>
      </c>
      <c r="C1151" s="4" t="s">
        <v>1890</v>
      </c>
      <c r="D1151" s="4">
        <v>523356000</v>
      </c>
      <c r="E1151" t="s">
        <v>11</v>
      </c>
      <c r="F1151" s="1">
        <v>47133</v>
      </c>
      <c r="G1151">
        <v>3.875</v>
      </c>
      <c r="H1151" t="s">
        <v>9</v>
      </c>
      <c r="L1151" t="s">
        <v>1168</v>
      </c>
      <c r="M1151" t="s">
        <v>10</v>
      </c>
      <c r="N1151" t="s">
        <v>16</v>
      </c>
      <c r="O1151" t="s">
        <v>3135</v>
      </c>
      <c r="P1151" t="s">
        <v>2629</v>
      </c>
      <c r="Q1151" t="s">
        <v>3136</v>
      </c>
      <c r="R1151" t="s">
        <v>1898</v>
      </c>
      <c r="S1151">
        <v>15330953.795614401</v>
      </c>
      <c r="T1151">
        <v>22</v>
      </c>
      <c r="U1151" t="s">
        <v>1169</v>
      </c>
      <c r="W1151" t="s">
        <v>1892</v>
      </c>
      <c r="X1151" t="str">
        <f t="shared" si="17"/>
        <v>BN071167@TRAC Corp</v>
      </c>
      <c r="Y1151">
        <f>_xlfn.IFNA(_xll.BDP(X1151,"INTERVAL_SUM", "MARKET_DATA_OVERRIDE=px_volume", "CALC_INTERVAL=5D"), "")</f>
        <v>3109</v>
      </c>
      <c r="Z1151" cm="1">
        <f t="array" ref="Z1151">_xll.BDP(B1151, "CF_ACT_CASH_PAID_FOR_INT_DEBT")</f>
        <v>168.411</v>
      </c>
      <c r="AA1151" t="str" cm="1">
        <f t="array" ref="AA1151">_xll.BDP(B1151, "TYPE_OF_BOND")</f>
        <v>#N/A Field Not Applicable</v>
      </c>
    </row>
    <row r="1152" spans="1:27" x14ac:dyDescent="0.25">
      <c r="A1152">
        <v>1150</v>
      </c>
      <c r="B1152" t="s">
        <v>1899</v>
      </c>
      <c r="C1152" s="4" t="s">
        <v>1890</v>
      </c>
      <c r="D1152" s="4">
        <v>20000000</v>
      </c>
      <c r="E1152" t="s">
        <v>11</v>
      </c>
      <c r="F1152" s="1">
        <v>47308</v>
      </c>
      <c r="G1152">
        <v>9.1704000000000008</v>
      </c>
      <c r="H1152" t="s">
        <v>13</v>
      </c>
      <c r="I1152" t="s">
        <v>2631</v>
      </c>
      <c r="J1152">
        <v>550</v>
      </c>
      <c r="L1152" t="s">
        <v>1168</v>
      </c>
      <c r="M1152" t="s">
        <v>10</v>
      </c>
      <c r="N1152" t="s">
        <v>16</v>
      </c>
      <c r="O1152" t="s">
        <v>3135</v>
      </c>
      <c r="P1152" t="s">
        <v>2629</v>
      </c>
      <c r="Q1152" t="s">
        <v>3205</v>
      </c>
      <c r="R1152" t="s">
        <v>1900</v>
      </c>
      <c r="V1152" t="s">
        <v>226</v>
      </c>
      <c r="W1152" t="s">
        <v>1892</v>
      </c>
      <c r="X1152" t="str">
        <f t="shared" si="17"/>
        <v>BL507098@TRAC Corp</v>
      </c>
      <c r="Y1152" t="str">
        <f>_xlfn.IFNA(_xll.BDP(X1152,"INTERVAL_SUM", "MARKET_DATA_OVERRIDE=px_volume", "CALC_INTERVAL=5D"), "")</f>
        <v>#N/A N/A</v>
      </c>
      <c r="Z1152" cm="1">
        <f t="array" ref="Z1152">_xll.BDP(B1152, "CF_ACT_CASH_PAID_FOR_INT_DEBT")</f>
        <v>168.411</v>
      </c>
      <c r="AA1152" t="str" cm="1">
        <f t="array" ref="AA1152">_xll.BDP(B1152, "TYPE_OF_BOND")</f>
        <v>#N/A Field Not Applicable</v>
      </c>
    </row>
    <row r="1153" spans="1:27" x14ac:dyDescent="0.25">
      <c r="A1153">
        <v>1151</v>
      </c>
      <c r="B1153" t="s">
        <v>1901</v>
      </c>
      <c r="C1153" s="4" t="s">
        <v>1890</v>
      </c>
      <c r="D1153" s="4">
        <v>316313614.83999997</v>
      </c>
      <c r="E1153" t="s">
        <v>11</v>
      </c>
      <c r="F1153" s="1">
        <v>47452</v>
      </c>
      <c r="G1153">
        <v>7.1348000000000003</v>
      </c>
      <c r="H1153" t="s">
        <v>13</v>
      </c>
      <c r="I1153" t="s">
        <v>2631</v>
      </c>
      <c r="J1153">
        <v>335</v>
      </c>
      <c r="L1153" t="s">
        <v>1168</v>
      </c>
      <c r="M1153" t="s">
        <v>10</v>
      </c>
      <c r="N1153" t="s">
        <v>16</v>
      </c>
      <c r="O1153" t="s">
        <v>3135</v>
      </c>
      <c r="P1153" t="s">
        <v>2629</v>
      </c>
      <c r="Q1153" t="s">
        <v>3205</v>
      </c>
      <c r="R1153" t="s">
        <v>1902</v>
      </c>
      <c r="S1153">
        <v>3000000</v>
      </c>
      <c r="T1153">
        <v>9</v>
      </c>
      <c r="V1153" t="s">
        <v>227</v>
      </c>
      <c r="W1153" t="s">
        <v>1892</v>
      </c>
      <c r="X1153" t="str">
        <f t="shared" si="17"/>
        <v>BL507095@TRAC Corp</v>
      </c>
      <c r="Y1153" t="str">
        <f>_xlfn.IFNA(_xll.BDP(X1153,"INTERVAL_SUM", "MARKET_DATA_OVERRIDE=px_volume", "CALC_INTERVAL=5D"), "")</f>
        <v>#N/A N/A</v>
      </c>
      <c r="Z1153" cm="1">
        <f t="array" ref="Z1153">_xll.BDP(B1153, "CF_ACT_CASH_PAID_FOR_INT_DEBT")</f>
        <v>168.411</v>
      </c>
      <c r="AA1153" t="str" cm="1">
        <f t="array" ref="AA1153">_xll.BDP(B1153, "TYPE_OF_BOND")</f>
        <v>#N/A Field Not Applicable</v>
      </c>
    </row>
    <row r="1154" spans="1:27" x14ac:dyDescent="0.25">
      <c r="A1154">
        <v>1152</v>
      </c>
      <c r="B1154" t="s">
        <v>1903</v>
      </c>
      <c r="C1154" s="4" t="s">
        <v>1890</v>
      </c>
      <c r="D1154" s="4">
        <v>269602963.32999998</v>
      </c>
      <c r="E1154" t="s">
        <v>11</v>
      </c>
      <c r="F1154" s="1">
        <v>46934</v>
      </c>
      <c r="G1154">
        <v>9.5348000000000006</v>
      </c>
      <c r="H1154" t="s">
        <v>13</v>
      </c>
      <c r="I1154" t="s">
        <v>2631</v>
      </c>
      <c r="J1154">
        <v>575</v>
      </c>
      <c r="L1154" t="s">
        <v>1168</v>
      </c>
      <c r="M1154" t="s">
        <v>10</v>
      </c>
      <c r="N1154" t="s">
        <v>16</v>
      </c>
      <c r="O1154" t="s">
        <v>3135</v>
      </c>
      <c r="P1154" t="s">
        <v>2629</v>
      </c>
      <c r="Q1154" t="s">
        <v>3205</v>
      </c>
      <c r="R1154" t="s">
        <v>1904</v>
      </c>
      <c r="S1154">
        <v>3000000</v>
      </c>
      <c r="T1154">
        <v>30</v>
      </c>
      <c r="U1154" s="6"/>
      <c r="V1154" t="s">
        <v>227</v>
      </c>
      <c r="W1154" t="s">
        <v>1892</v>
      </c>
      <c r="X1154" t="str">
        <f t="shared" si="17"/>
        <v>BL507094@TRAC Corp</v>
      </c>
      <c r="Y1154" t="str">
        <f>_xlfn.IFNA(_xll.BDP(X1154,"INTERVAL_SUM", "MARKET_DATA_OVERRIDE=px_volume", "CALC_INTERVAL=5D"), "")</f>
        <v>#N/A N/A</v>
      </c>
      <c r="Z1154" cm="1">
        <f t="array" ref="Z1154">_xll.BDP(B1154, "CF_ACT_CASH_PAID_FOR_INT_DEBT")</f>
        <v>168.411</v>
      </c>
      <c r="AA1154" t="str" cm="1">
        <f t="array" ref="AA1154">_xll.BDP(B1154, "TYPE_OF_BOND")</f>
        <v>#N/A Field Not Applicable</v>
      </c>
    </row>
    <row r="1155" spans="1:27" x14ac:dyDescent="0.25">
      <c r="A1155">
        <v>1153</v>
      </c>
      <c r="B1155" t="s">
        <v>1905</v>
      </c>
      <c r="C1155" s="4" t="s">
        <v>1890</v>
      </c>
      <c r="D1155" s="4">
        <v>7393381.984375</v>
      </c>
      <c r="E1155" t="s">
        <v>331</v>
      </c>
      <c r="F1155" s="1">
        <v>46387</v>
      </c>
      <c r="G1155">
        <v>9.75</v>
      </c>
      <c r="H1155" t="s">
        <v>64</v>
      </c>
      <c r="L1155" t="s">
        <v>1168</v>
      </c>
      <c r="M1155" t="s">
        <v>10</v>
      </c>
      <c r="N1155" t="s">
        <v>16</v>
      </c>
      <c r="O1155" t="s">
        <v>3135</v>
      </c>
      <c r="P1155" t="s">
        <v>2629</v>
      </c>
      <c r="Q1155" t="s">
        <v>3136</v>
      </c>
      <c r="R1155" t="s">
        <v>1906</v>
      </c>
      <c r="S1155">
        <v>72.766324999999995</v>
      </c>
      <c r="T1155">
        <v>41</v>
      </c>
      <c r="U1155" t="s">
        <v>1169</v>
      </c>
      <c r="W1155" t="s">
        <v>1892</v>
      </c>
      <c r="X1155" t="str">
        <f t="shared" ref="X1155:X1218" si="18">SUBSTITUTE(B1155," Corp","@TRAC Corp")</f>
        <v>PF100189 Pfd</v>
      </c>
      <c r="Y1155" t="str">
        <f>_xlfn.IFNA(_xll.BDP(X1155,"INTERVAL_SUM", "MARKET_DATA_OVERRIDE=px_volume", "CALC_INTERVAL=5D"), "")</f>
        <v>#N/A N/A</v>
      </c>
      <c r="Z1155" cm="1">
        <f t="array" ref="Z1155">_xll.BDP(B1155, "CF_ACT_CASH_PAID_FOR_INT_DEBT")</f>
        <v>168.411</v>
      </c>
      <c r="AA1155" t="str" cm="1">
        <f t="array" ref="AA1155">_xll.BDP(B1155, "TYPE_OF_BOND")</f>
        <v>#N/A Field Not Applicable</v>
      </c>
    </row>
    <row r="1156" spans="1:27" x14ac:dyDescent="0.25">
      <c r="A1156">
        <v>1154</v>
      </c>
      <c r="B1156" t="s">
        <v>1907</v>
      </c>
      <c r="C1156" s="4" t="s">
        <v>1890</v>
      </c>
      <c r="D1156" s="4">
        <v>7393381.984375</v>
      </c>
      <c r="E1156" t="s">
        <v>331</v>
      </c>
      <c r="F1156" s="1">
        <v>46387</v>
      </c>
      <c r="G1156">
        <v>9.75</v>
      </c>
      <c r="H1156" t="s">
        <v>64</v>
      </c>
      <c r="L1156" t="s">
        <v>1168</v>
      </c>
      <c r="M1156" t="s">
        <v>10</v>
      </c>
      <c r="N1156" t="s">
        <v>16</v>
      </c>
      <c r="O1156" t="s">
        <v>3135</v>
      </c>
      <c r="P1156" t="s">
        <v>2629</v>
      </c>
      <c r="Q1156" t="s">
        <v>3136</v>
      </c>
      <c r="R1156" t="s">
        <v>1906</v>
      </c>
      <c r="S1156">
        <v>76.566818749999996</v>
      </c>
      <c r="T1156">
        <v>41</v>
      </c>
      <c r="U1156" t="s">
        <v>1817</v>
      </c>
      <c r="W1156" t="s">
        <v>1892</v>
      </c>
      <c r="X1156" t="str">
        <f t="shared" si="18"/>
        <v>EP009143 Pfd</v>
      </c>
      <c r="Y1156" t="str">
        <f>_xlfn.IFNA(_xll.BDP(X1156,"INTERVAL_SUM", "MARKET_DATA_OVERRIDE=px_volume", "CALC_INTERVAL=5D"), "")</f>
        <v>#N/A N/A</v>
      </c>
      <c r="Z1156" cm="1">
        <f t="array" ref="Z1156">_xll.BDP(B1156, "CF_ACT_CASH_PAID_FOR_INT_DEBT")</f>
        <v>168.411</v>
      </c>
      <c r="AA1156" t="str" cm="1">
        <f t="array" ref="AA1156">_xll.BDP(B1156, "TYPE_OF_BOND")</f>
        <v>#N/A Field Not Applicable</v>
      </c>
    </row>
    <row r="1157" spans="1:27" x14ac:dyDescent="0.25">
      <c r="A1157">
        <v>1155</v>
      </c>
      <c r="B1157" t="s">
        <v>1908</v>
      </c>
      <c r="C1157" s="4" t="s">
        <v>1890</v>
      </c>
      <c r="D1157" s="4">
        <v>7370000</v>
      </c>
      <c r="E1157" t="s">
        <v>331</v>
      </c>
      <c r="F1157" s="1">
        <v>54742</v>
      </c>
      <c r="G1157">
        <v>0</v>
      </c>
      <c r="H1157" t="s">
        <v>64</v>
      </c>
      <c r="L1157" t="s">
        <v>1168</v>
      </c>
      <c r="M1157" t="s">
        <v>10</v>
      </c>
      <c r="N1157" t="s">
        <v>16</v>
      </c>
      <c r="O1157" t="s">
        <v>3135</v>
      </c>
      <c r="P1157" t="s">
        <v>2629</v>
      </c>
      <c r="Q1157" t="s">
        <v>3136</v>
      </c>
      <c r="R1157" t="s">
        <v>1909</v>
      </c>
      <c r="S1157">
        <v>4.8345542968749999</v>
      </c>
      <c r="T1157">
        <v>34</v>
      </c>
      <c r="W1157" t="s">
        <v>1892</v>
      </c>
      <c r="X1157" t="str">
        <f t="shared" si="18"/>
        <v>EP000445 Pfd</v>
      </c>
      <c r="Y1157" t="str">
        <f>_xlfn.IFNA(_xll.BDP(X1157,"INTERVAL_SUM", "MARKET_DATA_OVERRIDE=px_volume", "CALC_INTERVAL=5D"), "")</f>
        <v>#N/A N/A</v>
      </c>
      <c r="Z1157" cm="1">
        <f t="array" ref="Z1157">_xll.BDP(B1157, "CF_ACT_CASH_PAID_FOR_INT_DEBT")</f>
        <v>168.411</v>
      </c>
      <c r="AA1157" t="str" cm="1">
        <f t="array" ref="AA1157">_xll.BDP(B1157, "TYPE_OF_BOND")</f>
        <v>#N/A Field Not Applicable</v>
      </c>
    </row>
    <row r="1158" spans="1:27" x14ac:dyDescent="0.25">
      <c r="A1158">
        <v>1156</v>
      </c>
      <c r="B1158" t="s">
        <v>2327</v>
      </c>
      <c r="C1158" s="4" t="s">
        <v>2328</v>
      </c>
      <c r="D1158" s="4">
        <v>500000000</v>
      </c>
      <c r="E1158" t="s">
        <v>17</v>
      </c>
      <c r="F1158" s="1">
        <v>54697</v>
      </c>
      <c r="G1158">
        <v>4.5</v>
      </c>
      <c r="H1158" t="s">
        <v>9</v>
      </c>
      <c r="L1158" t="s">
        <v>1168</v>
      </c>
      <c r="M1158" t="s">
        <v>10</v>
      </c>
      <c r="N1158" t="s">
        <v>460</v>
      </c>
      <c r="O1158" t="s">
        <v>2655</v>
      </c>
      <c r="P1158" t="s">
        <v>2655</v>
      </c>
      <c r="Q1158" t="s">
        <v>3156</v>
      </c>
      <c r="R1158" t="s">
        <v>2329</v>
      </c>
      <c r="S1158">
        <v>16068265.601667101</v>
      </c>
      <c r="T1158">
        <v>31</v>
      </c>
      <c r="W1158" t="s">
        <v>2330</v>
      </c>
      <c r="X1158" t="str">
        <f t="shared" si="18"/>
        <v>ZR663785@TRAC Corp</v>
      </c>
      <c r="Y1158">
        <f>_xlfn.IFNA(_xll.BDP(X1158,"INTERVAL_SUM", "MARKET_DATA_OVERRIDE=px_volume", "CALC_INTERVAL=5D"), "")</f>
        <v>17739</v>
      </c>
      <c r="Z1158" cm="1">
        <f t="array" ref="Z1158">_xll.BDP(B1158, "CF_ACT_CASH_PAID_FOR_INT_DEBT")</f>
        <v>241.9</v>
      </c>
      <c r="AA1158" t="str" cm="1">
        <f t="array" ref="AA1158">_xll.BDP(B1158, "TYPE_OF_BOND")</f>
        <v>#N/A Field Not Applicable</v>
      </c>
    </row>
    <row r="1159" spans="1:27" x14ac:dyDescent="0.25">
      <c r="A1159">
        <v>1157</v>
      </c>
      <c r="B1159" t="s">
        <v>2331</v>
      </c>
      <c r="C1159" s="4" t="s">
        <v>2328</v>
      </c>
      <c r="D1159" s="4">
        <v>500000000</v>
      </c>
      <c r="E1159" s="1" t="s">
        <v>17</v>
      </c>
      <c r="F1159" s="1">
        <v>47392</v>
      </c>
      <c r="G1159">
        <v>3.45</v>
      </c>
      <c r="H1159" t="s">
        <v>9</v>
      </c>
      <c r="L1159" t="s">
        <v>1168</v>
      </c>
      <c r="M1159" t="s">
        <v>10</v>
      </c>
      <c r="N1159" t="s">
        <v>460</v>
      </c>
      <c r="O1159" t="s">
        <v>2655</v>
      </c>
      <c r="P1159" t="s">
        <v>2655</v>
      </c>
      <c r="Q1159" t="s">
        <v>3156</v>
      </c>
      <c r="R1159" t="s">
        <v>2332</v>
      </c>
      <c r="S1159">
        <v>6267429.8050807398</v>
      </c>
      <c r="T1159">
        <v>46</v>
      </c>
      <c r="W1159" t="s">
        <v>2330</v>
      </c>
      <c r="X1159" t="str">
        <f t="shared" si="18"/>
        <v>ZR663783@TRAC Corp</v>
      </c>
      <c r="Y1159">
        <f>_xlfn.IFNA(_xll.BDP(X1159,"INTERVAL_SUM", "MARKET_DATA_OVERRIDE=px_volume", "CALC_INTERVAL=5D"), "")</f>
        <v>9660</v>
      </c>
      <c r="Z1159" cm="1">
        <f t="array" ref="Z1159">_xll.BDP(B1159, "CF_ACT_CASH_PAID_FOR_INT_DEBT")</f>
        <v>241.9</v>
      </c>
      <c r="AA1159" t="str" cm="1">
        <f t="array" ref="AA1159">_xll.BDP(B1159, "TYPE_OF_BOND")</f>
        <v>#N/A Field Not Applicable</v>
      </c>
    </row>
    <row r="1160" spans="1:27" x14ac:dyDescent="0.25">
      <c r="A1160">
        <v>1158</v>
      </c>
      <c r="B1160" t="s">
        <v>2333</v>
      </c>
      <c r="C1160" s="4" t="s">
        <v>2328</v>
      </c>
      <c r="D1160" s="4">
        <v>500000000</v>
      </c>
      <c r="E1160" s="1" t="s">
        <v>17</v>
      </c>
      <c r="F1160" s="1">
        <v>56022</v>
      </c>
      <c r="G1160">
        <v>6.375</v>
      </c>
      <c r="H1160" t="s">
        <v>9</v>
      </c>
      <c r="L1160" t="s">
        <v>1168</v>
      </c>
      <c r="M1160" t="s">
        <v>10</v>
      </c>
      <c r="N1160" t="s">
        <v>460</v>
      </c>
      <c r="O1160" t="s">
        <v>2655</v>
      </c>
      <c r="P1160" t="s">
        <v>2655</v>
      </c>
      <c r="Q1160" t="s">
        <v>3156</v>
      </c>
      <c r="R1160" t="s">
        <v>2334</v>
      </c>
      <c r="S1160">
        <v>15533714.407851901</v>
      </c>
      <c r="T1160">
        <v>33</v>
      </c>
      <c r="W1160" t="s">
        <v>2330</v>
      </c>
      <c r="X1160" t="str">
        <f t="shared" si="18"/>
        <v>ZK661623@TRAC Corp</v>
      </c>
      <c r="Y1160">
        <f>_xlfn.IFNA(_xll.BDP(X1160,"INTERVAL_SUM", "MARKET_DATA_OVERRIDE=px_volume", "CALC_INTERVAL=5D"), "")</f>
        <v>10375</v>
      </c>
      <c r="Z1160" cm="1">
        <f t="array" ref="Z1160">_xll.BDP(B1160, "CF_ACT_CASH_PAID_FOR_INT_DEBT")</f>
        <v>241.9</v>
      </c>
      <c r="AA1160" t="str" cm="1">
        <f t="array" ref="AA1160">_xll.BDP(B1160, "TYPE_OF_BOND")</f>
        <v>#N/A Field Not Applicable</v>
      </c>
    </row>
    <row r="1161" spans="1:27" x14ac:dyDescent="0.25">
      <c r="A1161">
        <v>1159</v>
      </c>
      <c r="B1161" t="s">
        <v>2335</v>
      </c>
      <c r="C1161" s="4" t="s">
        <v>2328</v>
      </c>
      <c r="D1161" s="4">
        <v>500000000</v>
      </c>
      <c r="E1161" s="1" t="s">
        <v>17</v>
      </c>
      <c r="F1161" s="1">
        <v>48717</v>
      </c>
      <c r="G1161">
        <v>5.65</v>
      </c>
      <c r="H1161" t="s">
        <v>9</v>
      </c>
      <c r="L1161" t="s">
        <v>1168</v>
      </c>
      <c r="M1161" t="s">
        <v>10</v>
      </c>
      <c r="N1161" t="s">
        <v>460</v>
      </c>
      <c r="O1161" t="s">
        <v>2655</v>
      </c>
      <c r="P1161" t="s">
        <v>2655</v>
      </c>
      <c r="Q1161" t="s">
        <v>3156</v>
      </c>
      <c r="R1161" t="s">
        <v>2336</v>
      </c>
      <c r="S1161">
        <v>12786767.038381699</v>
      </c>
      <c r="T1161">
        <v>49</v>
      </c>
      <c r="W1161" t="s">
        <v>2330</v>
      </c>
      <c r="X1161" t="str">
        <f t="shared" si="18"/>
        <v>ZK661622@TRAC Corp</v>
      </c>
      <c r="Y1161">
        <f>_xlfn.IFNA(_xll.BDP(X1161,"INTERVAL_SUM", "MARKET_DATA_OVERRIDE=px_volume", "CALC_INTERVAL=5D"), "")</f>
        <v>12764</v>
      </c>
      <c r="Z1161" cm="1">
        <f t="array" ref="Z1161">_xll.BDP(B1161, "CF_ACT_CASH_PAID_FOR_INT_DEBT")</f>
        <v>241.9</v>
      </c>
      <c r="AA1161" t="str" cm="1">
        <f t="array" ref="AA1161">_xll.BDP(B1161, "TYPE_OF_BOND")</f>
        <v>#N/A Field Not Applicable</v>
      </c>
    </row>
    <row r="1162" spans="1:27" x14ac:dyDescent="0.25">
      <c r="A1162">
        <v>1160</v>
      </c>
      <c r="B1162" t="s">
        <v>2337</v>
      </c>
      <c r="C1162" s="4" t="s">
        <v>2328</v>
      </c>
      <c r="D1162" s="4">
        <v>750000000</v>
      </c>
      <c r="E1162" s="1" t="s">
        <v>8</v>
      </c>
      <c r="F1162" s="1">
        <v>56919</v>
      </c>
      <c r="G1162">
        <v>8.4499999999999993</v>
      </c>
      <c r="H1162" t="s">
        <v>1162</v>
      </c>
      <c r="I1162" t="s">
        <v>2697</v>
      </c>
      <c r="L1162" t="s">
        <v>1168</v>
      </c>
      <c r="M1162" t="s">
        <v>10</v>
      </c>
      <c r="N1162" t="s">
        <v>460</v>
      </c>
      <c r="O1162" t="s">
        <v>2655</v>
      </c>
      <c r="P1162" t="s">
        <v>2655</v>
      </c>
      <c r="Q1162" t="s">
        <v>3156</v>
      </c>
      <c r="R1162" t="s">
        <v>2338</v>
      </c>
      <c r="S1162">
        <v>24838195.4168722</v>
      </c>
      <c r="T1162">
        <v>37</v>
      </c>
      <c r="W1162" t="s">
        <v>2330</v>
      </c>
      <c r="X1162" t="str">
        <f t="shared" si="18"/>
        <v>YO679552@TRAC Corp</v>
      </c>
      <c r="Y1162">
        <f>_xlfn.IFNA(_xll.BDP(X1162,"INTERVAL_SUM", "MARKET_DATA_OVERRIDE=px_volume", "CALC_INTERVAL=5D"), "")</f>
        <v>8709</v>
      </c>
      <c r="Z1162" cm="1">
        <f t="array" ref="Z1162">_xll.BDP(B1162, "CF_ACT_CASH_PAID_FOR_INT_DEBT")</f>
        <v>241.9</v>
      </c>
      <c r="AA1162" t="str" cm="1">
        <f t="array" ref="AA1162">_xll.BDP(B1162, "TYPE_OF_BOND")</f>
        <v>Hybrid</v>
      </c>
    </row>
    <row r="1163" spans="1:27" x14ac:dyDescent="0.25">
      <c r="A1163">
        <v>1161</v>
      </c>
      <c r="B1163" t="s">
        <v>2339</v>
      </c>
      <c r="C1163" s="4" t="s">
        <v>2328</v>
      </c>
      <c r="D1163" s="4">
        <v>1200000000</v>
      </c>
      <c r="E1163" s="1" t="s">
        <v>11</v>
      </c>
      <c r="F1163" s="1">
        <v>48000</v>
      </c>
      <c r="G1163">
        <v>8</v>
      </c>
      <c r="H1163" t="s">
        <v>9</v>
      </c>
      <c r="L1163" t="s">
        <v>1168</v>
      </c>
      <c r="M1163" t="s">
        <v>10</v>
      </c>
      <c r="N1163" t="s">
        <v>460</v>
      </c>
      <c r="O1163" t="s">
        <v>2655</v>
      </c>
      <c r="P1163" t="s">
        <v>2655</v>
      </c>
      <c r="Q1163" t="s">
        <v>3156</v>
      </c>
      <c r="R1163" t="s">
        <v>2340</v>
      </c>
      <c r="S1163">
        <v>19868970.495993</v>
      </c>
      <c r="T1163">
        <v>53</v>
      </c>
      <c r="U1163" t="s">
        <v>1169</v>
      </c>
      <c r="W1163" t="s">
        <v>2330</v>
      </c>
      <c r="X1163" t="str">
        <f t="shared" si="18"/>
        <v>DK916705@TRAC Corp</v>
      </c>
      <c r="Y1163">
        <f>_xlfn.IFNA(_xll.BDP(X1163,"INTERVAL_SUM", "MARKET_DATA_OVERRIDE=px_volume", "CALC_INTERVAL=5D"), "")</f>
        <v>61547</v>
      </c>
      <c r="Z1163" cm="1">
        <f t="array" ref="Z1163">_xll.BDP(B1163, "CF_ACT_CASH_PAID_FOR_INT_DEBT")</f>
        <v>241.9</v>
      </c>
      <c r="AA1163" t="str" cm="1">
        <f t="array" ref="AA1163">_xll.BDP(B1163, "TYPE_OF_BOND")</f>
        <v>#N/A Field Not Applicable</v>
      </c>
    </row>
    <row r="1164" spans="1:27" x14ac:dyDescent="0.25">
      <c r="A1164">
        <v>1162</v>
      </c>
      <c r="B1164" t="s">
        <v>2341</v>
      </c>
      <c r="C1164" s="4" t="s">
        <v>2328</v>
      </c>
      <c r="D1164" s="4">
        <v>1109500000</v>
      </c>
      <c r="E1164" s="1" t="s">
        <v>11</v>
      </c>
      <c r="F1164" s="1">
        <v>46924</v>
      </c>
      <c r="G1164">
        <v>4.8689</v>
      </c>
      <c r="H1164" t="s">
        <v>13</v>
      </c>
      <c r="I1164" t="s">
        <v>2631</v>
      </c>
      <c r="J1164">
        <v>112.5</v>
      </c>
      <c r="L1164" t="s">
        <v>1168</v>
      </c>
      <c r="M1164" t="s">
        <v>10</v>
      </c>
      <c r="N1164" t="s">
        <v>460</v>
      </c>
      <c r="O1164" t="s">
        <v>2655</v>
      </c>
      <c r="P1164" t="s">
        <v>2655</v>
      </c>
      <c r="Q1164" t="s">
        <v>3156</v>
      </c>
      <c r="R1164" t="s">
        <v>2342</v>
      </c>
      <c r="V1164" t="s">
        <v>226</v>
      </c>
      <c r="W1164" t="s">
        <v>2330</v>
      </c>
      <c r="X1164" t="str">
        <f t="shared" si="18"/>
        <v>BL833805@TRAC Corp</v>
      </c>
      <c r="Y1164" t="str">
        <f>_xlfn.IFNA(_xll.BDP(X1164,"INTERVAL_SUM", "MARKET_DATA_OVERRIDE=px_volume", "CALC_INTERVAL=5D"), "")</f>
        <v>#N/A N/A</v>
      </c>
      <c r="Z1164" cm="1">
        <f t="array" ref="Z1164">_xll.BDP(B1164, "CF_ACT_CASH_PAID_FOR_INT_DEBT")</f>
        <v>241.9</v>
      </c>
      <c r="AA1164" t="str" cm="1">
        <f t="array" ref="AA1164">_xll.BDP(B1164, "TYPE_OF_BOND")</f>
        <v>#N/A Field Not Applicable</v>
      </c>
    </row>
    <row r="1165" spans="1:27" x14ac:dyDescent="0.25">
      <c r="A1165">
        <v>1163</v>
      </c>
      <c r="B1165" t="s">
        <v>2310</v>
      </c>
      <c r="C1165" s="4" t="s">
        <v>2311</v>
      </c>
      <c r="D1165" s="4">
        <v>750000000</v>
      </c>
      <c r="E1165" t="s">
        <v>33</v>
      </c>
      <c r="F1165" s="1">
        <v>49018</v>
      </c>
      <c r="G1165">
        <v>11</v>
      </c>
      <c r="H1165" t="s">
        <v>9</v>
      </c>
      <c r="L1165" t="s">
        <v>1168</v>
      </c>
      <c r="M1165" t="s">
        <v>10</v>
      </c>
      <c r="N1165" t="s">
        <v>36</v>
      </c>
      <c r="O1165" t="s">
        <v>3118</v>
      </c>
      <c r="P1165" t="s">
        <v>2640</v>
      </c>
      <c r="Q1165" t="s">
        <v>3245</v>
      </c>
      <c r="R1165" t="s">
        <v>2312</v>
      </c>
      <c r="S1165">
        <v>9182597.26712594</v>
      </c>
      <c r="T1165">
        <v>31</v>
      </c>
      <c r="U1165" t="s">
        <v>1169</v>
      </c>
      <c r="W1165" t="s">
        <v>457</v>
      </c>
      <c r="X1165" t="str">
        <f t="shared" si="18"/>
        <v>DF618868@TRAC Corp</v>
      </c>
      <c r="Y1165">
        <f>_xlfn.IFNA(_xll.BDP(X1165,"INTERVAL_SUM", "MARKET_DATA_OVERRIDE=px_volume", "CALC_INTERVAL=5D"), "")</f>
        <v>37980</v>
      </c>
      <c r="Z1165" cm="1">
        <f t="array" ref="Z1165">_xll.BDP(B1165, "CF_ACT_CASH_PAID_FOR_INT_DEBT")</f>
        <v>142</v>
      </c>
      <c r="AA1165" t="str" cm="1">
        <f t="array" ref="AA1165">_xll.BDP(B1165, "TYPE_OF_BOND")</f>
        <v>#N/A Field Not Applicable</v>
      </c>
    </row>
    <row r="1166" spans="1:27" x14ac:dyDescent="0.25">
      <c r="A1166">
        <v>1164</v>
      </c>
      <c r="B1166" t="s">
        <v>2313</v>
      </c>
      <c r="C1166" s="4" t="s">
        <v>2311</v>
      </c>
      <c r="D1166" s="4">
        <v>2000000000</v>
      </c>
      <c r="E1166" t="s">
        <v>11</v>
      </c>
      <c r="F1166" s="1">
        <v>48653</v>
      </c>
      <c r="G1166">
        <v>8.5</v>
      </c>
      <c r="H1166" t="s">
        <v>9</v>
      </c>
      <c r="L1166" t="s">
        <v>1168</v>
      </c>
      <c r="M1166" t="s">
        <v>10</v>
      </c>
      <c r="N1166" t="s">
        <v>36</v>
      </c>
      <c r="O1166" t="s">
        <v>3118</v>
      </c>
      <c r="P1166" t="s">
        <v>2640</v>
      </c>
      <c r="Q1166" t="s">
        <v>3245</v>
      </c>
      <c r="R1166" t="s">
        <v>2314</v>
      </c>
      <c r="S1166">
        <v>12858370.7250762</v>
      </c>
      <c r="T1166">
        <v>46</v>
      </c>
      <c r="U1166" t="s">
        <v>1169</v>
      </c>
      <c r="W1166" t="s">
        <v>457</v>
      </c>
      <c r="X1166" t="str">
        <f t="shared" si="18"/>
        <v>DF616786@TRAC Corp</v>
      </c>
      <c r="Y1166">
        <f>_xlfn.IFNA(_xll.BDP(X1166,"INTERVAL_SUM", "MARKET_DATA_OVERRIDE=px_volume", "CALC_INTERVAL=5D"), "")</f>
        <v>24646</v>
      </c>
      <c r="Z1166" cm="1">
        <f t="array" ref="Z1166">_xll.BDP(B1166, "CF_ACT_CASH_PAID_FOR_INT_DEBT")</f>
        <v>142</v>
      </c>
      <c r="AA1166" t="str" cm="1">
        <f t="array" ref="AA1166">_xll.BDP(B1166, "TYPE_OF_BOND")</f>
        <v>#N/A Field Not Applicable</v>
      </c>
    </row>
    <row r="1167" spans="1:27" x14ac:dyDescent="0.25">
      <c r="A1167">
        <v>1165</v>
      </c>
      <c r="B1167" t="s">
        <v>2315</v>
      </c>
      <c r="C1167" s="4" t="s">
        <v>2311</v>
      </c>
      <c r="D1167" s="4">
        <v>1000000000</v>
      </c>
      <c r="E1167" t="s">
        <v>11</v>
      </c>
      <c r="F1167" s="1">
        <v>48645</v>
      </c>
      <c r="G1167">
        <v>8.6517999999999997</v>
      </c>
      <c r="H1167" t="s">
        <v>13</v>
      </c>
      <c r="I1167" t="s">
        <v>2635</v>
      </c>
      <c r="J1167">
        <v>500</v>
      </c>
      <c r="L1167" t="s">
        <v>1168</v>
      </c>
      <c r="M1167" t="s">
        <v>10</v>
      </c>
      <c r="N1167" t="s">
        <v>36</v>
      </c>
      <c r="O1167" t="s">
        <v>3118</v>
      </c>
      <c r="P1167" t="s">
        <v>2640</v>
      </c>
      <c r="Q1167" t="s">
        <v>3245</v>
      </c>
      <c r="R1167" t="s">
        <v>2316</v>
      </c>
      <c r="S1167">
        <v>3000000</v>
      </c>
      <c r="T1167">
        <v>34</v>
      </c>
      <c r="V1167" t="s">
        <v>227</v>
      </c>
      <c r="W1167" t="s">
        <v>457</v>
      </c>
      <c r="X1167" t="str">
        <f t="shared" si="18"/>
        <v>BL556149@TRAC Corp</v>
      </c>
      <c r="Y1167" t="str">
        <f>_xlfn.IFNA(_xll.BDP(X1167,"INTERVAL_SUM", "MARKET_DATA_OVERRIDE=px_volume", "CALC_INTERVAL=5D"), "")</f>
        <v>#N/A N/A</v>
      </c>
      <c r="Z1167" cm="1">
        <f t="array" ref="Z1167">_xll.BDP(B1167, "CF_ACT_CASH_PAID_FOR_INT_DEBT")</f>
        <v>142</v>
      </c>
      <c r="AA1167" t="str" cm="1">
        <f t="array" ref="AA1167">_xll.BDP(B1167, "TYPE_OF_BOND")</f>
        <v>#N/A Field Not Applicable</v>
      </c>
    </row>
    <row r="1168" spans="1:27" x14ac:dyDescent="0.25">
      <c r="A1168">
        <v>1166</v>
      </c>
      <c r="B1168" t="s">
        <v>3627</v>
      </c>
      <c r="C1168" s="4" t="s">
        <v>3628</v>
      </c>
      <c r="D1168" s="4">
        <v>150000000</v>
      </c>
      <c r="E1168" s="1" t="s">
        <v>33</v>
      </c>
      <c r="F1168" s="1">
        <v>48193</v>
      </c>
      <c r="G1168">
        <v>8.6753</v>
      </c>
      <c r="H1168" t="s">
        <v>13</v>
      </c>
      <c r="I1168" t="s">
        <v>2631</v>
      </c>
      <c r="J1168">
        <v>500</v>
      </c>
      <c r="L1168" t="s">
        <v>1168</v>
      </c>
      <c r="M1168" t="s">
        <v>10</v>
      </c>
      <c r="N1168" t="s">
        <v>1149</v>
      </c>
      <c r="O1168" t="s">
        <v>3206</v>
      </c>
      <c r="P1168" t="s">
        <v>2693</v>
      </c>
      <c r="Q1168" t="s">
        <v>3270</v>
      </c>
      <c r="R1168" t="s">
        <v>3629</v>
      </c>
      <c r="S1168">
        <v>2681593.0346746598</v>
      </c>
      <c r="T1168">
        <v>5</v>
      </c>
      <c r="V1168" t="s">
        <v>227</v>
      </c>
      <c r="W1168" t="s">
        <v>2347</v>
      </c>
      <c r="X1168" t="str">
        <f t="shared" si="18"/>
        <v>BL483208@TRAC Corp</v>
      </c>
      <c r="Y1168" t="str">
        <f>_xlfn.IFNA(_xll.BDP(X1168,"INTERVAL_SUM", "MARKET_DATA_OVERRIDE=px_volume", "CALC_INTERVAL=5D"), "")</f>
        <v>#N/A N/A</v>
      </c>
      <c r="Z1168" t="str" cm="1">
        <f t="array" ref="Z1168">_xll.BDP(B1168, "CF_ACT_CASH_PAID_FOR_INT_DEBT")</f>
        <v>#N/A N/A</v>
      </c>
      <c r="AA1168" t="str" cm="1">
        <f t="array" ref="AA1168">_xll.BDP(B1168, "TYPE_OF_BOND")</f>
        <v>#N/A Field Not Applicable</v>
      </c>
    </row>
    <row r="1169" spans="1:27" x14ac:dyDescent="0.25">
      <c r="A1169">
        <v>1167</v>
      </c>
      <c r="B1169" t="s">
        <v>3630</v>
      </c>
      <c r="C1169" s="4" t="s">
        <v>3628</v>
      </c>
      <c r="D1169" s="4">
        <v>732000000</v>
      </c>
      <c r="E1169" s="1" t="s">
        <v>11</v>
      </c>
      <c r="F1169" s="1">
        <v>48155</v>
      </c>
      <c r="G1169">
        <v>8.6753</v>
      </c>
      <c r="H1169" t="s">
        <v>13</v>
      </c>
      <c r="I1169" t="s">
        <v>2631</v>
      </c>
      <c r="J1169">
        <v>500</v>
      </c>
      <c r="L1169" t="s">
        <v>1168</v>
      </c>
      <c r="M1169" t="s">
        <v>10</v>
      </c>
      <c r="N1169" t="s">
        <v>1149</v>
      </c>
      <c r="O1169" t="s">
        <v>3206</v>
      </c>
      <c r="P1169" t="s">
        <v>2693</v>
      </c>
      <c r="Q1169" t="s">
        <v>3270</v>
      </c>
      <c r="R1169" t="s">
        <v>3631</v>
      </c>
      <c r="S1169">
        <v>5000000</v>
      </c>
      <c r="T1169">
        <v>3</v>
      </c>
      <c r="V1169" t="s">
        <v>227</v>
      </c>
      <c r="W1169" t="s">
        <v>2347</v>
      </c>
      <c r="X1169" t="str">
        <f t="shared" si="18"/>
        <v>BL482170@TRAC Corp</v>
      </c>
      <c r="Y1169" t="str">
        <f>_xlfn.IFNA(_xll.BDP(X1169,"INTERVAL_SUM", "MARKET_DATA_OVERRIDE=px_volume", "CALC_INTERVAL=5D"), "")</f>
        <v>#N/A N/A</v>
      </c>
      <c r="Z1169" t="str" cm="1">
        <f t="array" ref="Z1169">_xll.BDP(B1169, "CF_ACT_CASH_PAID_FOR_INT_DEBT")</f>
        <v>#N/A N/A</v>
      </c>
      <c r="AA1169" t="str" cm="1">
        <f t="array" ref="AA1169">_xll.BDP(B1169, "TYPE_OF_BOND")</f>
        <v>#N/A Field Not Applicable</v>
      </c>
    </row>
    <row r="1170" spans="1:27" x14ac:dyDescent="0.25">
      <c r="A1170">
        <v>1168</v>
      </c>
      <c r="B1170" t="s">
        <v>3632</v>
      </c>
      <c r="C1170" s="4" t="s">
        <v>3628</v>
      </c>
      <c r="D1170" s="4">
        <v>96000000</v>
      </c>
      <c r="E1170" s="1" t="s">
        <v>11</v>
      </c>
      <c r="F1170" s="1">
        <v>47423</v>
      </c>
      <c r="H1170" t="s">
        <v>13</v>
      </c>
      <c r="L1170" t="s">
        <v>1168</v>
      </c>
      <c r="M1170" t="s">
        <v>10</v>
      </c>
      <c r="N1170" t="s">
        <v>1149</v>
      </c>
      <c r="O1170" t="s">
        <v>3206</v>
      </c>
      <c r="P1170" t="s">
        <v>2693</v>
      </c>
      <c r="Q1170" t="s">
        <v>3270</v>
      </c>
      <c r="R1170" t="s">
        <v>3633</v>
      </c>
      <c r="V1170" t="s">
        <v>945</v>
      </c>
      <c r="W1170" t="s">
        <v>2347</v>
      </c>
      <c r="X1170" t="str">
        <f t="shared" si="18"/>
        <v>BL480746@TRAC Corp</v>
      </c>
      <c r="Y1170" t="str">
        <f>_xlfn.IFNA(_xll.BDP(X1170,"INTERVAL_SUM", "MARKET_DATA_OVERRIDE=px_volume", "CALC_INTERVAL=5D"), "")</f>
        <v>#N/A N/A</v>
      </c>
      <c r="Z1170" t="str" cm="1">
        <f t="array" ref="Z1170">_xll.BDP(B1170, "CF_ACT_CASH_PAID_FOR_INT_DEBT")</f>
        <v>#N/A N/A</v>
      </c>
      <c r="AA1170" t="str" cm="1">
        <f t="array" ref="AA1170">_xll.BDP(B1170, "TYPE_OF_BOND")</f>
        <v>#N/A Field Not Applicable</v>
      </c>
    </row>
    <row r="1171" spans="1:27" x14ac:dyDescent="0.25">
      <c r="A1171">
        <v>1169</v>
      </c>
      <c r="B1171" t="s">
        <v>2343</v>
      </c>
      <c r="C1171" s="4" t="s">
        <v>2344</v>
      </c>
      <c r="D1171" s="4">
        <v>731762500</v>
      </c>
      <c r="E1171" t="s">
        <v>11</v>
      </c>
      <c r="F1171" s="1">
        <v>47140</v>
      </c>
      <c r="G1171">
        <v>8.827</v>
      </c>
      <c r="H1171" t="s">
        <v>13</v>
      </c>
      <c r="I1171" t="s">
        <v>2635</v>
      </c>
      <c r="J1171">
        <v>500</v>
      </c>
      <c r="L1171" t="s">
        <v>1168</v>
      </c>
      <c r="M1171" t="s">
        <v>10</v>
      </c>
      <c r="N1171" t="s">
        <v>36</v>
      </c>
      <c r="O1171" t="s">
        <v>3113</v>
      </c>
      <c r="P1171" t="s">
        <v>2639</v>
      </c>
      <c r="Q1171" t="s">
        <v>3246</v>
      </c>
      <c r="R1171" t="s">
        <v>2345</v>
      </c>
      <c r="S1171">
        <v>1000000</v>
      </c>
      <c r="T1171">
        <v>6</v>
      </c>
      <c r="V1171" t="s">
        <v>227</v>
      </c>
      <c r="W1171" t="s">
        <v>2346</v>
      </c>
      <c r="X1171" t="str">
        <f t="shared" si="18"/>
        <v>BL383410@TRAC Corp</v>
      </c>
      <c r="Y1171" t="str">
        <f>_xlfn.IFNA(_xll.BDP(X1171,"INTERVAL_SUM", "MARKET_DATA_OVERRIDE=px_volume", "CALC_INTERVAL=5D"), "")</f>
        <v>#N/A N/A</v>
      </c>
      <c r="Z1171" t="str" cm="1">
        <f t="array" ref="Z1171">_xll.BDP(B1171, "CF_ACT_CASH_PAID_FOR_INT_DEBT")</f>
        <v>#N/A N/A</v>
      </c>
      <c r="AA1171" t="str" cm="1">
        <f t="array" ref="AA1171">_xll.BDP(B1171, "TYPE_OF_BOND")</f>
        <v>#N/A Field Not Applicable</v>
      </c>
    </row>
    <row r="1172" spans="1:27" x14ac:dyDescent="0.25">
      <c r="A1172">
        <v>1170</v>
      </c>
      <c r="B1172" t="s">
        <v>2348</v>
      </c>
      <c r="C1172" s="4" t="s">
        <v>2349</v>
      </c>
      <c r="D1172" s="4">
        <v>6253601</v>
      </c>
      <c r="E1172" t="s">
        <v>11</v>
      </c>
      <c r="F1172" s="1">
        <v>47470</v>
      </c>
      <c r="G1172">
        <v>8.6439000000000004</v>
      </c>
      <c r="H1172" t="s">
        <v>13</v>
      </c>
      <c r="I1172" t="s">
        <v>2631</v>
      </c>
      <c r="J1172">
        <v>500</v>
      </c>
      <c r="L1172" t="s">
        <v>1168</v>
      </c>
      <c r="M1172" t="s">
        <v>10</v>
      </c>
      <c r="N1172" t="s">
        <v>14</v>
      </c>
      <c r="O1172" t="s">
        <v>3120</v>
      </c>
      <c r="R1172" t="s">
        <v>2350</v>
      </c>
      <c r="V1172" t="s">
        <v>327</v>
      </c>
      <c r="W1172" t="s">
        <v>2351</v>
      </c>
      <c r="X1172" t="str">
        <f t="shared" si="18"/>
        <v>BL553047@TRAC Corp</v>
      </c>
      <c r="Y1172" t="str">
        <f>_xlfn.IFNA(_xll.BDP(X1172,"INTERVAL_SUM", "MARKET_DATA_OVERRIDE=px_volume", "CALC_INTERVAL=5D"), "")</f>
        <v>#N/A N/A</v>
      </c>
      <c r="Z1172" t="str" cm="1">
        <f t="array" ref="Z1172">_xll.BDP(B1172, "CF_ACT_CASH_PAID_FOR_INT_DEBT")</f>
        <v>#N/A N/A</v>
      </c>
      <c r="AA1172" t="str" cm="1">
        <f t="array" ref="AA1172">_xll.BDP(B1172, "TYPE_OF_BOND")</f>
        <v>#N/A Field Not Applicable</v>
      </c>
    </row>
    <row r="1173" spans="1:27" x14ac:dyDescent="0.25">
      <c r="A1173">
        <v>1171</v>
      </c>
      <c r="B1173" t="s">
        <v>2352</v>
      </c>
      <c r="C1173" s="4" t="s">
        <v>2349</v>
      </c>
      <c r="D1173" s="4">
        <v>154989328</v>
      </c>
      <c r="E1173" t="s">
        <v>11</v>
      </c>
      <c r="F1173" s="1">
        <v>47470</v>
      </c>
      <c r="G1173">
        <v>8.6439000000000004</v>
      </c>
      <c r="H1173" t="s">
        <v>13</v>
      </c>
      <c r="I1173" t="s">
        <v>2631</v>
      </c>
      <c r="J1173">
        <v>500</v>
      </c>
      <c r="L1173" t="s">
        <v>1168</v>
      </c>
      <c r="M1173" t="s">
        <v>10</v>
      </c>
      <c r="N1173" t="s">
        <v>14</v>
      </c>
      <c r="O1173" t="s">
        <v>3120</v>
      </c>
      <c r="R1173" t="s">
        <v>2353</v>
      </c>
      <c r="V1173" t="s">
        <v>227</v>
      </c>
      <c r="W1173" t="s">
        <v>2351</v>
      </c>
      <c r="X1173" t="str">
        <f t="shared" si="18"/>
        <v>BL553046@TRAC Corp</v>
      </c>
      <c r="Y1173" t="str">
        <f>_xlfn.IFNA(_xll.BDP(X1173,"INTERVAL_SUM", "MARKET_DATA_OVERRIDE=px_volume", "CALC_INTERVAL=5D"), "")</f>
        <v>#N/A N/A</v>
      </c>
      <c r="Z1173" t="str" cm="1">
        <f t="array" ref="Z1173">_xll.BDP(B1173, "CF_ACT_CASH_PAID_FOR_INT_DEBT")</f>
        <v>#N/A N/A</v>
      </c>
      <c r="AA1173" t="str" cm="1">
        <f t="array" ref="AA1173">_xll.BDP(B1173, "TYPE_OF_BOND")</f>
        <v>#N/A Field Not Applicable</v>
      </c>
    </row>
    <row r="1174" spans="1:27" x14ac:dyDescent="0.25">
      <c r="A1174">
        <v>1172</v>
      </c>
      <c r="B1174" t="s">
        <v>2354</v>
      </c>
      <c r="C1174" s="4" t="s">
        <v>2349</v>
      </c>
      <c r="D1174" s="4">
        <v>721000000</v>
      </c>
      <c r="E1174" t="s">
        <v>11</v>
      </c>
      <c r="F1174" s="1">
        <v>46922</v>
      </c>
      <c r="G1174">
        <v>10.7102</v>
      </c>
      <c r="H1174" t="s">
        <v>13</v>
      </c>
      <c r="I1174" t="s">
        <v>2652</v>
      </c>
      <c r="J1174">
        <v>575</v>
      </c>
      <c r="L1174" t="s">
        <v>1168</v>
      </c>
      <c r="M1174" t="s">
        <v>10</v>
      </c>
      <c r="N1174" t="s">
        <v>14</v>
      </c>
      <c r="O1174" t="s">
        <v>3120</v>
      </c>
      <c r="P1174" t="s">
        <v>2641</v>
      </c>
      <c r="Q1174" t="s">
        <v>3122</v>
      </c>
      <c r="R1174" t="s">
        <v>2353</v>
      </c>
      <c r="S1174">
        <v>3570027.5185618899</v>
      </c>
      <c r="T1174">
        <v>13</v>
      </c>
      <c r="V1174" t="s">
        <v>227</v>
      </c>
      <c r="W1174" t="s">
        <v>2351</v>
      </c>
      <c r="X1174" t="str">
        <f t="shared" si="18"/>
        <v>BL366395@TRAC Corp</v>
      </c>
      <c r="Y1174" t="str">
        <f>_xlfn.IFNA(_xll.BDP(X1174,"INTERVAL_SUM", "MARKET_DATA_OVERRIDE=px_volume", "CALC_INTERVAL=5D"), "")</f>
        <v>#N/A N/A</v>
      </c>
      <c r="Z1174" t="str" cm="1">
        <f t="array" ref="Z1174">_xll.BDP(B1174, "CF_ACT_CASH_PAID_FOR_INT_DEBT")</f>
        <v>#N/A N/A</v>
      </c>
      <c r="AA1174" t="str" cm="1">
        <f t="array" ref="AA1174">_xll.BDP(B1174, "TYPE_OF_BOND")</f>
        <v>#N/A Field Not Applicable</v>
      </c>
    </row>
    <row r="1175" spans="1:27" x14ac:dyDescent="0.25">
      <c r="A1175">
        <v>1173</v>
      </c>
      <c r="B1175" t="s">
        <v>2355</v>
      </c>
      <c r="C1175" s="4" t="s">
        <v>2349</v>
      </c>
      <c r="D1175" s="4">
        <v>162760000</v>
      </c>
      <c r="E1175" t="s">
        <v>11</v>
      </c>
      <c r="F1175" s="1">
        <v>47470</v>
      </c>
      <c r="G1175">
        <v>8.6439000000000004</v>
      </c>
      <c r="H1175" t="s">
        <v>13</v>
      </c>
      <c r="I1175" t="s">
        <v>2631</v>
      </c>
      <c r="J1175">
        <v>500</v>
      </c>
      <c r="L1175" t="s">
        <v>1168</v>
      </c>
      <c r="M1175" t="s">
        <v>10</v>
      </c>
      <c r="N1175" t="s">
        <v>14</v>
      </c>
      <c r="O1175" t="s">
        <v>3120</v>
      </c>
      <c r="R1175" t="s">
        <v>2353</v>
      </c>
      <c r="V1175" t="s">
        <v>227</v>
      </c>
      <c r="W1175" t="s">
        <v>2351</v>
      </c>
      <c r="X1175" t="str">
        <f t="shared" si="18"/>
        <v>BL10016S@TRAC Corp</v>
      </c>
      <c r="Y1175" t="str">
        <f>_xlfn.IFNA(_xll.BDP(X1175,"INTERVAL_SUM", "MARKET_DATA_OVERRIDE=px_volume", "CALC_INTERVAL=5D"), "")</f>
        <v>#N/A N/A</v>
      </c>
      <c r="Z1175" t="str" cm="1">
        <f t="array" ref="Z1175">_xll.BDP(B1175, "CF_ACT_CASH_PAID_FOR_INT_DEBT")</f>
        <v>#N/A N/A</v>
      </c>
      <c r="AA1175" t="str" cm="1">
        <f t="array" ref="AA1175">_xll.BDP(B1175, "TYPE_OF_BOND")</f>
        <v>#N/A Field Not Applicable</v>
      </c>
    </row>
    <row r="1176" spans="1:27" x14ac:dyDescent="0.25">
      <c r="A1176">
        <v>1174</v>
      </c>
      <c r="B1176" t="s">
        <v>2356</v>
      </c>
      <c r="C1176" s="4" t="s">
        <v>2357</v>
      </c>
      <c r="D1176" s="4">
        <v>700000000</v>
      </c>
      <c r="E1176" t="s">
        <v>12</v>
      </c>
      <c r="F1176" s="1">
        <v>47863</v>
      </c>
      <c r="G1176">
        <v>10.625</v>
      </c>
      <c r="H1176" t="s">
        <v>9</v>
      </c>
      <c r="L1176" t="s">
        <v>1168</v>
      </c>
      <c r="M1176" t="s">
        <v>10</v>
      </c>
      <c r="N1176" t="s">
        <v>15</v>
      </c>
      <c r="O1176" t="s">
        <v>3110</v>
      </c>
      <c r="P1176" t="s">
        <v>2634</v>
      </c>
      <c r="Q1176" t="s">
        <v>3114</v>
      </c>
      <c r="R1176" t="s">
        <v>2358</v>
      </c>
      <c r="S1176">
        <v>6499356.7066515302</v>
      </c>
      <c r="T1176">
        <v>22</v>
      </c>
      <c r="U1176" t="s">
        <v>1169</v>
      </c>
      <c r="W1176" t="s">
        <v>2359</v>
      </c>
      <c r="X1176" t="str">
        <f t="shared" si="18"/>
        <v>YN344424@TRAC Corp</v>
      </c>
      <c r="Y1176">
        <f>_xlfn.IFNA(_xll.BDP(X1176,"INTERVAL_SUM", "MARKET_DATA_OVERRIDE=px_volume", "CALC_INTERVAL=5D"), "")</f>
        <v>27786</v>
      </c>
      <c r="Z1176" cm="1">
        <f t="array" ref="Z1176">_xll.BDP(B1176, "CF_ACT_CASH_PAID_FOR_INT_DEBT")</f>
        <v>23.3</v>
      </c>
      <c r="AA1176" t="str" cm="1">
        <f t="array" ref="AA1176">_xll.BDP(B1176, "TYPE_OF_BOND")</f>
        <v>#N/A Field Not Applicable</v>
      </c>
    </row>
    <row r="1177" spans="1:27" x14ac:dyDescent="0.25">
      <c r="A1177">
        <v>1175</v>
      </c>
      <c r="B1177" t="s">
        <v>3248</v>
      </c>
      <c r="C1177" s="4" t="s">
        <v>3249</v>
      </c>
      <c r="D1177" s="4">
        <v>700000000</v>
      </c>
      <c r="E1177" t="s">
        <v>17</v>
      </c>
      <c r="F1177" s="1">
        <v>47467</v>
      </c>
      <c r="G1177">
        <v>10.5</v>
      </c>
      <c r="H1177" t="s">
        <v>9</v>
      </c>
      <c r="L1177" t="s">
        <v>1168</v>
      </c>
      <c r="M1177" t="s">
        <v>10</v>
      </c>
      <c r="N1177" t="s">
        <v>537</v>
      </c>
      <c r="O1177" t="s">
        <v>3160</v>
      </c>
      <c r="P1177" t="s">
        <v>2664</v>
      </c>
      <c r="Q1177" t="s">
        <v>3161</v>
      </c>
      <c r="R1177" t="s">
        <v>3250</v>
      </c>
      <c r="S1177">
        <v>9084821.1178344805</v>
      </c>
      <c r="T1177">
        <v>44</v>
      </c>
      <c r="U1177" t="s">
        <v>1169</v>
      </c>
      <c r="W1177" t="s">
        <v>3251</v>
      </c>
      <c r="X1177" t="str">
        <f t="shared" si="18"/>
        <v>YT718588@TRAC Corp</v>
      </c>
      <c r="Y1177">
        <f>_xlfn.IFNA(_xll.BDP(X1177,"INTERVAL_SUM", "MARKET_DATA_OVERRIDE=px_volume", "CALC_INTERVAL=5D"), "")</f>
        <v>10894</v>
      </c>
      <c r="Z1177" t="str" cm="1">
        <f t="array" ref="Z1177">_xll.BDP(B1177, "CF_ACT_CASH_PAID_FOR_INT_DEBT")</f>
        <v>#N/A N/A</v>
      </c>
      <c r="AA1177" t="str" cm="1">
        <f t="array" ref="AA1177">_xll.BDP(B1177, "TYPE_OF_BOND")</f>
        <v>#N/A Field Not Applicable</v>
      </c>
    </row>
    <row r="1178" spans="1:27" x14ac:dyDescent="0.25">
      <c r="A1178">
        <v>1176</v>
      </c>
      <c r="B1178" t="s">
        <v>3634</v>
      </c>
      <c r="C1178" s="4" t="s">
        <v>3635</v>
      </c>
      <c r="D1178" s="4">
        <v>700000000</v>
      </c>
      <c r="E1178" t="s">
        <v>11</v>
      </c>
      <c r="F1178" s="1">
        <v>46983</v>
      </c>
      <c r="G1178">
        <v>7.9114000000000004</v>
      </c>
      <c r="H1178" t="s">
        <v>13</v>
      </c>
      <c r="I1178" t="s">
        <v>2635</v>
      </c>
      <c r="J1178">
        <v>425</v>
      </c>
      <c r="L1178" t="s">
        <v>1168</v>
      </c>
      <c r="M1178" t="s">
        <v>10</v>
      </c>
      <c r="N1178" t="s">
        <v>333</v>
      </c>
      <c r="O1178" t="s">
        <v>3181</v>
      </c>
      <c r="P1178" t="s">
        <v>2655</v>
      </c>
      <c r="Q1178" t="s">
        <v>3156</v>
      </c>
      <c r="R1178" t="s">
        <v>3636</v>
      </c>
      <c r="S1178">
        <v>2000000</v>
      </c>
      <c r="T1178">
        <v>5</v>
      </c>
      <c r="V1178" t="s">
        <v>227</v>
      </c>
      <c r="W1178" t="s">
        <v>2360</v>
      </c>
      <c r="X1178" t="str">
        <f t="shared" si="18"/>
        <v>BL464902@TRAC Corp</v>
      </c>
      <c r="Y1178" t="str">
        <f>_xlfn.IFNA(_xll.BDP(X1178,"INTERVAL_SUM", "MARKET_DATA_OVERRIDE=px_volume", "CALC_INTERVAL=5D"), "")</f>
        <v>#N/A N/A</v>
      </c>
      <c r="Z1178" t="str" cm="1">
        <f t="array" ref="Z1178">_xll.BDP(B1178, "CF_ACT_CASH_PAID_FOR_INT_DEBT")</f>
        <v>#N/A N/A</v>
      </c>
      <c r="AA1178" t="str" cm="1">
        <f t="array" ref="AA1178">_xll.BDP(B1178, "TYPE_OF_BOND")</f>
        <v>#N/A Field Not Applicable</v>
      </c>
    </row>
    <row r="1179" spans="1:27" x14ac:dyDescent="0.25">
      <c r="A1179">
        <v>1177</v>
      </c>
      <c r="B1179" t="s">
        <v>2370</v>
      </c>
      <c r="C1179" s="4" t="s">
        <v>2371</v>
      </c>
      <c r="D1179" s="4">
        <v>666669560</v>
      </c>
      <c r="E1179" t="s">
        <v>17</v>
      </c>
      <c r="F1179" s="1">
        <v>48319</v>
      </c>
      <c r="G1179">
        <v>7.5</v>
      </c>
      <c r="H1179" t="s">
        <v>9</v>
      </c>
      <c r="L1179" t="s">
        <v>1168</v>
      </c>
      <c r="M1179" t="s">
        <v>10</v>
      </c>
      <c r="N1179" t="s">
        <v>36</v>
      </c>
      <c r="O1179" t="s">
        <v>3127</v>
      </c>
      <c r="P1179" t="s">
        <v>2646</v>
      </c>
      <c r="Q1179" t="s">
        <v>3128</v>
      </c>
      <c r="R1179" t="s">
        <v>2372</v>
      </c>
      <c r="S1179">
        <v>4507105.1283071702</v>
      </c>
      <c r="T1179">
        <v>28</v>
      </c>
      <c r="U1179" t="s">
        <v>1169</v>
      </c>
      <c r="W1179" t="s">
        <v>2373</v>
      </c>
      <c r="X1179" t="str">
        <f t="shared" si="18"/>
        <v>DI389955@TRAC Corp</v>
      </c>
      <c r="Y1179">
        <f>_xlfn.IFNA(_xll.BDP(X1179,"INTERVAL_SUM", "MARKET_DATA_OVERRIDE=px_volume", "CALC_INTERVAL=5D"), "")</f>
        <v>2394</v>
      </c>
      <c r="Z1179" t="str" cm="1">
        <f t="array" ref="Z1179">_xll.BDP(B1179, "CF_ACT_CASH_PAID_FOR_INT_DEBT")</f>
        <v>#N/A N/A</v>
      </c>
      <c r="AA1179" t="str" cm="1">
        <f t="array" ref="AA1179">_xll.BDP(B1179, "TYPE_OF_BOND")</f>
        <v>#N/A Field Not Applicable</v>
      </c>
    </row>
    <row r="1180" spans="1:27" x14ac:dyDescent="0.25">
      <c r="A1180">
        <v>1178</v>
      </c>
      <c r="B1180" t="s">
        <v>2374</v>
      </c>
      <c r="C1180" s="4" t="s">
        <v>2371</v>
      </c>
      <c r="D1180" s="4">
        <v>408326109.87</v>
      </c>
      <c r="E1180" t="s">
        <v>11</v>
      </c>
      <c r="F1180" s="1">
        <v>48130</v>
      </c>
      <c r="G1180">
        <v>7.1280000000000001</v>
      </c>
      <c r="H1180" t="s">
        <v>13</v>
      </c>
      <c r="I1180" t="s">
        <v>2636</v>
      </c>
      <c r="J1180">
        <v>475</v>
      </c>
      <c r="L1180" t="s">
        <v>1171</v>
      </c>
      <c r="M1180" t="s">
        <v>1501</v>
      </c>
      <c r="N1180" t="s">
        <v>36</v>
      </c>
      <c r="O1180" t="s">
        <v>3127</v>
      </c>
      <c r="P1180" t="s">
        <v>2646</v>
      </c>
      <c r="Q1180" t="s">
        <v>3128</v>
      </c>
      <c r="R1180" t="s">
        <v>2375</v>
      </c>
      <c r="S1180">
        <v>3232549.5435922202</v>
      </c>
      <c r="T1180">
        <v>36</v>
      </c>
      <c r="V1180" t="s">
        <v>227</v>
      </c>
      <c r="W1180" t="s">
        <v>2373</v>
      </c>
      <c r="X1180" t="str">
        <f t="shared" si="18"/>
        <v>BL566162@TRAC Corp</v>
      </c>
      <c r="Y1180" t="str">
        <f>_xlfn.IFNA(_xll.BDP(X1180,"INTERVAL_SUM", "MARKET_DATA_OVERRIDE=px_volume", "CALC_INTERVAL=5D"), "")</f>
        <v>#N/A N/A</v>
      </c>
      <c r="Z1180" cm="1">
        <f t="array" ref="Z1180">_xll.BDP(B1180, "CF_ACT_CASH_PAID_FOR_INT_DEBT")</f>
        <v>23.785</v>
      </c>
      <c r="AA1180" t="str" cm="1">
        <f t="array" ref="AA1180">_xll.BDP(B1180, "TYPE_OF_BOND")</f>
        <v>#N/A Field Not Applicable</v>
      </c>
    </row>
    <row r="1181" spans="1:27" x14ac:dyDescent="0.25">
      <c r="A1181">
        <v>1179</v>
      </c>
      <c r="B1181" t="s">
        <v>2376</v>
      </c>
      <c r="C1181" s="4" t="s">
        <v>2371</v>
      </c>
      <c r="D1181" s="4">
        <v>599667049.63999999</v>
      </c>
      <c r="E1181" t="s">
        <v>11</v>
      </c>
      <c r="F1181" s="1">
        <v>48130</v>
      </c>
      <c r="G1181">
        <v>7.1280000000000001</v>
      </c>
      <c r="H1181" t="s">
        <v>13</v>
      </c>
      <c r="I1181" t="s">
        <v>2636</v>
      </c>
      <c r="J1181">
        <v>475</v>
      </c>
      <c r="L1181" t="s">
        <v>1171</v>
      </c>
      <c r="M1181" t="s">
        <v>10</v>
      </c>
      <c r="N1181" t="s">
        <v>36</v>
      </c>
      <c r="O1181" t="s">
        <v>3127</v>
      </c>
      <c r="P1181" t="s">
        <v>2646</v>
      </c>
      <c r="Q1181" t="s">
        <v>3128</v>
      </c>
      <c r="R1181" t="s">
        <v>2375</v>
      </c>
      <c r="S1181">
        <v>2000000</v>
      </c>
      <c r="T1181">
        <v>8</v>
      </c>
      <c r="V1181" t="s">
        <v>227</v>
      </c>
      <c r="W1181" t="s">
        <v>2373</v>
      </c>
      <c r="X1181" t="str">
        <f t="shared" si="18"/>
        <v>BL559411@TRAC Corp</v>
      </c>
      <c r="Y1181" t="str">
        <f>_xlfn.IFNA(_xll.BDP(X1181,"INTERVAL_SUM", "MARKET_DATA_OVERRIDE=px_volume", "CALC_INTERVAL=5D"), "")</f>
        <v>#N/A N/A</v>
      </c>
      <c r="Z1181" t="str" cm="1">
        <f t="array" ref="Z1181">_xll.BDP(B1181, "CF_ACT_CASH_PAID_FOR_INT_DEBT")</f>
        <v>#N/A N/A</v>
      </c>
      <c r="AA1181" t="str" cm="1">
        <f t="array" ref="AA1181">_xll.BDP(B1181, "TYPE_OF_BOND")</f>
        <v>#N/A Field Not Applicable</v>
      </c>
    </row>
    <row r="1182" spans="1:27" x14ac:dyDescent="0.25">
      <c r="A1182">
        <v>1180</v>
      </c>
      <c r="B1182" t="s">
        <v>2377</v>
      </c>
      <c r="C1182" s="4" t="s">
        <v>2371</v>
      </c>
      <c r="D1182" s="4">
        <v>299953601</v>
      </c>
      <c r="E1182" t="s">
        <v>11</v>
      </c>
      <c r="F1182" s="1">
        <v>48130</v>
      </c>
      <c r="G1182">
        <v>8.6687999999999992</v>
      </c>
      <c r="H1182" t="s">
        <v>13</v>
      </c>
      <c r="I1182" t="s">
        <v>2631</v>
      </c>
      <c r="J1182">
        <v>500</v>
      </c>
      <c r="L1182" t="s">
        <v>1168</v>
      </c>
      <c r="M1182" t="s">
        <v>10</v>
      </c>
      <c r="N1182" t="s">
        <v>36</v>
      </c>
      <c r="O1182" t="s">
        <v>3127</v>
      </c>
      <c r="P1182" t="s">
        <v>2646</v>
      </c>
      <c r="Q1182" t="s">
        <v>3128</v>
      </c>
      <c r="R1182" t="s">
        <v>2378</v>
      </c>
      <c r="S1182">
        <v>3000000</v>
      </c>
      <c r="T1182">
        <v>33</v>
      </c>
      <c r="V1182" t="s">
        <v>227</v>
      </c>
      <c r="W1182" t="s">
        <v>2373</v>
      </c>
      <c r="X1182" t="str">
        <f t="shared" si="18"/>
        <v>BL559410@TRAC Corp</v>
      </c>
      <c r="Y1182" t="str">
        <f>_xlfn.IFNA(_xll.BDP(X1182,"INTERVAL_SUM", "MARKET_DATA_OVERRIDE=px_volume", "CALC_INTERVAL=5D"), "")</f>
        <v>#N/A N/A</v>
      </c>
      <c r="Z1182" t="str" cm="1">
        <f t="array" ref="Z1182">_xll.BDP(B1182, "CF_ACT_CASH_PAID_FOR_INT_DEBT")</f>
        <v>#N/A N/A</v>
      </c>
      <c r="AA1182" t="str" cm="1">
        <f t="array" ref="AA1182">_xll.BDP(B1182, "TYPE_OF_BOND")</f>
        <v>#N/A Field Not Applicable</v>
      </c>
    </row>
    <row r="1183" spans="1:27" x14ac:dyDescent="0.25">
      <c r="A1183">
        <v>1181</v>
      </c>
      <c r="B1183" t="s">
        <v>2379</v>
      </c>
      <c r="C1183" s="4" t="s">
        <v>2371</v>
      </c>
      <c r="D1183" s="4">
        <v>1040183010</v>
      </c>
      <c r="E1183" t="s">
        <v>11</v>
      </c>
      <c r="F1183" s="1">
        <v>48130</v>
      </c>
      <c r="G1183">
        <v>8.1687999999999992</v>
      </c>
      <c r="H1183" t="s">
        <v>13</v>
      </c>
      <c r="I1183" t="s">
        <v>2631</v>
      </c>
      <c r="J1183">
        <v>450</v>
      </c>
      <c r="L1183" t="s">
        <v>1168</v>
      </c>
      <c r="M1183" t="s">
        <v>10</v>
      </c>
      <c r="N1183" t="s">
        <v>36</v>
      </c>
      <c r="O1183" t="s">
        <v>3127</v>
      </c>
      <c r="P1183" t="s">
        <v>2646</v>
      </c>
      <c r="Q1183" t="s">
        <v>3128</v>
      </c>
      <c r="R1183" t="s">
        <v>2378</v>
      </c>
      <c r="S1183">
        <v>2000000</v>
      </c>
      <c r="T1183">
        <v>20</v>
      </c>
      <c r="V1183" t="s">
        <v>227</v>
      </c>
      <c r="W1183" t="s">
        <v>2373</v>
      </c>
      <c r="X1183" t="str">
        <f t="shared" si="18"/>
        <v>BL559408@TRAC Corp</v>
      </c>
      <c r="Y1183" t="str">
        <f>_xlfn.IFNA(_xll.BDP(X1183,"INTERVAL_SUM", "MARKET_DATA_OVERRIDE=px_volume", "CALC_INTERVAL=5D"), "")</f>
        <v>#N/A N/A</v>
      </c>
      <c r="Z1183" t="str" cm="1">
        <f t="array" ref="Z1183">_xll.BDP(B1183, "CF_ACT_CASH_PAID_FOR_INT_DEBT")</f>
        <v>#N/A N/A</v>
      </c>
      <c r="AA1183" t="str" cm="1">
        <f t="array" ref="AA1183">_xll.BDP(B1183, "TYPE_OF_BOND")</f>
        <v>#N/A Field Not Applicable</v>
      </c>
    </row>
    <row r="1184" spans="1:27" x14ac:dyDescent="0.25">
      <c r="A1184">
        <v>1182</v>
      </c>
      <c r="B1184" t="s">
        <v>2380</v>
      </c>
      <c r="C1184" s="4" t="s">
        <v>2371</v>
      </c>
      <c r="D1184" s="4">
        <v>187000000</v>
      </c>
      <c r="E1184" t="s">
        <v>11</v>
      </c>
      <c r="F1184" s="1">
        <v>46300</v>
      </c>
      <c r="H1184" t="s">
        <v>13</v>
      </c>
      <c r="L1184" t="s">
        <v>1168</v>
      </c>
      <c r="M1184" t="s">
        <v>10</v>
      </c>
      <c r="N1184" t="s">
        <v>36</v>
      </c>
      <c r="O1184" t="s">
        <v>3127</v>
      </c>
      <c r="P1184" t="s">
        <v>2646</v>
      </c>
      <c r="Q1184" t="s">
        <v>3128</v>
      </c>
      <c r="R1184" t="s">
        <v>2381</v>
      </c>
      <c r="V1184" t="s">
        <v>226</v>
      </c>
      <c r="W1184" t="s">
        <v>2373</v>
      </c>
      <c r="X1184" t="str">
        <f t="shared" si="18"/>
        <v>BL371822@TRAC Corp</v>
      </c>
      <c r="Y1184" t="str">
        <f>_xlfn.IFNA(_xll.BDP(X1184,"INTERVAL_SUM", "MARKET_DATA_OVERRIDE=px_volume", "CALC_INTERVAL=5D"), "")</f>
        <v>#N/A N/A</v>
      </c>
      <c r="Z1184" t="str" cm="1">
        <f t="array" ref="Z1184">_xll.BDP(B1184, "CF_ACT_CASH_PAID_FOR_INT_DEBT")</f>
        <v>#N/A N/A</v>
      </c>
      <c r="AA1184" t="str" cm="1">
        <f t="array" ref="AA1184">_xll.BDP(B1184, "TYPE_OF_BOND")</f>
        <v>#N/A Field Not Applicable</v>
      </c>
    </row>
    <row r="1185" spans="1:27" x14ac:dyDescent="0.25">
      <c r="A1185">
        <v>1183</v>
      </c>
      <c r="B1185" t="s">
        <v>3826</v>
      </c>
      <c r="C1185" s="4" t="s">
        <v>2371</v>
      </c>
      <c r="D1185" s="4">
        <v>1462500</v>
      </c>
      <c r="E1185" t="s">
        <v>11</v>
      </c>
      <c r="F1185" s="1">
        <v>47030</v>
      </c>
      <c r="G1185">
        <v>7.4139999999999997</v>
      </c>
      <c r="H1185" t="s">
        <v>13</v>
      </c>
      <c r="I1185" t="s">
        <v>2635</v>
      </c>
      <c r="J1185">
        <v>375</v>
      </c>
      <c r="L1185" t="s">
        <v>1168</v>
      </c>
      <c r="M1185" t="s">
        <v>10</v>
      </c>
      <c r="N1185" t="s">
        <v>36</v>
      </c>
      <c r="O1185" t="s">
        <v>3127</v>
      </c>
      <c r="P1185" t="s">
        <v>2646</v>
      </c>
      <c r="Q1185" t="s">
        <v>3128</v>
      </c>
      <c r="R1185" t="s">
        <v>3827</v>
      </c>
      <c r="V1185" t="s">
        <v>327</v>
      </c>
      <c r="W1185" t="s">
        <v>2373</v>
      </c>
      <c r="X1185" t="str">
        <f t="shared" si="18"/>
        <v>BL370793@TRAC Corp</v>
      </c>
      <c r="Y1185" t="str">
        <f>_xlfn.IFNA(_xll.BDP(X1185,"INTERVAL_SUM", "MARKET_DATA_OVERRIDE=px_volume", "CALC_INTERVAL=5D"), "")</f>
        <v>#N/A N/A</v>
      </c>
      <c r="Z1185" t="str" cm="1">
        <f t="array" ref="Z1185">_xll.BDP(B1185, "CF_ACT_CASH_PAID_FOR_INT_DEBT")</f>
        <v>#N/A N/A</v>
      </c>
      <c r="AA1185" t="str" cm="1">
        <f t="array" ref="AA1185">_xll.BDP(B1185, "TYPE_OF_BOND")</f>
        <v>#N/A Field Not Applicable</v>
      </c>
    </row>
    <row r="1186" spans="1:27" x14ac:dyDescent="0.25">
      <c r="A1186">
        <v>1184</v>
      </c>
      <c r="B1186" t="s">
        <v>3828</v>
      </c>
      <c r="C1186" s="4" t="s">
        <v>2371</v>
      </c>
      <c r="D1186" s="4">
        <v>4466082</v>
      </c>
      <c r="E1186" t="s">
        <v>11</v>
      </c>
      <c r="F1186" s="1">
        <v>47030</v>
      </c>
      <c r="G1186">
        <v>7.5285000000000002</v>
      </c>
      <c r="H1186" t="s">
        <v>13</v>
      </c>
      <c r="I1186" t="s">
        <v>2631</v>
      </c>
      <c r="J1186">
        <v>375</v>
      </c>
      <c r="L1186" t="s">
        <v>1168</v>
      </c>
      <c r="M1186" t="s">
        <v>10</v>
      </c>
      <c r="N1186" t="s">
        <v>36</v>
      </c>
      <c r="O1186" t="s">
        <v>3127</v>
      </c>
      <c r="P1186" t="s">
        <v>2646</v>
      </c>
      <c r="Q1186" t="s">
        <v>3128</v>
      </c>
      <c r="R1186" t="s">
        <v>3829</v>
      </c>
      <c r="V1186" t="s">
        <v>227</v>
      </c>
      <c r="W1186" t="s">
        <v>2373</v>
      </c>
      <c r="X1186" t="str">
        <f t="shared" si="18"/>
        <v>BL370792@TRAC Corp</v>
      </c>
      <c r="Y1186" t="str">
        <f>_xlfn.IFNA(_xll.BDP(X1186,"INTERVAL_SUM", "MARKET_DATA_OVERRIDE=px_volume", "CALC_INTERVAL=5D"), "")</f>
        <v>#N/A N/A</v>
      </c>
      <c r="Z1186" t="str" cm="1">
        <f t="array" ref="Z1186">_xll.BDP(B1186, "CF_ACT_CASH_PAID_FOR_INT_DEBT")</f>
        <v>#N/A N/A</v>
      </c>
      <c r="AA1186" t="str" cm="1">
        <f t="array" ref="AA1186">_xll.BDP(B1186, "TYPE_OF_BOND")</f>
        <v>#N/A Field Not Applicable</v>
      </c>
    </row>
    <row r="1187" spans="1:27" x14ac:dyDescent="0.25">
      <c r="A1187">
        <v>1185</v>
      </c>
      <c r="B1187" t="s">
        <v>2388</v>
      </c>
      <c r="C1187" s="4" t="s">
        <v>2389</v>
      </c>
      <c r="D1187" s="4">
        <v>650000000</v>
      </c>
      <c r="E1187" t="s">
        <v>17</v>
      </c>
      <c r="F1187" s="1">
        <v>47150</v>
      </c>
      <c r="G1187">
        <v>3.875</v>
      </c>
      <c r="H1187" t="s">
        <v>9</v>
      </c>
      <c r="L1187" t="s">
        <v>1168</v>
      </c>
      <c r="M1187" t="s">
        <v>10</v>
      </c>
      <c r="N1187" t="s">
        <v>15</v>
      </c>
      <c r="O1187" t="s">
        <v>3110</v>
      </c>
      <c r="P1187" t="s">
        <v>2637</v>
      </c>
      <c r="Q1187" t="s">
        <v>3112</v>
      </c>
      <c r="R1187" t="s">
        <v>2390</v>
      </c>
      <c r="S1187">
        <v>9234553.36297643</v>
      </c>
      <c r="T1187">
        <v>27</v>
      </c>
      <c r="U1187" t="s">
        <v>1169</v>
      </c>
      <c r="W1187" t="s">
        <v>2391</v>
      </c>
      <c r="X1187" t="str">
        <f t="shared" si="18"/>
        <v>BN724397@TRAC Corp</v>
      </c>
      <c r="Y1187">
        <f>_xlfn.IFNA(_xll.BDP(X1187,"INTERVAL_SUM", "MARKET_DATA_OVERRIDE=px_volume", "CALC_INTERVAL=5D"), "")</f>
        <v>19946</v>
      </c>
      <c r="Z1187" cm="1">
        <f t="array" ref="Z1187">_xll.BDP(B1187, "CF_ACT_CASH_PAID_FOR_INT_DEBT")</f>
        <v>45.8</v>
      </c>
      <c r="AA1187" t="str" cm="1">
        <f t="array" ref="AA1187">_xll.BDP(B1187, "TYPE_OF_BOND")</f>
        <v>#N/A Field Not Applicable</v>
      </c>
    </row>
    <row r="1188" spans="1:27" x14ac:dyDescent="0.25">
      <c r="A1188">
        <v>1186</v>
      </c>
      <c r="B1188" t="s">
        <v>2392</v>
      </c>
      <c r="C1188" s="4" t="s">
        <v>2389</v>
      </c>
      <c r="D1188" s="4">
        <v>579190743.75</v>
      </c>
      <c r="E1188" t="s">
        <v>11</v>
      </c>
      <c r="F1188" s="1">
        <v>47542</v>
      </c>
      <c r="G1188">
        <v>5.4203999999999999</v>
      </c>
      <c r="H1188" t="s">
        <v>13</v>
      </c>
      <c r="I1188" t="s">
        <v>2631</v>
      </c>
      <c r="J1188">
        <v>175</v>
      </c>
      <c r="L1188" t="s">
        <v>1168</v>
      </c>
      <c r="M1188" t="s">
        <v>10</v>
      </c>
      <c r="N1188" t="s">
        <v>15</v>
      </c>
      <c r="O1188" t="s">
        <v>3110</v>
      </c>
      <c r="P1188" t="s">
        <v>2637</v>
      </c>
      <c r="Q1188" t="s">
        <v>3123</v>
      </c>
      <c r="R1188" t="s">
        <v>2393</v>
      </c>
      <c r="S1188">
        <v>2000000</v>
      </c>
      <c r="T1188">
        <v>6</v>
      </c>
      <c r="V1188" t="s">
        <v>227</v>
      </c>
      <c r="W1188" t="s">
        <v>2391</v>
      </c>
      <c r="X1188" t="str">
        <f t="shared" si="18"/>
        <v>BL466639@TRAC Corp</v>
      </c>
      <c r="Y1188" t="str">
        <f>_xlfn.IFNA(_xll.BDP(X1188,"INTERVAL_SUM", "MARKET_DATA_OVERRIDE=px_volume", "CALC_INTERVAL=5D"), "")</f>
        <v>#N/A N/A</v>
      </c>
      <c r="Z1188" cm="1">
        <f t="array" ref="Z1188">_xll.BDP(B1188, "CF_ACT_CASH_PAID_FOR_INT_DEBT")</f>
        <v>45.8</v>
      </c>
      <c r="AA1188" t="str" cm="1">
        <f t="array" ref="AA1188">_xll.BDP(B1188, "TYPE_OF_BOND")</f>
        <v>#N/A Field Not Applicable</v>
      </c>
    </row>
    <row r="1189" spans="1:27" x14ac:dyDescent="0.25">
      <c r="A1189">
        <v>1187</v>
      </c>
      <c r="B1189" t="s">
        <v>2394</v>
      </c>
      <c r="C1189" s="4" t="s">
        <v>2389</v>
      </c>
      <c r="D1189" s="4">
        <v>100000000</v>
      </c>
      <c r="E1189" t="s">
        <v>11</v>
      </c>
      <c r="F1189" s="1">
        <v>46811</v>
      </c>
      <c r="G1189">
        <v>5.8939000000000004</v>
      </c>
      <c r="H1189" t="s">
        <v>13</v>
      </c>
      <c r="I1189" t="s">
        <v>2631</v>
      </c>
      <c r="J1189">
        <v>225</v>
      </c>
      <c r="L1189" t="s">
        <v>1168</v>
      </c>
      <c r="M1189" t="s">
        <v>10</v>
      </c>
      <c r="N1189" t="s">
        <v>15</v>
      </c>
      <c r="O1189" t="s">
        <v>3110</v>
      </c>
      <c r="P1189" t="s">
        <v>2637</v>
      </c>
      <c r="Q1189" t="s">
        <v>3123</v>
      </c>
      <c r="R1189" t="s">
        <v>2395</v>
      </c>
      <c r="V1189" t="s">
        <v>226</v>
      </c>
      <c r="W1189" t="s">
        <v>2391</v>
      </c>
      <c r="X1189" t="str">
        <f t="shared" si="18"/>
        <v>BL293160@TRAC Corp</v>
      </c>
      <c r="Y1189" t="str">
        <f>_xlfn.IFNA(_xll.BDP(X1189,"INTERVAL_SUM", "MARKET_DATA_OVERRIDE=px_volume", "CALC_INTERVAL=5D"), "")</f>
        <v>#N/A N/A</v>
      </c>
      <c r="Z1189" cm="1">
        <f t="array" ref="Z1189">_xll.BDP(B1189, "CF_ACT_CASH_PAID_FOR_INT_DEBT")</f>
        <v>45.8</v>
      </c>
      <c r="AA1189" t="str" cm="1">
        <f t="array" ref="AA1189">_xll.BDP(B1189, "TYPE_OF_BOND")</f>
        <v>#N/A Field Not Applicable</v>
      </c>
    </row>
    <row r="1190" spans="1:27" x14ac:dyDescent="0.25">
      <c r="A1190">
        <v>1188</v>
      </c>
      <c r="B1190" t="s">
        <v>2396</v>
      </c>
      <c r="C1190" s="4" t="s">
        <v>2397</v>
      </c>
      <c r="D1190" s="4">
        <v>650000000</v>
      </c>
      <c r="E1190" t="s">
        <v>17</v>
      </c>
      <c r="F1190" s="1">
        <v>48441</v>
      </c>
      <c r="G1190">
        <v>8</v>
      </c>
      <c r="H1190" t="s">
        <v>9</v>
      </c>
      <c r="L1190" t="s">
        <v>1168</v>
      </c>
      <c r="M1190" t="s">
        <v>10</v>
      </c>
      <c r="N1190" t="s">
        <v>16</v>
      </c>
      <c r="O1190" t="s">
        <v>3106</v>
      </c>
      <c r="P1190" t="s">
        <v>2629</v>
      </c>
      <c r="Q1190" t="s">
        <v>3107</v>
      </c>
      <c r="R1190" t="s">
        <v>2398</v>
      </c>
      <c r="S1190">
        <v>5093510.8651603097</v>
      </c>
      <c r="T1190">
        <v>25</v>
      </c>
      <c r="U1190" t="s">
        <v>1169</v>
      </c>
      <c r="W1190" t="s">
        <v>2399</v>
      </c>
      <c r="X1190" t="str">
        <f t="shared" si="18"/>
        <v>YV103586@TRAC Corp</v>
      </c>
      <c r="Y1190">
        <f>_xlfn.IFNA(_xll.BDP(X1190,"INTERVAL_SUM", "MARKET_DATA_OVERRIDE=px_volume", "CALC_INTERVAL=5D"), "")</f>
        <v>21374</v>
      </c>
      <c r="Z1190" t="str" cm="1">
        <f t="array" ref="Z1190">_xll.BDP(B1190, "CF_ACT_CASH_PAID_FOR_INT_DEBT")</f>
        <v>#N/A N/A</v>
      </c>
      <c r="AA1190" t="str" cm="1">
        <f t="array" ref="AA1190">_xll.BDP(B1190, "TYPE_OF_BOND")</f>
        <v>#N/A Field Not Applicable</v>
      </c>
    </row>
    <row r="1191" spans="1:27" x14ac:dyDescent="0.25">
      <c r="A1191">
        <v>1189</v>
      </c>
      <c r="B1191" t="s">
        <v>2400</v>
      </c>
      <c r="C1191" s="4" t="s">
        <v>2397</v>
      </c>
      <c r="D1191" s="4">
        <v>300000000</v>
      </c>
      <c r="E1191" t="s">
        <v>17</v>
      </c>
      <c r="F1191" s="1">
        <v>47667</v>
      </c>
      <c r="G1191">
        <v>6.6641000000000004</v>
      </c>
      <c r="H1191" t="s">
        <v>13</v>
      </c>
      <c r="I1191" t="s">
        <v>2631</v>
      </c>
      <c r="J1191">
        <v>300</v>
      </c>
      <c r="L1191" t="s">
        <v>1168</v>
      </c>
      <c r="M1191" t="s">
        <v>595</v>
      </c>
      <c r="N1191" t="s">
        <v>537</v>
      </c>
      <c r="O1191" t="s">
        <v>3129</v>
      </c>
      <c r="P1191" t="s">
        <v>2648</v>
      </c>
      <c r="Q1191" t="s">
        <v>2648</v>
      </c>
      <c r="R1191" t="s">
        <v>2401</v>
      </c>
      <c r="V1191" t="s">
        <v>227</v>
      </c>
      <c r="W1191" t="s">
        <v>2399</v>
      </c>
      <c r="X1191" t="str">
        <f t="shared" si="18"/>
        <v>BL511609@TRAC Corp</v>
      </c>
      <c r="Y1191" t="str">
        <f>_xlfn.IFNA(_xll.BDP(X1191,"INTERVAL_SUM", "MARKET_DATA_OVERRIDE=px_volume", "CALC_INTERVAL=5D"), "")</f>
        <v>#N/A N/A</v>
      </c>
      <c r="Z1191" t="str" cm="1">
        <f t="array" ref="Z1191">_xll.BDP(B1191, "CF_ACT_CASH_PAID_FOR_INT_DEBT")</f>
        <v>#N/A N/A</v>
      </c>
      <c r="AA1191" t="str" cm="1">
        <f t="array" ref="AA1191">_xll.BDP(B1191, "TYPE_OF_BOND")</f>
        <v>#N/A Field Not Applicable</v>
      </c>
    </row>
    <row r="1192" spans="1:27" x14ac:dyDescent="0.25">
      <c r="A1192">
        <v>1190</v>
      </c>
      <c r="B1192" t="s">
        <v>2402</v>
      </c>
      <c r="C1192" s="4" t="s">
        <v>2397</v>
      </c>
      <c r="D1192" s="4">
        <v>637000000</v>
      </c>
      <c r="E1192" t="s">
        <v>11</v>
      </c>
      <c r="F1192" s="1">
        <v>48078</v>
      </c>
      <c r="G1192">
        <v>6.2051999999999996</v>
      </c>
      <c r="H1192" t="s">
        <v>13</v>
      </c>
      <c r="I1192" t="s">
        <v>2631</v>
      </c>
      <c r="J1192">
        <v>250</v>
      </c>
      <c r="L1192" t="s">
        <v>1168</v>
      </c>
      <c r="M1192" t="s">
        <v>10</v>
      </c>
      <c r="N1192" t="s">
        <v>16</v>
      </c>
      <c r="O1192" t="s">
        <v>3106</v>
      </c>
      <c r="P1192" t="s">
        <v>2629</v>
      </c>
      <c r="Q1192" t="s">
        <v>3107</v>
      </c>
      <c r="R1192" t="s">
        <v>2403</v>
      </c>
      <c r="S1192">
        <v>3000000</v>
      </c>
      <c r="T1192">
        <v>7</v>
      </c>
      <c r="V1192" t="s">
        <v>227</v>
      </c>
      <c r="W1192" t="s">
        <v>2399</v>
      </c>
      <c r="X1192" t="str">
        <f t="shared" si="18"/>
        <v>BL473299@TRAC Corp</v>
      </c>
      <c r="Y1192" t="str">
        <f>_xlfn.IFNA(_xll.BDP(X1192,"INTERVAL_SUM", "MARKET_DATA_OVERRIDE=px_volume", "CALC_INTERVAL=5D"), "")</f>
        <v>#N/A N/A</v>
      </c>
      <c r="Z1192" t="str" cm="1">
        <f t="array" ref="Z1192">_xll.BDP(B1192, "CF_ACT_CASH_PAID_FOR_INT_DEBT")</f>
        <v>#N/A N/A</v>
      </c>
      <c r="AA1192" t="str" cm="1">
        <f t="array" ref="AA1192">_xll.BDP(B1192, "TYPE_OF_BOND")</f>
        <v>#N/A Field Not Applicable</v>
      </c>
    </row>
    <row r="1193" spans="1:27" x14ac:dyDescent="0.25">
      <c r="A1193">
        <v>1191</v>
      </c>
      <c r="B1193" t="s">
        <v>2404</v>
      </c>
      <c r="C1193" s="4" t="s">
        <v>2405</v>
      </c>
      <c r="D1193" s="4">
        <v>149718000</v>
      </c>
      <c r="E1193" t="s">
        <v>17</v>
      </c>
      <c r="F1193" s="1">
        <v>52642</v>
      </c>
      <c r="G1193">
        <v>6.75</v>
      </c>
      <c r="H1193" t="s">
        <v>9</v>
      </c>
      <c r="L1193" t="s">
        <v>1168</v>
      </c>
      <c r="M1193" t="s">
        <v>10</v>
      </c>
      <c r="N1193" t="s">
        <v>460</v>
      </c>
      <c r="O1193" t="s">
        <v>3236</v>
      </c>
      <c r="P1193" t="s">
        <v>2691</v>
      </c>
      <c r="Q1193" t="s">
        <v>3237</v>
      </c>
      <c r="R1193" t="s">
        <v>2406</v>
      </c>
      <c r="S1193">
        <v>9922903.9270217102</v>
      </c>
      <c r="T1193">
        <v>6</v>
      </c>
      <c r="W1193" t="s">
        <v>2407</v>
      </c>
      <c r="X1193" t="str">
        <f t="shared" si="18"/>
        <v>EJ950479@TRAC Corp</v>
      </c>
      <c r="Y1193">
        <f>_xlfn.IFNA(_xll.BDP(X1193,"INTERVAL_SUM", "MARKET_DATA_OVERRIDE=px_volume", "CALC_INTERVAL=5D"), "")</f>
        <v>527</v>
      </c>
      <c r="Z1193" cm="1">
        <f t="array" ref="Z1193">_xll.BDP(B1193, "CF_ACT_CASH_PAID_FOR_INT_DEBT")</f>
        <v>223</v>
      </c>
      <c r="AA1193" t="str" cm="1">
        <f t="array" ref="AA1193">_xll.BDP(B1193, "TYPE_OF_BOND")</f>
        <v>#N/A Field Not Applicable</v>
      </c>
    </row>
    <row r="1194" spans="1:27" x14ac:dyDescent="0.25">
      <c r="A1194">
        <v>1192</v>
      </c>
      <c r="B1194" t="s">
        <v>2408</v>
      </c>
      <c r="C1194" s="4" t="s">
        <v>2405</v>
      </c>
      <c r="D1194" s="4">
        <v>115700000</v>
      </c>
      <c r="E1194" t="s">
        <v>17</v>
      </c>
      <c r="F1194" s="1">
        <v>52110</v>
      </c>
      <c r="G1194">
        <v>6.25</v>
      </c>
      <c r="H1194" t="s">
        <v>9</v>
      </c>
      <c r="L1194" t="s">
        <v>1168</v>
      </c>
      <c r="M1194" t="s">
        <v>10</v>
      </c>
      <c r="N1194" t="s">
        <v>460</v>
      </c>
      <c r="O1194" t="s">
        <v>3236</v>
      </c>
      <c r="P1194" t="s">
        <v>2691</v>
      </c>
      <c r="Q1194" t="s">
        <v>3237</v>
      </c>
      <c r="R1194" t="s">
        <v>2409</v>
      </c>
      <c r="S1194">
        <v>939053.68721214798</v>
      </c>
      <c r="T1194">
        <v>6</v>
      </c>
      <c r="W1194" t="s">
        <v>2407</v>
      </c>
      <c r="X1194" t="str">
        <f t="shared" si="18"/>
        <v>EJ332584@TRAC Corp</v>
      </c>
      <c r="Y1194">
        <f>_xlfn.IFNA(_xll.BDP(X1194,"INTERVAL_SUM", "MARKET_DATA_OVERRIDE=px_volume", "CALC_INTERVAL=5D"), "")</f>
        <v>2325</v>
      </c>
      <c r="Z1194" cm="1">
        <f t="array" ref="Z1194">_xll.BDP(B1194, "CF_ACT_CASH_PAID_FOR_INT_DEBT")</f>
        <v>223</v>
      </c>
      <c r="AA1194" t="str" cm="1">
        <f t="array" ref="AA1194">_xll.BDP(B1194, "TYPE_OF_BOND")</f>
        <v>#N/A Field Not Applicable</v>
      </c>
    </row>
    <row r="1195" spans="1:27" x14ac:dyDescent="0.25">
      <c r="A1195">
        <v>1193</v>
      </c>
      <c r="B1195" t="s">
        <v>2410</v>
      </c>
      <c r="C1195" s="4" t="s">
        <v>2405</v>
      </c>
      <c r="D1195" s="4">
        <v>642291000</v>
      </c>
      <c r="E1195" t="s">
        <v>12</v>
      </c>
      <c r="F1195" s="1">
        <v>47027</v>
      </c>
      <c r="G1195">
        <v>6.75</v>
      </c>
      <c r="H1195" t="s">
        <v>9</v>
      </c>
      <c r="L1195" t="s">
        <v>1168</v>
      </c>
      <c r="M1195" t="s">
        <v>10</v>
      </c>
      <c r="N1195" t="s">
        <v>460</v>
      </c>
      <c r="O1195" t="s">
        <v>3236</v>
      </c>
      <c r="P1195" t="s">
        <v>2691</v>
      </c>
      <c r="Q1195" t="s">
        <v>3237</v>
      </c>
      <c r="R1195" t="s">
        <v>2411</v>
      </c>
      <c r="S1195">
        <v>23383009.621127799</v>
      </c>
      <c r="T1195">
        <v>26</v>
      </c>
      <c r="U1195" t="s">
        <v>1169</v>
      </c>
      <c r="W1195" t="s">
        <v>2407</v>
      </c>
      <c r="X1195" t="str">
        <f t="shared" si="18"/>
        <v>BR676860@TRAC Corp</v>
      </c>
      <c r="Y1195">
        <f>_xlfn.IFNA(_xll.BDP(X1195,"INTERVAL_SUM", "MARKET_DATA_OVERRIDE=px_volume", "CALC_INTERVAL=5D"), "")</f>
        <v>11698</v>
      </c>
      <c r="Z1195" cm="1">
        <f t="array" ref="Z1195">_xll.BDP(B1195, "CF_ACT_CASH_PAID_FOR_INT_DEBT")</f>
        <v>223</v>
      </c>
      <c r="AA1195" t="str" cm="1">
        <f t="array" ref="AA1195">_xll.BDP(B1195, "TYPE_OF_BOND")</f>
        <v>#N/A Field Not Applicable</v>
      </c>
    </row>
    <row r="1196" spans="1:27" x14ac:dyDescent="0.25">
      <c r="A1196">
        <v>1194</v>
      </c>
      <c r="B1196" t="s">
        <v>2412</v>
      </c>
      <c r="C1196" s="4" t="s">
        <v>2405</v>
      </c>
      <c r="D1196" s="4">
        <v>140625000</v>
      </c>
      <c r="E1196" t="s">
        <v>11</v>
      </c>
      <c r="F1196" s="1">
        <v>47087</v>
      </c>
      <c r="G1196">
        <v>9.3939000000000004</v>
      </c>
      <c r="H1196" t="s">
        <v>13</v>
      </c>
      <c r="I1196" t="s">
        <v>2631</v>
      </c>
      <c r="J1196">
        <v>500</v>
      </c>
      <c r="L1196" t="s">
        <v>1168</v>
      </c>
      <c r="M1196" t="s">
        <v>10</v>
      </c>
      <c r="N1196" t="s">
        <v>460</v>
      </c>
      <c r="O1196" t="s">
        <v>3236</v>
      </c>
      <c r="P1196" t="s">
        <v>2691</v>
      </c>
      <c r="Q1196" t="s">
        <v>3237</v>
      </c>
      <c r="R1196" t="s">
        <v>2413</v>
      </c>
      <c r="V1196" t="s">
        <v>227</v>
      </c>
      <c r="W1196" t="s">
        <v>2407</v>
      </c>
      <c r="X1196" t="str">
        <f t="shared" si="18"/>
        <v>BL506940@TRAC Corp</v>
      </c>
      <c r="Y1196" t="str">
        <f>_xlfn.IFNA(_xll.BDP(X1196,"INTERVAL_SUM", "MARKET_DATA_OVERRIDE=px_volume", "CALC_INTERVAL=5D"), "")</f>
        <v>#N/A N/A</v>
      </c>
      <c r="Z1196" cm="1">
        <f t="array" ref="Z1196">_xll.BDP(B1196, "CF_ACT_CASH_PAID_FOR_INT_DEBT")</f>
        <v>223</v>
      </c>
      <c r="AA1196" t="str" cm="1">
        <f t="array" ref="AA1196">_xll.BDP(B1196, "TYPE_OF_BOND")</f>
        <v>#N/A Field Not Applicable</v>
      </c>
    </row>
    <row r="1197" spans="1:27" x14ac:dyDescent="0.25">
      <c r="A1197">
        <v>1195</v>
      </c>
      <c r="B1197" t="s">
        <v>2414</v>
      </c>
      <c r="C1197" s="4" t="s">
        <v>2405</v>
      </c>
      <c r="D1197" s="4">
        <v>233442957.97</v>
      </c>
      <c r="E1197" t="s">
        <v>11</v>
      </c>
      <c r="F1197" s="1">
        <v>47087</v>
      </c>
      <c r="G1197">
        <v>9.4967000000000006</v>
      </c>
      <c r="H1197" t="s">
        <v>13</v>
      </c>
      <c r="I1197" t="s">
        <v>2631</v>
      </c>
      <c r="J1197">
        <v>575</v>
      </c>
      <c r="L1197" t="s">
        <v>1168</v>
      </c>
      <c r="M1197" t="s">
        <v>10</v>
      </c>
      <c r="N1197" t="s">
        <v>460</v>
      </c>
      <c r="O1197" t="s">
        <v>3236</v>
      </c>
      <c r="P1197" t="s">
        <v>2691</v>
      </c>
      <c r="Q1197" t="s">
        <v>3237</v>
      </c>
      <c r="R1197" t="s">
        <v>2415</v>
      </c>
      <c r="V1197" t="s">
        <v>227</v>
      </c>
      <c r="W1197" t="s">
        <v>2407</v>
      </c>
      <c r="X1197" t="str">
        <f t="shared" si="18"/>
        <v>BL446680@TRAC Corp</v>
      </c>
      <c r="Y1197" t="str">
        <f>_xlfn.IFNA(_xll.BDP(X1197,"INTERVAL_SUM", "MARKET_DATA_OVERRIDE=px_volume", "CALC_INTERVAL=5D"), "")</f>
        <v>#N/A N/A</v>
      </c>
      <c r="Z1197" cm="1">
        <f t="array" ref="Z1197">_xll.BDP(B1197, "CF_ACT_CASH_PAID_FOR_INT_DEBT")</f>
        <v>223</v>
      </c>
      <c r="AA1197" t="str" cm="1">
        <f t="array" ref="AA1197">_xll.BDP(B1197, "TYPE_OF_BOND")</f>
        <v>#N/A Field Not Applicable</v>
      </c>
    </row>
    <row r="1198" spans="1:27" x14ac:dyDescent="0.25">
      <c r="A1198">
        <v>1196</v>
      </c>
      <c r="B1198" t="s">
        <v>2416</v>
      </c>
      <c r="C1198" s="4" t="s">
        <v>2405</v>
      </c>
      <c r="D1198" s="4">
        <v>557775000</v>
      </c>
      <c r="E1198" t="s">
        <v>11</v>
      </c>
      <c r="F1198" s="1">
        <v>47543</v>
      </c>
      <c r="G1198">
        <v>9.7467000000000006</v>
      </c>
      <c r="H1198" t="s">
        <v>13</v>
      </c>
      <c r="I1198" t="s">
        <v>2631</v>
      </c>
      <c r="J1198">
        <v>600</v>
      </c>
      <c r="L1198" t="s">
        <v>1168</v>
      </c>
      <c r="M1198" t="s">
        <v>10</v>
      </c>
      <c r="N1198" t="s">
        <v>460</v>
      </c>
      <c r="O1198" t="s">
        <v>3236</v>
      </c>
      <c r="P1198" t="s">
        <v>2691</v>
      </c>
      <c r="Q1198" t="s">
        <v>3237</v>
      </c>
      <c r="R1198" t="s">
        <v>2417</v>
      </c>
      <c r="V1198" t="s">
        <v>227</v>
      </c>
      <c r="W1198" t="s">
        <v>2407</v>
      </c>
      <c r="X1198" t="str">
        <f t="shared" si="18"/>
        <v>BL446679@TRAC Corp</v>
      </c>
      <c r="Y1198" t="str">
        <f>_xlfn.IFNA(_xll.BDP(X1198,"INTERVAL_SUM", "MARKET_DATA_OVERRIDE=px_volume", "CALC_INTERVAL=5D"), "")</f>
        <v>#N/A N/A</v>
      </c>
      <c r="Z1198" cm="1">
        <f t="array" ref="Z1198">_xll.BDP(B1198, "CF_ACT_CASH_PAID_FOR_INT_DEBT")</f>
        <v>223</v>
      </c>
      <c r="AA1198" t="str" cm="1">
        <f t="array" ref="AA1198">_xll.BDP(B1198, "TYPE_OF_BOND")</f>
        <v>#N/A Field Not Applicable</v>
      </c>
    </row>
    <row r="1199" spans="1:27" x14ac:dyDescent="0.25">
      <c r="A1199">
        <v>1197</v>
      </c>
      <c r="B1199" t="s">
        <v>2418</v>
      </c>
      <c r="C1199" s="4" t="s">
        <v>2405</v>
      </c>
      <c r="D1199" s="4">
        <v>480000000</v>
      </c>
      <c r="E1199" s="1" t="s">
        <v>11</v>
      </c>
      <c r="F1199" s="1">
        <v>46813</v>
      </c>
      <c r="G1199">
        <v>5.4939</v>
      </c>
      <c r="H1199" t="s">
        <v>13</v>
      </c>
      <c r="I1199" t="s">
        <v>2631</v>
      </c>
      <c r="J1199">
        <v>175</v>
      </c>
      <c r="L1199" t="s">
        <v>1168</v>
      </c>
      <c r="M1199" t="s">
        <v>10</v>
      </c>
      <c r="N1199" t="s">
        <v>460</v>
      </c>
      <c r="O1199" t="s">
        <v>3236</v>
      </c>
      <c r="P1199" t="s">
        <v>2691</v>
      </c>
      <c r="Q1199" t="s">
        <v>3237</v>
      </c>
      <c r="R1199" t="s">
        <v>2419</v>
      </c>
      <c r="V1199" t="s">
        <v>945</v>
      </c>
      <c r="W1199" t="s">
        <v>2407</v>
      </c>
      <c r="X1199" t="str">
        <f t="shared" si="18"/>
        <v>BL372175@TRAC Corp</v>
      </c>
      <c r="Y1199" t="str">
        <f>_xlfn.IFNA(_xll.BDP(X1199,"INTERVAL_SUM", "MARKET_DATA_OVERRIDE=px_volume", "CALC_INTERVAL=5D"), "")</f>
        <v>#N/A N/A</v>
      </c>
      <c r="Z1199" cm="1">
        <f t="array" ref="Z1199">_xll.BDP(B1199, "CF_ACT_CASH_PAID_FOR_INT_DEBT")</f>
        <v>223</v>
      </c>
      <c r="AA1199" t="str" cm="1">
        <f t="array" ref="AA1199">_xll.BDP(B1199, "TYPE_OF_BOND")</f>
        <v>#N/A Field Not Applicable</v>
      </c>
    </row>
    <row r="1200" spans="1:27" x14ac:dyDescent="0.25">
      <c r="A1200">
        <v>1198</v>
      </c>
      <c r="B1200" t="s">
        <v>2420</v>
      </c>
      <c r="C1200" s="4" t="s">
        <v>2405</v>
      </c>
      <c r="D1200" s="4">
        <v>298042979.63999999</v>
      </c>
      <c r="E1200" s="1" t="s">
        <v>11</v>
      </c>
      <c r="F1200" s="1">
        <v>47087</v>
      </c>
      <c r="G1200">
        <v>9.2584</v>
      </c>
      <c r="H1200" t="s">
        <v>13</v>
      </c>
      <c r="I1200" t="s">
        <v>2631</v>
      </c>
      <c r="J1200">
        <v>550</v>
      </c>
      <c r="L1200" t="s">
        <v>1168</v>
      </c>
      <c r="M1200" t="s">
        <v>10</v>
      </c>
      <c r="N1200" t="s">
        <v>460</v>
      </c>
      <c r="O1200" t="s">
        <v>3236</v>
      </c>
      <c r="P1200" t="s">
        <v>2691</v>
      </c>
      <c r="Q1200" t="s">
        <v>3237</v>
      </c>
      <c r="R1200" t="s">
        <v>2415</v>
      </c>
      <c r="S1200">
        <v>3356744.7639990598</v>
      </c>
      <c r="T1200">
        <v>8</v>
      </c>
      <c r="V1200" t="s">
        <v>227</v>
      </c>
      <c r="W1200" t="s">
        <v>2407</v>
      </c>
      <c r="X1200" t="str">
        <f t="shared" si="18"/>
        <v>BL372011@TRAC Corp</v>
      </c>
      <c r="Y1200" t="str">
        <f>_xlfn.IFNA(_xll.BDP(X1200,"INTERVAL_SUM", "MARKET_DATA_OVERRIDE=px_volume", "CALC_INTERVAL=5D"), "")</f>
        <v>#N/A N/A</v>
      </c>
      <c r="Z1200" cm="1">
        <f t="array" ref="Z1200">_xll.BDP(B1200, "CF_ACT_CASH_PAID_FOR_INT_DEBT")</f>
        <v>223</v>
      </c>
      <c r="AA1200" t="str" cm="1">
        <f t="array" ref="AA1200">_xll.BDP(B1200, "TYPE_OF_BOND")</f>
        <v>#N/A Field Not Applicable</v>
      </c>
    </row>
    <row r="1201" spans="1:27" x14ac:dyDescent="0.25">
      <c r="A1201">
        <v>1199</v>
      </c>
      <c r="B1201" t="s">
        <v>2421</v>
      </c>
      <c r="C1201" s="4" t="s">
        <v>2422</v>
      </c>
      <c r="D1201" s="4">
        <v>628226000</v>
      </c>
      <c r="E1201" s="1" t="s">
        <v>11</v>
      </c>
      <c r="F1201" s="1">
        <v>47529</v>
      </c>
      <c r="G1201">
        <v>10</v>
      </c>
      <c r="H1201" t="s">
        <v>9</v>
      </c>
      <c r="L1201" t="s">
        <v>1168</v>
      </c>
      <c r="M1201" t="s">
        <v>10</v>
      </c>
      <c r="N1201" t="s">
        <v>36</v>
      </c>
      <c r="O1201" t="s">
        <v>3113</v>
      </c>
      <c r="P1201" t="s">
        <v>2639</v>
      </c>
      <c r="Q1201" t="s">
        <v>2639</v>
      </c>
      <c r="R1201" t="s">
        <v>2423</v>
      </c>
      <c r="S1201">
        <v>8430954.8763088696</v>
      </c>
      <c r="T1201">
        <v>4</v>
      </c>
      <c r="U1201" t="s">
        <v>1169</v>
      </c>
      <c r="W1201" t="s">
        <v>2424</v>
      </c>
      <c r="X1201" t="str">
        <f t="shared" si="18"/>
        <v>YR253054@TRAC Corp</v>
      </c>
      <c r="Y1201">
        <f>_xlfn.IFNA(_xll.BDP(X1201,"INTERVAL_SUM", "MARKET_DATA_OVERRIDE=px_volume", "CALC_INTERVAL=5D"), "")</f>
        <v>2330</v>
      </c>
      <c r="Z1201" cm="1">
        <f t="array" ref="Z1201">_xll.BDP(B1201, "CF_ACT_CASH_PAID_FOR_INT_DEBT")</f>
        <v>35.045999999999999</v>
      </c>
      <c r="AA1201" t="str" cm="1">
        <f t="array" ref="AA1201">_xll.BDP(B1201, "TYPE_OF_BOND")</f>
        <v>#N/A Field Not Applicable</v>
      </c>
    </row>
    <row r="1202" spans="1:27" x14ac:dyDescent="0.25">
      <c r="A1202">
        <v>1200</v>
      </c>
      <c r="B1202" t="s">
        <v>1742</v>
      </c>
      <c r="C1202" s="4" t="s">
        <v>1743</v>
      </c>
      <c r="D1202" s="4">
        <v>43925000</v>
      </c>
      <c r="E1202" t="s">
        <v>11</v>
      </c>
      <c r="F1202" s="1">
        <v>46433</v>
      </c>
      <c r="G1202">
        <v>4.75</v>
      </c>
      <c r="H1202" t="s">
        <v>34</v>
      </c>
      <c r="L1202" t="s">
        <v>1168</v>
      </c>
      <c r="M1202" t="s">
        <v>10</v>
      </c>
      <c r="N1202" t="s">
        <v>36</v>
      </c>
      <c r="O1202" t="s">
        <v>3118</v>
      </c>
      <c r="P1202" t="s">
        <v>2640</v>
      </c>
      <c r="Q1202" t="s">
        <v>3253</v>
      </c>
      <c r="R1202" t="s">
        <v>1744</v>
      </c>
      <c r="S1202">
        <v>7504938.3760294104</v>
      </c>
      <c r="T1202">
        <v>5</v>
      </c>
      <c r="W1202" t="s">
        <v>1745</v>
      </c>
      <c r="X1202" t="str">
        <f t="shared" si="18"/>
        <v>ZP744732@TRAC Corp</v>
      </c>
      <c r="Y1202">
        <f>_xlfn.IFNA(_xll.BDP(X1202,"INTERVAL_SUM", "MARKET_DATA_OVERRIDE=px_volume", "CALC_INTERVAL=5D"), "")</f>
        <v>676</v>
      </c>
      <c r="Z1202" cm="1">
        <f t="array" ref="Z1202">_xll.BDP(B1202, "CF_ACT_CASH_PAID_FOR_INT_DEBT")</f>
        <v>292</v>
      </c>
      <c r="AA1202" t="str" cm="1">
        <f t="array" ref="AA1202">_xll.BDP(B1202, "TYPE_OF_BOND")</f>
        <v>#N/A Field Not Applicable</v>
      </c>
    </row>
    <row r="1203" spans="1:27" x14ac:dyDescent="0.25">
      <c r="A1203">
        <v>1201</v>
      </c>
      <c r="B1203" t="s">
        <v>1746</v>
      </c>
      <c r="C1203" s="4" t="s">
        <v>1743</v>
      </c>
      <c r="D1203" s="4">
        <v>605028000</v>
      </c>
      <c r="E1203" t="s">
        <v>11</v>
      </c>
      <c r="F1203" s="1">
        <v>47223</v>
      </c>
      <c r="G1203">
        <v>6.875</v>
      </c>
      <c r="H1203" t="s">
        <v>34</v>
      </c>
      <c r="L1203" t="s">
        <v>1168</v>
      </c>
      <c r="M1203" t="s">
        <v>10</v>
      </c>
      <c r="N1203" t="s">
        <v>36</v>
      </c>
      <c r="O1203" t="s">
        <v>3118</v>
      </c>
      <c r="P1203" t="s">
        <v>2640</v>
      </c>
      <c r="Q1203" t="s">
        <v>3253</v>
      </c>
      <c r="R1203" t="s">
        <v>1747</v>
      </c>
      <c r="S1203">
        <v>6552595.9805226903</v>
      </c>
      <c r="T1203">
        <v>14</v>
      </c>
      <c r="U1203" t="s">
        <v>1169</v>
      </c>
      <c r="W1203" t="s">
        <v>1745</v>
      </c>
      <c r="X1203" t="str">
        <f t="shared" si="18"/>
        <v>YU084256@TRAC Corp</v>
      </c>
      <c r="Y1203">
        <f>_xlfn.IFNA(_xll.BDP(X1203,"INTERVAL_SUM", "MARKET_DATA_OVERRIDE=px_volume", "CALC_INTERVAL=5D"), "")</f>
        <v>214</v>
      </c>
      <c r="Z1203" cm="1">
        <f t="array" ref="Z1203">_xll.BDP(B1203, "CF_ACT_CASH_PAID_FOR_INT_DEBT")</f>
        <v>292</v>
      </c>
      <c r="AA1203" t="str" cm="1">
        <f t="array" ref="AA1203">_xll.BDP(B1203, "TYPE_OF_BOND")</f>
        <v>#N/A Field Not Applicable</v>
      </c>
    </row>
    <row r="1204" spans="1:27" x14ac:dyDescent="0.25">
      <c r="A1204">
        <v>1202</v>
      </c>
      <c r="B1204" t="s">
        <v>1748</v>
      </c>
      <c r="C1204" s="4" t="s">
        <v>1743</v>
      </c>
      <c r="D1204" s="4">
        <v>399763000</v>
      </c>
      <c r="E1204" t="s">
        <v>11</v>
      </c>
      <c r="F1204" s="1">
        <v>49171</v>
      </c>
      <c r="G1204">
        <v>5.45</v>
      </c>
      <c r="H1204" t="s">
        <v>34</v>
      </c>
      <c r="L1204" t="s">
        <v>1168</v>
      </c>
      <c r="M1204" t="s">
        <v>10</v>
      </c>
      <c r="N1204" t="s">
        <v>36</v>
      </c>
      <c r="O1204" t="s">
        <v>3118</v>
      </c>
      <c r="P1204" t="s">
        <v>2640</v>
      </c>
      <c r="Q1204" t="s">
        <v>3253</v>
      </c>
      <c r="R1204" t="s">
        <v>1749</v>
      </c>
      <c r="S1204">
        <v>24870748.7019151</v>
      </c>
      <c r="T1204">
        <v>9</v>
      </c>
      <c r="W1204" t="s">
        <v>1745</v>
      </c>
      <c r="X1204" t="str">
        <f t="shared" si="18"/>
        <v>EK578135@TRAC Corp</v>
      </c>
      <c r="Y1204">
        <f>_xlfn.IFNA(_xll.BDP(X1204,"INTERVAL_SUM", "MARKET_DATA_OVERRIDE=px_volume", "CALC_INTERVAL=5D"), "")</f>
        <v>143</v>
      </c>
      <c r="Z1204" cm="1">
        <f t="array" ref="Z1204">_xll.BDP(B1204, "CF_ACT_CASH_PAID_FOR_INT_DEBT")</f>
        <v>292</v>
      </c>
      <c r="AA1204" t="str" cm="1">
        <f t="array" ref="AA1204">_xll.BDP(B1204, "TYPE_OF_BOND")</f>
        <v>#N/A Field Not Applicable</v>
      </c>
    </row>
    <row r="1205" spans="1:27" x14ac:dyDescent="0.25">
      <c r="A1205">
        <v>1203</v>
      </c>
      <c r="B1205" t="s">
        <v>1750</v>
      </c>
      <c r="C1205" s="4" t="s">
        <v>1743</v>
      </c>
      <c r="D1205" s="4">
        <v>237000</v>
      </c>
      <c r="E1205" t="s">
        <v>11</v>
      </c>
      <c r="F1205" s="1">
        <v>49171</v>
      </c>
      <c r="G1205">
        <v>5.45</v>
      </c>
      <c r="H1205" t="s">
        <v>34</v>
      </c>
      <c r="L1205" t="s">
        <v>1168</v>
      </c>
      <c r="M1205" t="s">
        <v>10</v>
      </c>
      <c r="N1205" t="s">
        <v>36</v>
      </c>
      <c r="O1205" t="s">
        <v>3118</v>
      </c>
      <c r="P1205" t="s">
        <v>2640</v>
      </c>
      <c r="Q1205" t="s">
        <v>3253</v>
      </c>
      <c r="R1205" t="s">
        <v>1749</v>
      </c>
      <c r="S1205">
        <v>8197.3815624939598</v>
      </c>
      <c r="T1205">
        <v>1</v>
      </c>
      <c r="U1205" t="s">
        <v>1169</v>
      </c>
      <c r="W1205" t="s">
        <v>1745</v>
      </c>
      <c r="X1205" t="str">
        <f t="shared" si="18"/>
        <v>EK428666@TRAC Corp</v>
      </c>
      <c r="Y1205" t="str">
        <f>_xlfn.IFNA(_xll.BDP(X1205,"INTERVAL_SUM", "MARKET_DATA_OVERRIDE=px_volume", "CALC_INTERVAL=5D"), "")</f>
        <v>#N/A N/A</v>
      </c>
      <c r="Z1205" cm="1">
        <f t="array" ref="Z1205">_xll.BDP(B1205, "CF_ACT_CASH_PAID_FOR_INT_DEBT")</f>
        <v>292</v>
      </c>
      <c r="AA1205" t="str" cm="1">
        <f t="array" ref="AA1205">_xll.BDP(B1205, "TYPE_OF_BOND")</f>
        <v>#N/A Field Not Applicable</v>
      </c>
    </row>
    <row r="1206" spans="1:27" x14ac:dyDescent="0.25">
      <c r="A1206">
        <v>1204</v>
      </c>
      <c r="B1206" t="s">
        <v>1751</v>
      </c>
      <c r="C1206" s="4" t="s">
        <v>1743</v>
      </c>
      <c r="D1206" s="4">
        <v>300000000</v>
      </c>
      <c r="E1206" s="1" t="s">
        <v>11</v>
      </c>
      <c r="F1206" s="1">
        <v>52305</v>
      </c>
      <c r="G1206">
        <v>5.95</v>
      </c>
      <c r="H1206" t="s">
        <v>34</v>
      </c>
      <c r="L1206" t="s">
        <v>1168</v>
      </c>
      <c r="M1206" t="s">
        <v>10</v>
      </c>
      <c r="N1206" t="s">
        <v>36</v>
      </c>
      <c r="O1206" t="s">
        <v>3118</v>
      </c>
      <c r="P1206" t="s">
        <v>2640</v>
      </c>
      <c r="Q1206" t="s">
        <v>3253</v>
      </c>
      <c r="R1206" t="s">
        <v>1752</v>
      </c>
      <c r="S1206">
        <v>15306618.8000455</v>
      </c>
      <c r="T1206">
        <v>11</v>
      </c>
      <c r="W1206" t="s">
        <v>1745</v>
      </c>
      <c r="X1206" t="str">
        <f t="shared" si="18"/>
        <v>EJ771877@TRAC Corp</v>
      </c>
      <c r="Y1206">
        <f>_xlfn.IFNA(_xll.BDP(X1206,"INTERVAL_SUM", "MARKET_DATA_OVERRIDE=px_volume", "CALC_INTERVAL=5D"), "")</f>
        <v>1368</v>
      </c>
      <c r="Z1206" cm="1">
        <f t="array" ref="Z1206">_xll.BDP(B1206, "CF_ACT_CASH_PAID_FOR_INT_DEBT")</f>
        <v>292</v>
      </c>
      <c r="AA1206" t="str" cm="1">
        <f t="array" ref="AA1206">_xll.BDP(B1206, "TYPE_OF_BOND")</f>
        <v>#N/A Field Not Applicable</v>
      </c>
    </row>
    <row r="1207" spans="1:27" x14ac:dyDescent="0.25">
      <c r="A1207">
        <v>1205</v>
      </c>
      <c r="B1207" t="s">
        <v>1753</v>
      </c>
      <c r="C1207" s="4" t="s">
        <v>1743</v>
      </c>
      <c r="D1207" s="4">
        <v>83992.392000000007</v>
      </c>
      <c r="E1207" s="1" t="s">
        <v>17</v>
      </c>
      <c r="F1207" s="1">
        <v>52320</v>
      </c>
      <c r="G1207">
        <v>0.75</v>
      </c>
      <c r="H1207" t="s">
        <v>34</v>
      </c>
      <c r="L1207" t="s">
        <v>1168</v>
      </c>
      <c r="M1207" t="s">
        <v>10</v>
      </c>
      <c r="N1207" t="s">
        <v>36</v>
      </c>
      <c r="O1207" t="s">
        <v>3118</v>
      </c>
      <c r="P1207" t="s">
        <v>2640</v>
      </c>
      <c r="Q1207" t="s">
        <v>3254</v>
      </c>
      <c r="R1207" t="s">
        <v>1754</v>
      </c>
      <c r="S1207">
        <v>-9997</v>
      </c>
      <c r="W1207" t="s">
        <v>1745</v>
      </c>
      <c r="X1207" t="str">
        <f t="shared" si="18"/>
        <v>EJ620455@TRAC Corp</v>
      </c>
      <c r="Y1207" t="str">
        <f>_xlfn.IFNA(_xll.BDP(X1207,"INTERVAL_SUM", "MARKET_DATA_OVERRIDE=px_volume", "CALC_INTERVAL=5D"), "")</f>
        <v>#N/A N/A</v>
      </c>
      <c r="Z1207" cm="1">
        <f t="array" ref="Z1207">_xll.BDP(B1207, "CF_ACT_CASH_PAID_FOR_INT_DEBT")</f>
        <v>414</v>
      </c>
      <c r="AA1207" t="str" cm="1">
        <f t="array" ref="AA1207">_xll.BDP(B1207, "TYPE_OF_BOND")</f>
        <v>Convertible</v>
      </c>
    </row>
    <row r="1208" spans="1:27" x14ac:dyDescent="0.25">
      <c r="A1208">
        <v>1206</v>
      </c>
      <c r="B1208" t="s">
        <v>1755</v>
      </c>
      <c r="C1208" s="4" t="s">
        <v>1743</v>
      </c>
      <c r="D1208" s="4">
        <v>426147242.33999997</v>
      </c>
      <c r="E1208" s="1" t="s">
        <v>17</v>
      </c>
      <c r="F1208" s="1">
        <v>47529</v>
      </c>
      <c r="G1208">
        <v>3.75</v>
      </c>
      <c r="H1208" t="s">
        <v>34</v>
      </c>
      <c r="L1208" t="s">
        <v>1168</v>
      </c>
      <c r="M1208" t="s">
        <v>10</v>
      </c>
      <c r="N1208" t="s">
        <v>36</v>
      </c>
      <c r="O1208" t="s">
        <v>3118</v>
      </c>
      <c r="P1208" t="s">
        <v>2640</v>
      </c>
      <c r="Q1208" t="s">
        <v>3254</v>
      </c>
      <c r="R1208" t="s">
        <v>1756</v>
      </c>
      <c r="S1208">
        <v>4845390.3068370903</v>
      </c>
      <c r="T1208">
        <v>4</v>
      </c>
      <c r="W1208" t="s">
        <v>1745</v>
      </c>
      <c r="X1208" t="str">
        <f t="shared" si="18"/>
        <v>EC270377@TRAC Corp</v>
      </c>
      <c r="Y1208" t="str">
        <f>_xlfn.IFNA(_xll.BDP(X1208,"INTERVAL_SUM", "MARKET_DATA_OVERRIDE=px_volume", "CALC_INTERVAL=5D"), "")</f>
        <v>#N/A N/A</v>
      </c>
      <c r="Z1208" cm="1">
        <f t="array" ref="Z1208">_xll.BDP(B1208, "CF_ACT_CASH_PAID_FOR_INT_DEBT")</f>
        <v>414</v>
      </c>
      <c r="AA1208" t="str" cm="1">
        <f t="array" ref="AA1208">_xll.BDP(B1208, "TYPE_OF_BOND")</f>
        <v>Convertible</v>
      </c>
    </row>
    <row r="1209" spans="1:27" x14ac:dyDescent="0.25">
      <c r="A1209">
        <v>1207</v>
      </c>
      <c r="B1209" t="s">
        <v>1757</v>
      </c>
      <c r="C1209" s="4" t="s">
        <v>1743</v>
      </c>
      <c r="D1209" s="4">
        <v>504476000</v>
      </c>
      <c r="E1209" s="1" t="s">
        <v>17</v>
      </c>
      <c r="F1209" s="1">
        <v>47515</v>
      </c>
      <c r="G1209">
        <v>8.25</v>
      </c>
      <c r="H1209" t="s">
        <v>34</v>
      </c>
      <c r="L1209" t="s">
        <v>1168</v>
      </c>
      <c r="M1209" t="s">
        <v>10</v>
      </c>
      <c r="N1209" t="s">
        <v>36</v>
      </c>
      <c r="O1209" t="s">
        <v>3118</v>
      </c>
      <c r="P1209" t="s">
        <v>2640</v>
      </c>
      <c r="Q1209" t="s">
        <v>3254</v>
      </c>
      <c r="R1209" t="s">
        <v>1758</v>
      </c>
      <c r="S1209">
        <v>16850211.1648442</v>
      </c>
      <c r="T1209">
        <v>6</v>
      </c>
      <c r="W1209" t="s">
        <v>1745</v>
      </c>
      <c r="X1209" t="str">
        <f t="shared" si="18"/>
        <v>EC265270@TRAC Corp</v>
      </c>
      <c r="Y1209">
        <f>_xlfn.IFNA(_xll.BDP(X1209,"INTERVAL_SUM", "MARKET_DATA_OVERRIDE=px_volume", "CALC_INTERVAL=5D"), "")</f>
        <v>5502</v>
      </c>
      <c r="Z1209" cm="1">
        <f t="array" ref="Z1209">_xll.BDP(B1209, "CF_ACT_CASH_PAID_FOR_INT_DEBT")</f>
        <v>414</v>
      </c>
      <c r="AA1209" t="str" cm="1">
        <f t="array" ref="AA1209">_xll.BDP(B1209, "TYPE_OF_BOND")</f>
        <v>#N/A Field Not Applicable</v>
      </c>
    </row>
    <row r="1210" spans="1:27" x14ac:dyDescent="0.25">
      <c r="A1210">
        <v>1208</v>
      </c>
      <c r="B1210" t="s">
        <v>1759</v>
      </c>
      <c r="C1210" s="4" t="s">
        <v>1743</v>
      </c>
      <c r="D1210" s="4">
        <v>349226600.5</v>
      </c>
      <c r="E1210" s="1" t="s">
        <v>17</v>
      </c>
      <c r="F1210" s="1">
        <v>47437</v>
      </c>
      <c r="G1210">
        <v>4</v>
      </c>
      <c r="H1210" t="s">
        <v>34</v>
      </c>
      <c r="L1210" t="s">
        <v>1168</v>
      </c>
      <c r="M1210" t="s">
        <v>10</v>
      </c>
      <c r="N1210" t="s">
        <v>36</v>
      </c>
      <c r="O1210" t="s">
        <v>3118</v>
      </c>
      <c r="P1210" t="s">
        <v>2640</v>
      </c>
      <c r="Q1210" t="s">
        <v>3254</v>
      </c>
      <c r="R1210" t="s">
        <v>1760</v>
      </c>
      <c r="S1210">
        <v>7047970.7237889403</v>
      </c>
      <c r="T1210">
        <v>4</v>
      </c>
      <c r="W1210" t="s">
        <v>1745</v>
      </c>
      <c r="X1210" t="str">
        <f t="shared" si="18"/>
        <v>EC228615@TRAC Corp</v>
      </c>
      <c r="Y1210">
        <f>_xlfn.IFNA(_xll.BDP(X1210,"INTERVAL_SUM", "MARKET_DATA_OVERRIDE=px_volume", "CALC_INTERVAL=5D"), "")</f>
        <v>71</v>
      </c>
      <c r="Z1210" cm="1">
        <f t="array" ref="Z1210">_xll.BDP(B1210, "CF_ACT_CASH_PAID_FOR_INT_DEBT")</f>
        <v>414</v>
      </c>
      <c r="AA1210" t="str" cm="1">
        <f t="array" ref="AA1210">_xll.BDP(B1210, "TYPE_OF_BOND")</f>
        <v>Convertible</v>
      </c>
    </row>
    <row r="1211" spans="1:27" x14ac:dyDescent="0.25">
      <c r="A1211">
        <v>1209</v>
      </c>
      <c r="B1211" t="s">
        <v>1761</v>
      </c>
      <c r="C1211" s="4" t="s">
        <v>1743</v>
      </c>
      <c r="D1211" s="4">
        <v>426147242.33999997</v>
      </c>
      <c r="E1211" s="1" t="s">
        <v>17</v>
      </c>
      <c r="F1211" s="1">
        <v>47529</v>
      </c>
      <c r="G1211">
        <v>3.75</v>
      </c>
      <c r="H1211" t="s">
        <v>34</v>
      </c>
      <c r="L1211" t="s">
        <v>1168</v>
      </c>
      <c r="M1211" t="s">
        <v>10</v>
      </c>
      <c r="N1211" t="s">
        <v>36</v>
      </c>
      <c r="O1211" t="s">
        <v>3118</v>
      </c>
      <c r="P1211" t="s">
        <v>2640</v>
      </c>
      <c r="Q1211" t="s">
        <v>3254</v>
      </c>
      <c r="R1211" t="s">
        <v>1756</v>
      </c>
      <c r="S1211">
        <v>4737323.3566424605</v>
      </c>
      <c r="T1211">
        <v>4</v>
      </c>
      <c r="U1211" t="s">
        <v>1169</v>
      </c>
      <c r="W1211" t="s">
        <v>1745</v>
      </c>
      <c r="X1211" t="str">
        <f t="shared" si="18"/>
        <v>EC225108@TRAC Corp</v>
      </c>
      <c r="Y1211" t="str">
        <f>_xlfn.IFNA(_xll.BDP(X1211,"INTERVAL_SUM", "MARKET_DATA_OVERRIDE=px_volume", "CALC_INTERVAL=5D"), "")</f>
        <v>#N/A N/A</v>
      </c>
      <c r="Z1211" cm="1">
        <f t="array" ref="Z1211">_xll.BDP(B1211, "CF_ACT_CASH_PAID_FOR_INT_DEBT")</f>
        <v>414</v>
      </c>
      <c r="AA1211" t="str" cm="1">
        <f t="array" ref="AA1211">_xll.BDP(B1211, "TYPE_OF_BOND")</f>
        <v>Convertible</v>
      </c>
    </row>
    <row r="1212" spans="1:27" x14ac:dyDescent="0.25">
      <c r="A1212">
        <v>1210</v>
      </c>
      <c r="B1212" t="s">
        <v>1762</v>
      </c>
      <c r="C1212" s="4" t="s">
        <v>1743</v>
      </c>
      <c r="D1212" s="4">
        <v>287242000</v>
      </c>
      <c r="E1212" s="1" t="s">
        <v>17</v>
      </c>
      <c r="F1212" s="1">
        <v>47314</v>
      </c>
      <c r="G1212">
        <v>8.5</v>
      </c>
      <c r="H1212" t="s">
        <v>34</v>
      </c>
      <c r="L1212" t="s">
        <v>1168</v>
      </c>
      <c r="M1212" t="s">
        <v>10</v>
      </c>
      <c r="N1212" t="s">
        <v>36</v>
      </c>
      <c r="O1212" t="s">
        <v>3118</v>
      </c>
      <c r="P1212" t="s">
        <v>2640</v>
      </c>
      <c r="Q1212" t="s">
        <v>3254</v>
      </c>
      <c r="R1212" t="s">
        <v>1763</v>
      </c>
      <c r="S1212">
        <v>17199269.8873032</v>
      </c>
      <c r="T1212">
        <v>6</v>
      </c>
      <c r="W1212" t="s">
        <v>1745</v>
      </c>
      <c r="X1212" t="str">
        <f t="shared" si="18"/>
        <v>EC218601@TRAC Corp</v>
      </c>
      <c r="Y1212">
        <f>_xlfn.IFNA(_xll.BDP(X1212,"INTERVAL_SUM", "MARKET_DATA_OVERRIDE=px_volume", "CALC_INTERVAL=5D"), "")</f>
        <v>6319</v>
      </c>
      <c r="Z1212" cm="1">
        <f t="array" ref="Z1212">_xll.BDP(B1212, "CF_ACT_CASH_PAID_FOR_INT_DEBT")</f>
        <v>414</v>
      </c>
      <c r="AA1212" t="str" cm="1">
        <f t="array" ref="AA1212">_xll.BDP(B1212, "TYPE_OF_BOND")</f>
        <v>#N/A Field Not Applicable</v>
      </c>
    </row>
    <row r="1213" spans="1:27" x14ac:dyDescent="0.25">
      <c r="A1213">
        <v>1211</v>
      </c>
      <c r="B1213" t="s">
        <v>1764</v>
      </c>
      <c r="C1213" s="4" t="s">
        <v>1743</v>
      </c>
      <c r="D1213" s="4">
        <v>349226600.5</v>
      </c>
      <c r="E1213" s="1" t="s">
        <v>17</v>
      </c>
      <c r="F1213" s="1">
        <v>47437</v>
      </c>
      <c r="G1213">
        <v>4</v>
      </c>
      <c r="H1213" t="s">
        <v>34</v>
      </c>
      <c r="L1213" t="s">
        <v>1168</v>
      </c>
      <c r="M1213" t="s">
        <v>10</v>
      </c>
      <c r="N1213" t="s">
        <v>36</v>
      </c>
      <c r="O1213" t="s">
        <v>3118</v>
      </c>
      <c r="P1213" t="s">
        <v>2640</v>
      </c>
      <c r="Q1213" t="s">
        <v>3254</v>
      </c>
      <c r="R1213" t="s">
        <v>1760</v>
      </c>
      <c r="S1213">
        <v>8739252.8753414303</v>
      </c>
      <c r="T1213">
        <v>5</v>
      </c>
      <c r="U1213" t="s">
        <v>1169</v>
      </c>
      <c r="W1213" t="s">
        <v>1745</v>
      </c>
      <c r="X1213" t="str">
        <f t="shared" si="18"/>
        <v>EC198064@TRAC Corp</v>
      </c>
      <c r="Y1213" t="str">
        <f>_xlfn.IFNA(_xll.BDP(X1213,"INTERVAL_SUM", "MARKET_DATA_OVERRIDE=px_volume", "CALC_INTERVAL=5D"), "")</f>
        <v>#N/A N/A</v>
      </c>
      <c r="Z1213" cm="1">
        <f t="array" ref="Z1213">_xll.BDP(B1213, "CF_ACT_CASH_PAID_FOR_INT_DEBT")</f>
        <v>414</v>
      </c>
      <c r="AA1213" t="str" cm="1">
        <f t="array" ref="AA1213">_xll.BDP(B1213, "TYPE_OF_BOND")</f>
        <v>Convertible</v>
      </c>
    </row>
    <row r="1214" spans="1:27" x14ac:dyDescent="0.25">
      <c r="A1214">
        <v>1212</v>
      </c>
      <c r="B1214" t="s">
        <v>1765</v>
      </c>
      <c r="C1214" s="4" t="s">
        <v>1743</v>
      </c>
      <c r="D1214" s="4">
        <v>72344000</v>
      </c>
      <c r="E1214" s="1" t="s">
        <v>11</v>
      </c>
      <c r="F1214" s="1">
        <v>46997</v>
      </c>
      <c r="G1214">
        <v>4.375</v>
      </c>
      <c r="H1214" t="s">
        <v>34</v>
      </c>
      <c r="L1214" t="s">
        <v>1168</v>
      </c>
      <c r="M1214" t="s">
        <v>10</v>
      </c>
      <c r="N1214" t="s">
        <v>36</v>
      </c>
      <c r="O1214" t="s">
        <v>3118</v>
      </c>
      <c r="P1214" t="s">
        <v>2640</v>
      </c>
      <c r="Q1214" t="s">
        <v>3253</v>
      </c>
      <c r="R1214" t="s">
        <v>1766</v>
      </c>
      <c r="S1214">
        <v>5426181.9166701697</v>
      </c>
      <c r="T1214">
        <v>5</v>
      </c>
      <c r="W1214" t="s">
        <v>1745</v>
      </c>
      <c r="X1214" t="str">
        <f t="shared" si="18"/>
        <v>BK913693@TRAC Corp</v>
      </c>
      <c r="Y1214">
        <f>_xlfn.IFNA(_xll.BDP(X1214,"INTERVAL_SUM", "MARKET_DATA_OVERRIDE=px_volume", "CALC_INTERVAL=5D"), "")</f>
        <v>1323</v>
      </c>
      <c r="Z1214" cm="1">
        <f t="array" ref="Z1214">_xll.BDP(B1214, "CF_ACT_CASH_PAID_FOR_INT_DEBT")</f>
        <v>292</v>
      </c>
      <c r="AA1214" t="str" cm="1">
        <f t="array" ref="AA1214">_xll.BDP(B1214, "TYPE_OF_BOND")</f>
        <v>#N/A Field Not Applicable</v>
      </c>
    </row>
    <row r="1215" spans="1:27" x14ac:dyDescent="0.25">
      <c r="A1215">
        <v>1213</v>
      </c>
      <c r="B1215" t="s">
        <v>1767</v>
      </c>
      <c r="C1215" s="4" t="s">
        <v>1743</v>
      </c>
      <c r="D1215" s="4">
        <v>2900000000</v>
      </c>
      <c r="E1215" s="1" t="s">
        <v>11</v>
      </c>
      <c r="F1215" s="1">
        <v>46322</v>
      </c>
      <c r="G1215">
        <v>5.1334</v>
      </c>
      <c r="H1215" t="s">
        <v>13</v>
      </c>
      <c r="I1215" t="s">
        <v>2631</v>
      </c>
      <c r="J1215">
        <v>137.5</v>
      </c>
      <c r="L1215" t="s">
        <v>1168</v>
      </c>
      <c r="M1215" t="s">
        <v>10</v>
      </c>
      <c r="N1215" t="s">
        <v>36</v>
      </c>
      <c r="O1215" t="s">
        <v>3118</v>
      </c>
      <c r="P1215" t="s">
        <v>2640</v>
      </c>
      <c r="Q1215" t="s">
        <v>3253</v>
      </c>
      <c r="R1215" t="s">
        <v>1768</v>
      </c>
      <c r="V1215" t="s">
        <v>226</v>
      </c>
      <c r="W1215" t="s">
        <v>1745</v>
      </c>
      <c r="X1215" t="str">
        <f t="shared" si="18"/>
        <v>BL219943@TRAC Corp</v>
      </c>
      <c r="Y1215" t="str">
        <f>_xlfn.IFNA(_xll.BDP(X1215,"INTERVAL_SUM", "MARKET_DATA_OVERRIDE=px_volume", "CALC_INTERVAL=5D"), "")</f>
        <v>#N/A N/A</v>
      </c>
      <c r="Z1215" cm="1">
        <f t="array" ref="Z1215">_xll.BDP(B1215, "CF_ACT_CASH_PAID_FOR_INT_DEBT")</f>
        <v>292</v>
      </c>
      <c r="AA1215" t="str" cm="1">
        <f t="array" ref="AA1215">_xll.BDP(B1215, "TYPE_OF_BOND")</f>
        <v>#N/A Field Not Applicable</v>
      </c>
    </row>
    <row r="1216" spans="1:27" x14ac:dyDescent="0.25">
      <c r="A1216">
        <v>1214</v>
      </c>
      <c r="B1216" t="s">
        <v>1769</v>
      </c>
      <c r="C1216" s="4" t="s">
        <v>1743</v>
      </c>
      <c r="D1216" s="4">
        <v>1272315800</v>
      </c>
      <c r="E1216" s="1" t="s">
        <v>331</v>
      </c>
      <c r="F1216" s="1">
        <v>47922</v>
      </c>
      <c r="G1216">
        <v>8</v>
      </c>
      <c r="H1216" t="s">
        <v>9</v>
      </c>
      <c r="L1216" t="s">
        <v>1168</v>
      </c>
      <c r="M1216" t="s">
        <v>10</v>
      </c>
      <c r="N1216" t="s">
        <v>36</v>
      </c>
      <c r="O1216" t="s">
        <v>3118</v>
      </c>
      <c r="P1216" t="s">
        <v>2640</v>
      </c>
      <c r="Q1216" t="s">
        <v>3254</v>
      </c>
      <c r="R1216" t="s">
        <v>1770</v>
      </c>
      <c r="S1216">
        <v>147660.84999999899</v>
      </c>
      <c r="T1216">
        <v>7</v>
      </c>
      <c r="W1216" t="s">
        <v>1745</v>
      </c>
      <c r="X1216" t="str">
        <f t="shared" si="18"/>
        <v>EP059248 Pfd</v>
      </c>
      <c r="Y1216">
        <f>_xlfn.IFNA(_xll.BDP(X1216,"INTERVAL_SUM", "MARKET_DATA_OVERRIDE=px_volume", "CALC_INTERVAL=5D"), "")</f>
        <v>4823868</v>
      </c>
      <c r="Z1216" cm="1">
        <f t="array" ref="Z1216">_xll.BDP(B1216, "CF_ACT_CASH_PAID_FOR_INT_DEBT")</f>
        <v>414</v>
      </c>
      <c r="AA1216" t="str" cm="1">
        <f t="array" ref="AA1216">_xll.BDP(B1216, "TYPE_OF_BOND")</f>
        <v>#N/A Field Not Applicable</v>
      </c>
    </row>
    <row r="1217" spans="1:27" x14ac:dyDescent="0.25">
      <c r="A1217">
        <v>1215</v>
      </c>
      <c r="B1217" t="s">
        <v>1771</v>
      </c>
      <c r="C1217" s="4" t="s">
        <v>1743</v>
      </c>
      <c r="D1217" s="4">
        <v>500250000</v>
      </c>
      <c r="E1217" s="1" t="s">
        <v>11</v>
      </c>
      <c r="F1217" s="1">
        <v>61693</v>
      </c>
      <c r="G1217">
        <v>6.25</v>
      </c>
      <c r="H1217" t="s">
        <v>9</v>
      </c>
      <c r="L1217" t="s">
        <v>1168</v>
      </c>
      <c r="M1217" t="s">
        <v>10</v>
      </c>
      <c r="N1217" t="s">
        <v>36</v>
      </c>
      <c r="O1217" t="s">
        <v>3118</v>
      </c>
      <c r="P1217" t="s">
        <v>2640</v>
      </c>
      <c r="Q1217" t="s">
        <v>3253</v>
      </c>
      <c r="R1217" t="s">
        <v>1772</v>
      </c>
      <c r="S1217">
        <v>77360.2</v>
      </c>
      <c r="T1217">
        <v>49</v>
      </c>
      <c r="W1217" t="s">
        <v>1745</v>
      </c>
      <c r="X1217" t="str">
        <f t="shared" si="18"/>
        <v>EP058192 Pfd</v>
      </c>
      <c r="Y1217">
        <f>_xlfn.IFNA(_xll.BDP(X1217,"INTERVAL_SUM", "MARKET_DATA_OVERRIDE=px_volume", "CALC_INTERVAL=5D"), "")</f>
        <v>95662</v>
      </c>
      <c r="Z1217" cm="1">
        <f t="array" ref="Z1217">_xll.BDP(B1217, "CF_ACT_CASH_PAID_FOR_INT_DEBT")</f>
        <v>292</v>
      </c>
      <c r="AA1217" t="str" cm="1">
        <f t="array" ref="AA1217">_xll.BDP(B1217, "TYPE_OF_BOND")</f>
        <v>#N/A Field Not Applicable</v>
      </c>
    </row>
    <row r="1218" spans="1:27" x14ac:dyDescent="0.25">
      <c r="A1218">
        <v>1216</v>
      </c>
      <c r="B1218" t="s">
        <v>1773</v>
      </c>
      <c r="C1218" s="4" t="s">
        <v>1743</v>
      </c>
      <c r="D1218" s="4">
        <v>225000000</v>
      </c>
      <c r="E1218" s="1" t="s">
        <v>11</v>
      </c>
      <c r="F1218" s="1">
        <v>61253</v>
      </c>
      <c r="G1218">
        <v>6.375</v>
      </c>
      <c r="H1218" t="s">
        <v>9</v>
      </c>
      <c r="L1218" t="s">
        <v>1168</v>
      </c>
      <c r="M1218" t="s">
        <v>10</v>
      </c>
      <c r="N1218" t="s">
        <v>36</v>
      </c>
      <c r="O1218" t="s">
        <v>3118</v>
      </c>
      <c r="P1218" t="s">
        <v>2640</v>
      </c>
      <c r="Q1218" t="s">
        <v>3253</v>
      </c>
      <c r="R1218" t="s">
        <v>1774</v>
      </c>
      <c r="S1218">
        <v>43280.85</v>
      </c>
      <c r="T1218">
        <v>49</v>
      </c>
      <c r="W1218" t="s">
        <v>1745</v>
      </c>
      <c r="X1218" t="str">
        <f t="shared" si="18"/>
        <v>EP055987 Pfd</v>
      </c>
      <c r="Y1218">
        <f>_xlfn.IFNA(_xll.BDP(X1218,"INTERVAL_SUM", "MARKET_DATA_OVERRIDE=px_volume", "CALC_INTERVAL=5D"), "")</f>
        <v>76738</v>
      </c>
      <c r="Z1218" cm="1">
        <f t="array" ref="Z1218">_xll.BDP(B1218, "CF_ACT_CASH_PAID_FOR_INT_DEBT")</f>
        <v>292</v>
      </c>
      <c r="AA1218" t="str" cm="1">
        <f t="array" ref="AA1218">_xll.BDP(B1218, "TYPE_OF_BOND")</f>
        <v>#N/A Field Not Applicable</v>
      </c>
    </row>
    <row r="1219" spans="1:27" x14ac:dyDescent="0.25">
      <c r="A1219">
        <v>1217</v>
      </c>
      <c r="B1219" t="s">
        <v>3830</v>
      </c>
      <c r="C1219" s="4" t="s">
        <v>3831</v>
      </c>
      <c r="D1219" s="4">
        <v>50000000</v>
      </c>
      <c r="E1219" s="1" t="s">
        <v>17</v>
      </c>
      <c r="F1219" s="1">
        <v>47649</v>
      </c>
      <c r="G1219">
        <v>6.75</v>
      </c>
      <c r="H1219" t="s">
        <v>9</v>
      </c>
      <c r="L1219" t="s">
        <v>1168</v>
      </c>
      <c r="M1219" t="s">
        <v>10</v>
      </c>
      <c r="N1219" t="s">
        <v>313</v>
      </c>
      <c r="O1219" t="s">
        <v>3832</v>
      </c>
      <c r="P1219" t="s">
        <v>3833</v>
      </c>
      <c r="Q1219" t="s">
        <v>3833</v>
      </c>
      <c r="R1219" t="s">
        <v>3834</v>
      </c>
      <c r="S1219">
        <v>440845.90177826502</v>
      </c>
      <c r="T1219">
        <v>4</v>
      </c>
      <c r="W1219" t="s">
        <v>3835</v>
      </c>
      <c r="X1219" t="str">
        <f t="shared" ref="X1219:X1282" si="19">SUBSTITUTE(B1219," Corp","@TRAC Corp")</f>
        <v>YO992664@TRAC Corp</v>
      </c>
      <c r="Y1219" t="str">
        <f>_xlfn.IFNA(_xll.BDP(X1219,"INTERVAL_SUM", "MARKET_DATA_OVERRIDE=px_volume", "CALC_INTERVAL=5D"), "")</f>
        <v>#N/A N/A</v>
      </c>
      <c r="Z1219" cm="1">
        <f t="array" ref="Z1219">_xll.BDP(B1219, "CF_ACT_CASH_PAID_FOR_INT_DEBT")</f>
        <v>8.4030000000000005</v>
      </c>
      <c r="AA1219" t="str" cm="1">
        <f t="array" ref="AA1219">_xll.BDP(B1219, "TYPE_OF_BOND")</f>
        <v>Convertible</v>
      </c>
    </row>
    <row r="1220" spans="1:27" x14ac:dyDescent="0.25">
      <c r="A1220">
        <v>1218</v>
      </c>
      <c r="B1220" t="s">
        <v>3836</v>
      </c>
      <c r="C1220" s="4" t="s">
        <v>3831</v>
      </c>
      <c r="D1220" s="4">
        <v>600000000</v>
      </c>
      <c r="E1220" s="1" t="s">
        <v>17</v>
      </c>
      <c r="F1220" s="1">
        <v>48183</v>
      </c>
      <c r="G1220">
        <v>1.75</v>
      </c>
      <c r="H1220" t="s">
        <v>9</v>
      </c>
      <c r="L1220" t="s">
        <v>1168</v>
      </c>
      <c r="M1220" t="s">
        <v>10</v>
      </c>
      <c r="N1220" t="s">
        <v>313</v>
      </c>
      <c r="O1220" t="s">
        <v>3832</v>
      </c>
      <c r="P1220" t="s">
        <v>3833</v>
      </c>
      <c r="Q1220" t="s">
        <v>3833</v>
      </c>
      <c r="R1220" t="s">
        <v>3837</v>
      </c>
      <c r="S1220">
        <v>1337354.87118694</v>
      </c>
      <c r="T1220">
        <v>12</v>
      </c>
      <c r="W1220" t="s">
        <v>3835</v>
      </c>
      <c r="X1220" t="str">
        <f t="shared" si="19"/>
        <v>DA692681@TRAC Corp</v>
      </c>
      <c r="Y1220">
        <f>_xlfn.IFNA(_xll.BDP(X1220,"INTERVAL_SUM", "MARKET_DATA_OVERRIDE=px_volume", "CALC_INTERVAL=5D"), "")</f>
        <v>19750</v>
      </c>
      <c r="Z1220" cm="1">
        <f t="array" ref="Z1220">_xll.BDP(B1220, "CF_ACT_CASH_PAID_FOR_INT_DEBT")</f>
        <v>8.4030000000000005</v>
      </c>
      <c r="AA1220" t="str" cm="1">
        <f t="array" ref="AA1220">_xll.BDP(B1220, "TYPE_OF_BOND")</f>
        <v>Convertible</v>
      </c>
    </row>
    <row r="1221" spans="1:27" x14ac:dyDescent="0.25">
      <c r="A1221">
        <v>1219</v>
      </c>
      <c r="B1221" t="s">
        <v>3838</v>
      </c>
      <c r="C1221" s="4" t="s">
        <v>3831</v>
      </c>
      <c r="D1221" s="4">
        <v>197851000</v>
      </c>
      <c r="E1221" s="1" t="s">
        <v>11</v>
      </c>
      <c r="F1221" s="1">
        <v>49110</v>
      </c>
      <c r="H1221" t="s">
        <v>13</v>
      </c>
      <c r="I1221" t="s">
        <v>2631</v>
      </c>
      <c r="L1221" t="s">
        <v>1168</v>
      </c>
      <c r="M1221" t="s">
        <v>10</v>
      </c>
      <c r="N1221" t="s">
        <v>313</v>
      </c>
      <c r="O1221" t="s">
        <v>3832</v>
      </c>
      <c r="P1221" t="s">
        <v>3833</v>
      </c>
      <c r="Q1221" t="s">
        <v>3833</v>
      </c>
      <c r="R1221" t="s">
        <v>3839</v>
      </c>
      <c r="V1221" t="s">
        <v>3840</v>
      </c>
      <c r="W1221" t="s">
        <v>3835</v>
      </c>
      <c r="X1221" t="str">
        <f t="shared" si="19"/>
        <v>BL484725@TRAC Corp</v>
      </c>
      <c r="Y1221" t="str">
        <f>_xlfn.IFNA(_xll.BDP(X1221,"INTERVAL_SUM", "MARKET_DATA_OVERRIDE=px_volume", "CALC_INTERVAL=5D"), "")</f>
        <v>#N/A N/A</v>
      </c>
      <c r="Z1221" cm="1">
        <f t="array" ref="Z1221">_xll.BDP(B1221, "CF_ACT_CASH_PAID_FOR_INT_DEBT")</f>
        <v>8.4030000000000005</v>
      </c>
      <c r="AA1221" t="str" cm="1">
        <f t="array" ref="AA1221">_xll.BDP(B1221, "TYPE_OF_BOND")</f>
        <v>#N/A Field Not Applicable</v>
      </c>
    </row>
    <row r="1222" spans="1:27" x14ac:dyDescent="0.25">
      <c r="A1222">
        <v>1220</v>
      </c>
      <c r="B1222" t="s">
        <v>2425</v>
      </c>
      <c r="C1222" s="4" t="s">
        <v>2426</v>
      </c>
      <c r="D1222" s="4">
        <v>600000000</v>
      </c>
      <c r="E1222" s="1" t="s">
        <v>12</v>
      </c>
      <c r="F1222" s="1">
        <v>47027</v>
      </c>
      <c r="G1222">
        <v>9.5</v>
      </c>
      <c r="H1222" t="s">
        <v>9</v>
      </c>
      <c r="L1222" t="s">
        <v>1168</v>
      </c>
      <c r="M1222" t="s">
        <v>10</v>
      </c>
      <c r="N1222" t="s">
        <v>36</v>
      </c>
      <c r="O1222" t="s">
        <v>3162</v>
      </c>
      <c r="P1222" t="s">
        <v>2666</v>
      </c>
      <c r="Q1222" t="s">
        <v>3163</v>
      </c>
      <c r="R1222" t="s">
        <v>2427</v>
      </c>
      <c r="S1222">
        <v>7530417.3798772702</v>
      </c>
      <c r="T1222">
        <v>23</v>
      </c>
      <c r="U1222" t="s">
        <v>1169</v>
      </c>
      <c r="W1222" t="s">
        <v>2428</v>
      </c>
      <c r="X1222" t="str">
        <f t="shared" si="19"/>
        <v>ZO480146@TRAC Corp</v>
      </c>
      <c r="Y1222">
        <f>_xlfn.IFNA(_xll.BDP(X1222,"INTERVAL_SUM", "MARKET_DATA_OVERRIDE=px_volume", "CALC_INTERVAL=5D"), "")</f>
        <v>1442</v>
      </c>
      <c r="Z1222" t="str" cm="1">
        <f t="array" ref="Z1222">_xll.BDP(B1222, "CF_ACT_CASH_PAID_FOR_INT_DEBT")</f>
        <v>#N/A N/A</v>
      </c>
      <c r="AA1222" t="str" cm="1">
        <f t="array" ref="AA1222">_xll.BDP(B1222, "TYPE_OF_BOND")</f>
        <v>#N/A Field Not Applicable</v>
      </c>
    </row>
    <row r="1223" spans="1:27" x14ac:dyDescent="0.25">
      <c r="A1223">
        <v>1221</v>
      </c>
      <c r="B1223" t="s">
        <v>2429</v>
      </c>
      <c r="C1223" s="4" t="s">
        <v>2426</v>
      </c>
      <c r="D1223" s="4">
        <v>50000000</v>
      </c>
      <c r="E1223" s="1" t="s">
        <v>11</v>
      </c>
      <c r="F1223" s="1"/>
      <c r="H1223" t="s">
        <v>13</v>
      </c>
      <c r="L1223" t="s">
        <v>1168</v>
      </c>
      <c r="M1223" t="s">
        <v>10</v>
      </c>
      <c r="N1223" t="s">
        <v>36</v>
      </c>
      <c r="O1223" t="s">
        <v>3162</v>
      </c>
      <c r="P1223" t="s">
        <v>2666</v>
      </c>
      <c r="Q1223" t="s">
        <v>3163</v>
      </c>
      <c r="R1223" t="s">
        <v>2430</v>
      </c>
      <c r="V1223" t="s">
        <v>227</v>
      </c>
      <c r="W1223" t="s">
        <v>2428</v>
      </c>
      <c r="X1223" t="str">
        <f t="shared" si="19"/>
        <v>BL351774@TRAC Corp</v>
      </c>
      <c r="Y1223" t="str">
        <f>_xlfn.IFNA(_xll.BDP(X1223,"INTERVAL_SUM", "MARKET_DATA_OVERRIDE=px_volume", "CALC_INTERVAL=5D"), "")</f>
        <v>#N/A N/A</v>
      </c>
      <c r="Z1223" t="str" cm="1">
        <f t="array" ref="Z1223">_xll.BDP(B1223, "CF_ACT_CASH_PAID_FOR_INT_DEBT")</f>
        <v>#N/A N/A</v>
      </c>
      <c r="AA1223" t="str" cm="1">
        <f t="array" ref="AA1223">_xll.BDP(B1223, "TYPE_OF_BOND")</f>
        <v>#N/A Field Not Applicable</v>
      </c>
    </row>
    <row r="1224" spans="1:27" x14ac:dyDescent="0.25">
      <c r="A1224">
        <v>1222</v>
      </c>
      <c r="B1224" t="s">
        <v>2431</v>
      </c>
      <c r="C1224" s="4" t="s">
        <v>2432</v>
      </c>
      <c r="D1224" s="4">
        <v>900000000</v>
      </c>
      <c r="E1224" s="1" t="s">
        <v>12</v>
      </c>
      <c r="F1224" s="1">
        <v>47437</v>
      </c>
      <c r="G1224">
        <v>7.45</v>
      </c>
      <c r="H1224" t="s">
        <v>34</v>
      </c>
      <c r="L1224" t="s">
        <v>1168</v>
      </c>
      <c r="M1224" t="s">
        <v>2433</v>
      </c>
      <c r="N1224" t="s">
        <v>460</v>
      </c>
      <c r="O1224" t="s">
        <v>2655</v>
      </c>
      <c r="P1224" t="s">
        <v>2655</v>
      </c>
      <c r="Q1224" t="s">
        <v>3139</v>
      </c>
      <c r="R1224" t="s">
        <v>2434</v>
      </c>
      <c r="S1224">
        <v>7770988.1011194102</v>
      </c>
      <c r="T1224">
        <v>17</v>
      </c>
      <c r="U1224" t="s">
        <v>1169</v>
      </c>
      <c r="W1224" t="s">
        <v>2435</v>
      </c>
      <c r="X1224" t="str">
        <f t="shared" si="19"/>
        <v>ZQ772775@TRAC Corp</v>
      </c>
      <c r="Y1224" t="str">
        <f>_xlfn.IFNA(_xll.BDP(X1224,"INTERVAL_SUM", "MARKET_DATA_OVERRIDE=px_volume", "CALC_INTERVAL=5D"), "")</f>
        <v>#N/A N/A</v>
      </c>
      <c r="Z1224" cm="1">
        <f t="array" ref="Z1224">_xll.BDP(B1224, "CF_ACT_CASH_PAID_FOR_INT_DEBT")</f>
        <v>4427</v>
      </c>
      <c r="AA1224" t="str" cm="1">
        <f t="array" ref="AA1224">_xll.BDP(B1224, "TYPE_OF_BOND")</f>
        <v>#N/A Field Not Applicable</v>
      </c>
    </row>
    <row r="1225" spans="1:27" x14ac:dyDescent="0.25">
      <c r="A1225">
        <v>1223</v>
      </c>
      <c r="B1225" t="s">
        <v>2436</v>
      </c>
      <c r="C1225" s="4" t="s">
        <v>2432</v>
      </c>
      <c r="D1225" s="4">
        <v>750000000</v>
      </c>
      <c r="E1225" s="1" t="s">
        <v>17</v>
      </c>
      <c r="F1225" s="1">
        <v>54819</v>
      </c>
      <c r="G1225">
        <v>5.875</v>
      </c>
      <c r="H1225" t="s">
        <v>312</v>
      </c>
      <c r="L1225" t="s">
        <v>1168</v>
      </c>
      <c r="M1225" t="s">
        <v>1148</v>
      </c>
      <c r="N1225" t="s">
        <v>460</v>
      </c>
      <c r="O1225" t="s">
        <v>2655</v>
      </c>
      <c r="P1225" t="s">
        <v>2655</v>
      </c>
      <c r="Q1225" t="s">
        <v>3156</v>
      </c>
      <c r="R1225" t="s">
        <v>2437</v>
      </c>
      <c r="S1225">
        <v>6092036.1607387196</v>
      </c>
      <c r="T1225">
        <v>5</v>
      </c>
      <c r="U1225" t="s">
        <v>1169</v>
      </c>
      <c r="W1225" t="s">
        <v>2435</v>
      </c>
      <c r="X1225" t="str">
        <f t="shared" si="19"/>
        <v>ZQ357922@TRAC Corp</v>
      </c>
      <c r="Y1225">
        <f>_xlfn.IFNA(_xll.BDP(X1225,"INTERVAL_SUM", "MARKET_DATA_OVERRIDE=px_volume", "CALC_INTERVAL=5D"), "")</f>
        <v>5148</v>
      </c>
      <c r="Z1225" cm="1">
        <f t="array" ref="Z1225">_xll.BDP(B1225, "CF_ACT_CASH_PAID_FOR_INT_DEBT")</f>
        <v>4427</v>
      </c>
      <c r="AA1225" t="str" cm="1">
        <f t="array" ref="AA1225">_xll.BDP(B1225, "TYPE_OF_BOND")</f>
        <v>#N/A Field Not Applicable</v>
      </c>
    </row>
    <row r="1226" spans="1:27" x14ac:dyDescent="0.25">
      <c r="A1226">
        <v>1224</v>
      </c>
      <c r="B1226" t="s">
        <v>2438</v>
      </c>
      <c r="C1226" s="4" t="s">
        <v>2432</v>
      </c>
      <c r="D1226" s="4">
        <v>1500000000</v>
      </c>
      <c r="E1226" t="s">
        <v>17</v>
      </c>
      <c r="F1226" s="1">
        <v>47514</v>
      </c>
      <c r="G1226">
        <v>4.5</v>
      </c>
      <c r="H1226" t="s">
        <v>312</v>
      </c>
      <c r="L1226" t="s">
        <v>1168</v>
      </c>
      <c r="M1226" t="s">
        <v>1148</v>
      </c>
      <c r="N1226" t="s">
        <v>460</v>
      </c>
      <c r="O1226" t="s">
        <v>2655</v>
      </c>
      <c r="P1226" t="s">
        <v>2655</v>
      </c>
      <c r="Q1226" t="s">
        <v>3156</v>
      </c>
      <c r="R1226" t="s">
        <v>2439</v>
      </c>
      <c r="S1226">
        <v>6074169.8094806196</v>
      </c>
      <c r="T1226">
        <v>9</v>
      </c>
      <c r="U1226" t="s">
        <v>1169</v>
      </c>
      <c r="W1226" t="s">
        <v>2435</v>
      </c>
      <c r="X1226" t="str">
        <f t="shared" si="19"/>
        <v>ZQ357901@TRAC Corp</v>
      </c>
      <c r="Y1226" t="str">
        <f>_xlfn.IFNA(_xll.BDP(X1226,"INTERVAL_SUM", "MARKET_DATA_OVERRIDE=px_volume", "CALC_INTERVAL=5D"), "")</f>
        <v>#N/A N/A</v>
      </c>
      <c r="Z1226" cm="1">
        <f t="array" ref="Z1226">_xll.BDP(B1226, "CF_ACT_CASH_PAID_FOR_INT_DEBT")</f>
        <v>4427</v>
      </c>
      <c r="AA1226" t="str" cm="1">
        <f t="array" ref="AA1226">_xll.BDP(B1226, "TYPE_OF_BOND")</f>
        <v>#N/A Field Not Applicable</v>
      </c>
    </row>
    <row r="1227" spans="1:27" x14ac:dyDescent="0.25">
      <c r="A1227">
        <v>1225</v>
      </c>
      <c r="B1227" t="s">
        <v>2440</v>
      </c>
      <c r="C1227" s="4" t="s">
        <v>2432</v>
      </c>
      <c r="D1227" s="4">
        <v>96250000</v>
      </c>
      <c r="E1227" t="s">
        <v>17</v>
      </c>
      <c r="F1227" s="1">
        <v>48527</v>
      </c>
      <c r="H1227" t="s">
        <v>312</v>
      </c>
      <c r="I1227" t="s">
        <v>2686</v>
      </c>
      <c r="L1227" t="s">
        <v>1677</v>
      </c>
      <c r="M1227" t="s">
        <v>1678</v>
      </c>
      <c r="N1227" t="s">
        <v>460</v>
      </c>
      <c r="O1227" t="s">
        <v>2655</v>
      </c>
      <c r="P1227" t="s">
        <v>2655</v>
      </c>
      <c r="Q1227" t="s">
        <v>3156</v>
      </c>
      <c r="R1227" t="s">
        <v>2441</v>
      </c>
      <c r="S1227">
        <v>86613.386154905602</v>
      </c>
      <c r="T1227">
        <v>5</v>
      </c>
      <c r="U1227" t="s">
        <v>2442</v>
      </c>
      <c r="W1227" t="s">
        <v>2435</v>
      </c>
      <c r="X1227" t="str">
        <f t="shared" si="19"/>
        <v>ZN888084@TRAC Corp</v>
      </c>
      <c r="Y1227" t="str">
        <f>_xlfn.IFNA(_xll.BDP(X1227,"INTERVAL_SUM", "MARKET_DATA_OVERRIDE=px_volume", "CALC_INTERVAL=5D"), "")</f>
        <v>#N/A N/A</v>
      </c>
      <c r="Z1227" cm="1">
        <f t="array" ref="Z1227">_xll.BDP(B1227, "CF_ACT_CASH_PAID_FOR_INT_DEBT")</f>
        <v>4427</v>
      </c>
      <c r="AA1227" t="str" cm="1">
        <f t="array" ref="AA1227">_xll.BDP(B1227, "TYPE_OF_BOND")</f>
        <v>#N/A Field Not Applicable</v>
      </c>
    </row>
    <row r="1228" spans="1:27" x14ac:dyDescent="0.25">
      <c r="A1228">
        <v>1226</v>
      </c>
      <c r="B1228" t="s">
        <v>2443</v>
      </c>
      <c r="C1228" s="4" t="s">
        <v>2432</v>
      </c>
      <c r="D1228" s="4">
        <v>1103750000</v>
      </c>
      <c r="E1228" t="s">
        <v>17</v>
      </c>
      <c r="F1228" s="1">
        <v>47431</v>
      </c>
      <c r="H1228" t="s">
        <v>312</v>
      </c>
      <c r="I1228" t="s">
        <v>2686</v>
      </c>
      <c r="L1228" t="s">
        <v>1677</v>
      </c>
      <c r="M1228" t="s">
        <v>1678</v>
      </c>
      <c r="N1228" t="s">
        <v>460</v>
      </c>
      <c r="O1228" t="s">
        <v>2655</v>
      </c>
      <c r="P1228" t="s">
        <v>2655</v>
      </c>
      <c r="Q1228" t="s">
        <v>3156</v>
      </c>
      <c r="R1228" t="s">
        <v>2444</v>
      </c>
      <c r="S1228">
        <v>522311.57361715101</v>
      </c>
      <c r="T1228">
        <v>14</v>
      </c>
      <c r="U1228" t="s">
        <v>2445</v>
      </c>
      <c r="W1228" t="s">
        <v>2435</v>
      </c>
      <c r="X1228" t="str">
        <f t="shared" si="19"/>
        <v>ZN887990@TRAC Corp</v>
      </c>
      <c r="Y1228" t="str">
        <f>_xlfn.IFNA(_xll.BDP(X1228,"INTERVAL_SUM", "MARKET_DATA_OVERRIDE=px_volume", "CALC_INTERVAL=5D"), "")</f>
        <v>#N/A N/A</v>
      </c>
      <c r="Z1228" cm="1">
        <f t="array" ref="Z1228">_xll.BDP(B1228, "CF_ACT_CASH_PAID_FOR_INT_DEBT")</f>
        <v>4427</v>
      </c>
      <c r="AA1228" t="str" cm="1">
        <f t="array" ref="AA1228">_xll.BDP(B1228, "TYPE_OF_BOND")</f>
        <v>#N/A Field Not Applicable</v>
      </c>
    </row>
    <row r="1229" spans="1:27" x14ac:dyDescent="0.25">
      <c r="A1229">
        <v>1227</v>
      </c>
      <c r="B1229" t="s">
        <v>2446</v>
      </c>
      <c r="C1229" s="4" t="s">
        <v>2432</v>
      </c>
      <c r="D1229" s="4">
        <v>1000000000</v>
      </c>
      <c r="E1229" t="s">
        <v>17</v>
      </c>
      <c r="F1229" s="1">
        <v>48623</v>
      </c>
      <c r="G1229">
        <v>7.25</v>
      </c>
      <c r="H1229" t="s">
        <v>312</v>
      </c>
      <c r="L1229" t="s">
        <v>1168</v>
      </c>
      <c r="M1229" t="s">
        <v>1148</v>
      </c>
      <c r="N1229" t="s">
        <v>460</v>
      </c>
      <c r="O1229" t="s">
        <v>2655</v>
      </c>
      <c r="P1229" t="s">
        <v>2655</v>
      </c>
      <c r="Q1229" t="s">
        <v>3156</v>
      </c>
      <c r="R1229" t="s">
        <v>2447</v>
      </c>
      <c r="S1229">
        <v>5537400.9381999997</v>
      </c>
      <c r="T1229">
        <v>8</v>
      </c>
      <c r="U1229" t="s">
        <v>1169</v>
      </c>
      <c r="W1229" t="s">
        <v>2435</v>
      </c>
      <c r="X1229" t="str">
        <f t="shared" si="19"/>
        <v>ZM956762@TRAC Corp</v>
      </c>
      <c r="Y1229">
        <f>_xlfn.IFNA(_xll.BDP(X1229,"INTERVAL_SUM", "MARKET_DATA_OVERRIDE=px_volume", "CALC_INTERVAL=5D"), "")</f>
        <v>2000</v>
      </c>
      <c r="Z1229" cm="1">
        <f t="array" ref="Z1229">_xll.BDP(B1229, "CF_ACT_CASH_PAID_FOR_INT_DEBT")</f>
        <v>4427</v>
      </c>
      <c r="AA1229" t="str" cm="1">
        <f t="array" ref="AA1229">_xll.BDP(B1229, "TYPE_OF_BOND")</f>
        <v>#N/A Field Not Applicable</v>
      </c>
    </row>
    <row r="1230" spans="1:27" x14ac:dyDescent="0.25">
      <c r="A1230">
        <v>1228</v>
      </c>
      <c r="B1230" t="s">
        <v>2448</v>
      </c>
      <c r="C1230" s="4" t="s">
        <v>2432</v>
      </c>
      <c r="D1230" s="4">
        <v>850000000</v>
      </c>
      <c r="E1230" t="s">
        <v>17</v>
      </c>
      <c r="F1230" s="1">
        <v>47860</v>
      </c>
      <c r="G1230">
        <v>8.5</v>
      </c>
      <c r="H1230" t="s">
        <v>312</v>
      </c>
      <c r="L1230" t="s">
        <v>1168</v>
      </c>
      <c r="M1230" t="s">
        <v>1148</v>
      </c>
      <c r="N1230" t="s">
        <v>460</v>
      </c>
      <c r="O1230" t="s">
        <v>2655</v>
      </c>
      <c r="P1230" t="s">
        <v>2655</v>
      </c>
      <c r="Q1230" t="s">
        <v>3156</v>
      </c>
      <c r="R1230" t="s">
        <v>2449</v>
      </c>
      <c r="S1230">
        <v>4854046.2401493303</v>
      </c>
      <c r="T1230">
        <v>8</v>
      </c>
      <c r="U1230" t="s">
        <v>1169</v>
      </c>
      <c r="W1230" t="s">
        <v>2435</v>
      </c>
      <c r="X1230" t="str">
        <f t="shared" si="19"/>
        <v>ZI808332@TRAC Corp</v>
      </c>
      <c r="Y1230">
        <f>_xlfn.IFNA(_xll.BDP(X1230,"INTERVAL_SUM", "MARKET_DATA_OVERRIDE=px_volume", "CALC_INTERVAL=5D"), "")</f>
        <v>1000</v>
      </c>
      <c r="Z1230" cm="1">
        <f t="array" ref="Z1230">_xll.BDP(B1230, "CF_ACT_CASH_PAID_FOR_INT_DEBT")</f>
        <v>4427</v>
      </c>
      <c r="AA1230" t="str" cm="1">
        <f t="array" ref="AA1230">_xll.BDP(B1230, "TYPE_OF_BOND")</f>
        <v>#N/A Field Not Applicable</v>
      </c>
    </row>
    <row r="1231" spans="1:27" x14ac:dyDescent="0.25">
      <c r="A1231">
        <v>1229</v>
      </c>
      <c r="B1231" t="s">
        <v>2450</v>
      </c>
      <c r="C1231" s="4" t="s">
        <v>2432</v>
      </c>
      <c r="D1231" s="4">
        <v>42941131.5</v>
      </c>
      <c r="E1231" t="s">
        <v>17</v>
      </c>
      <c r="F1231" s="1">
        <v>48441</v>
      </c>
      <c r="G1231">
        <v>8.8526000000000007</v>
      </c>
      <c r="H1231" t="s">
        <v>9</v>
      </c>
      <c r="L1231" t="s">
        <v>1677</v>
      </c>
      <c r="M1231" t="s">
        <v>1678</v>
      </c>
      <c r="N1231" t="s">
        <v>2119</v>
      </c>
      <c r="O1231" t="s">
        <v>2119</v>
      </c>
      <c r="P1231" t="s">
        <v>2698</v>
      </c>
      <c r="Q1231" t="s">
        <v>2698</v>
      </c>
      <c r="R1231" t="s">
        <v>2451</v>
      </c>
      <c r="S1231">
        <v>7582031.0650946796</v>
      </c>
      <c r="T1231">
        <v>6</v>
      </c>
      <c r="U1231">
        <v>12</v>
      </c>
      <c r="W1231" t="s">
        <v>2435</v>
      </c>
      <c r="X1231" t="str">
        <f t="shared" si="19"/>
        <v>YV435605@TRAC Corp</v>
      </c>
      <c r="Y1231" t="str">
        <f>_xlfn.IFNA(_xll.BDP(X1231,"INTERVAL_SUM", "MARKET_DATA_OVERRIDE=px_volume", "CALC_INTERVAL=5D"), "")</f>
        <v>#N/A N/A</v>
      </c>
      <c r="Z1231" t="str" cm="1">
        <f t="array" ref="Z1231">_xll.BDP(B1231, "CF_ACT_CASH_PAID_FOR_INT_DEBT")</f>
        <v>#N/A N/A</v>
      </c>
      <c r="AA1231" t="str" cm="1">
        <f t="array" ref="AA1231">_xll.BDP(B1231, "TYPE_OF_BOND")</f>
        <v>Inflation Linked</v>
      </c>
    </row>
    <row r="1232" spans="1:27" x14ac:dyDescent="0.25">
      <c r="A1232">
        <v>1230</v>
      </c>
      <c r="B1232" t="s">
        <v>2452</v>
      </c>
      <c r="C1232" s="4" t="s">
        <v>2432</v>
      </c>
      <c r="D1232" s="4">
        <v>850000000</v>
      </c>
      <c r="E1232" t="s">
        <v>17</v>
      </c>
      <c r="F1232" s="1">
        <v>49232</v>
      </c>
      <c r="G1232">
        <v>8</v>
      </c>
      <c r="H1232" t="s">
        <v>312</v>
      </c>
      <c r="L1232" t="s">
        <v>1168</v>
      </c>
      <c r="M1232" t="s">
        <v>1148</v>
      </c>
      <c r="N1232" t="s">
        <v>460</v>
      </c>
      <c r="O1232" t="s">
        <v>2655</v>
      </c>
      <c r="P1232" t="s">
        <v>2655</v>
      </c>
      <c r="Q1232" t="s">
        <v>3156</v>
      </c>
      <c r="R1232" t="s">
        <v>2453</v>
      </c>
      <c r="S1232">
        <v>3568918.18594755</v>
      </c>
      <c r="T1232">
        <v>9</v>
      </c>
      <c r="U1232" t="s">
        <v>1169</v>
      </c>
      <c r="W1232" t="s">
        <v>2435</v>
      </c>
      <c r="X1232" t="str">
        <f t="shared" si="19"/>
        <v>YU415516@TRAC Corp</v>
      </c>
      <c r="Y1232" t="str">
        <f>_xlfn.IFNA(_xll.BDP(X1232,"INTERVAL_SUM", "MARKET_DATA_OVERRIDE=px_volume", "CALC_INTERVAL=5D"), "")</f>
        <v>#N/A N/A</v>
      </c>
      <c r="Z1232" cm="1">
        <f t="array" ref="Z1232">_xll.BDP(B1232, "CF_ACT_CASH_PAID_FOR_INT_DEBT")</f>
        <v>4427</v>
      </c>
      <c r="AA1232" t="str" cm="1">
        <f t="array" ref="AA1232">_xll.BDP(B1232, "TYPE_OF_BOND")</f>
        <v>#N/A Field Not Applicable</v>
      </c>
    </row>
    <row r="1233" spans="1:27" x14ac:dyDescent="0.25">
      <c r="A1233">
        <v>1231</v>
      </c>
      <c r="B1233" t="s">
        <v>2454</v>
      </c>
      <c r="C1233" s="4" t="s">
        <v>2432</v>
      </c>
      <c r="D1233" s="4">
        <v>160000000</v>
      </c>
      <c r="E1233" t="s">
        <v>17</v>
      </c>
      <c r="F1233" s="1">
        <v>48258</v>
      </c>
      <c r="G1233">
        <v>14.07</v>
      </c>
      <c r="H1233" t="s">
        <v>13</v>
      </c>
      <c r="I1233" t="s">
        <v>2686</v>
      </c>
      <c r="L1233" t="s">
        <v>1677</v>
      </c>
      <c r="M1233" t="s">
        <v>1678</v>
      </c>
      <c r="N1233" t="s">
        <v>333</v>
      </c>
      <c r="O1233" t="s">
        <v>3255</v>
      </c>
      <c r="P1233" t="s">
        <v>2699</v>
      </c>
      <c r="Q1233" t="s">
        <v>3256</v>
      </c>
      <c r="R1233" t="s">
        <v>2455</v>
      </c>
      <c r="S1233">
        <v>-9997</v>
      </c>
      <c r="U1233">
        <v>12</v>
      </c>
      <c r="W1233" t="s">
        <v>2435</v>
      </c>
      <c r="X1233" t="str">
        <f t="shared" si="19"/>
        <v>YR885276@TRAC Corp</v>
      </c>
      <c r="Y1233" t="str">
        <f>_xlfn.IFNA(_xll.BDP(X1233,"INTERVAL_SUM", "MARKET_DATA_OVERRIDE=px_volume", "CALC_INTERVAL=5D"), "")</f>
        <v>#N/A N/A</v>
      </c>
      <c r="Z1233" t="str" cm="1">
        <f t="array" ref="Z1233">_xll.BDP(B1233, "CF_ACT_CASH_PAID_FOR_INT_DEBT")</f>
        <v>#N/A N/A</v>
      </c>
      <c r="AA1233" t="str" cm="1">
        <f t="array" ref="AA1233">_xll.BDP(B1233, "TYPE_OF_BOND")</f>
        <v>#N/A Field Not Applicable</v>
      </c>
    </row>
    <row r="1234" spans="1:27" x14ac:dyDescent="0.25">
      <c r="A1234">
        <v>1232</v>
      </c>
      <c r="B1234" t="s">
        <v>2456</v>
      </c>
      <c r="C1234" s="4" t="s">
        <v>2432</v>
      </c>
      <c r="D1234" s="4">
        <v>586785000</v>
      </c>
      <c r="E1234" t="s">
        <v>17</v>
      </c>
      <c r="F1234" s="1">
        <v>51704</v>
      </c>
      <c r="G1234">
        <v>7.125</v>
      </c>
      <c r="H1234" t="s">
        <v>312</v>
      </c>
      <c r="L1234" t="s">
        <v>1168</v>
      </c>
      <c r="M1234" t="s">
        <v>10</v>
      </c>
      <c r="N1234" t="s">
        <v>460</v>
      </c>
      <c r="O1234" t="s">
        <v>2655</v>
      </c>
      <c r="P1234" t="s">
        <v>2655</v>
      </c>
      <c r="Q1234" t="s">
        <v>3257</v>
      </c>
      <c r="R1234" t="s">
        <v>2457</v>
      </c>
      <c r="S1234">
        <v>3873304.2961786301</v>
      </c>
      <c r="T1234">
        <v>8</v>
      </c>
      <c r="U1234" t="s">
        <v>1169</v>
      </c>
      <c r="W1234" t="s">
        <v>2435</v>
      </c>
      <c r="X1234" t="str">
        <f t="shared" si="19"/>
        <v>EI756490@TRAC Corp</v>
      </c>
      <c r="Y1234">
        <f>_xlfn.IFNA(_xll.BDP(X1234,"INTERVAL_SUM", "MARKET_DATA_OVERRIDE=px_volume", "CALC_INTERVAL=5D"), "")</f>
        <v>2170</v>
      </c>
      <c r="Z1234" cm="1">
        <f t="array" ref="Z1234">_xll.BDP(B1234, "CF_ACT_CASH_PAID_FOR_INT_DEBT")</f>
        <v>4427</v>
      </c>
      <c r="AA1234" t="str" cm="1">
        <f t="array" ref="AA1234">_xll.BDP(B1234, "TYPE_OF_BOND")</f>
        <v>#N/A Field Not Applicable</v>
      </c>
    </row>
    <row r="1235" spans="1:27" x14ac:dyDescent="0.25">
      <c r="A1235">
        <v>1233</v>
      </c>
      <c r="B1235" t="s">
        <v>2458</v>
      </c>
      <c r="C1235" s="4" t="s">
        <v>2432</v>
      </c>
      <c r="D1235" s="4">
        <v>244056000</v>
      </c>
      <c r="E1235" t="s">
        <v>17</v>
      </c>
      <c r="F1235" s="1">
        <v>48346</v>
      </c>
      <c r="H1235" t="s">
        <v>312</v>
      </c>
      <c r="I1235" t="s">
        <v>2686</v>
      </c>
      <c r="L1235" t="s">
        <v>1677</v>
      </c>
      <c r="M1235" t="s">
        <v>1678</v>
      </c>
      <c r="N1235" t="s">
        <v>460</v>
      </c>
      <c r="O1235" t="s">
        <v>2655</v>
      </c>
      <c r="P1235" t="s">
        <v>2655</v>
      </c>
      <c r="Q1235" t="s">
        <v>3156</v>
      </c>
      <c r="R1235" t="s">
        <v>2459</v>
      </c>
      <c r="S1235">
        <v>174935.93440180999</v>
      </c>
      <c r="T1235">
        <v>7</v>
      </c>
      <c r="U1235" t="s">
        <v>2460</v>
      </c>
      <c r="W1235" t="s">
        <v>2435</v>
      </c>
      <c r="X1235" t="str">
        <f t="shared" si="19"/>
        <v>BX123405@TRAC Corp</v>
      </c>
      <c r="Y1235" t="str">
        <f>_xlfn.IFNA(_xll.BDP(X1235,"INTERVAL_SUM", "MARKET_DATA_OVERRIDE=px_volume", "CALC_INTERVAL=5D"), "")</f>
        <v>#N/A N/A</v>
      </c>
      <c r="Z1235" cm="1">
        <f t="array" ref="Z1235">_xll.BDP(B1235, "CF_ACT_CASH_PAID_FOR_INT_DEBT")</f>
        <v>4427</v>
      </c>
      <c r="AA1235" t="str" cm="1">
        <f t="array" ref="AA1235">_xll.BDP(B1235, "TYPE_OF_BOND")</f>
        <v>#N/A Field Not Applicable</v>
      </c>
    </row>
    <row r="1236" spans="1:27" x14ac:dyDescent="0.25">
      <c r="A1236">
        <v>1234</v>
      </c>
      <c r="B1236" t="s">
        <v>2461</v>
      </c>
      <c r="C1236" s="4" t="s">
        <v>2432</v>
      </c>
      <c r="D1236" s="4">
        <v>755944000</v>
      </c>
      <c r="E1236" t="s">
        <v>17</v>
      </c>
      <c r="F1236" s="1">
        <v>47250</v>
      </c>
      <c r="H1236" t="s">
        <v>312</v>
      </c>
      <c r="I1236" t="s">
        <v>2686</v>
      </c>
      <c r="L1236" t="s">
        <v>1677</v>
      </c>
      <c r="M1236" t="s">
        <v>1678</v>
      </c>
      <c r="N1236" t="s">
        <v>460</v>
      </c>
      <c r="O1236" t="s">
        <v>2655</v>
      </c>
      <c r="P1236" t="s">
        <v>2655</v>
      </c>
      <c r="Q1236" t="s">
        <v>3156</v>
      </c>
      <c r="R1236" t="s">
        <v>2462</v>
      </c>
      <c r="S1236">
        <v>425021.88586495299</v>
      </c>
      <c r="T1236">
        <v>12</v>
      </c>
      <c r="U1236" t="s">
        <v>2463</v>
      </c>
      <c r="W1236" t="s">
        <v>2435</v>
      </c>
      <c r="X1236" t="str">
        <f t="shared" si="19"/>
        <v>BX122675@TRAC Corp</v>
      </c>
      <c r="Y1236" t="str">
        <f>_xlfn.IFNA(_xll.BDP(X1236,"INTERVAL_SUM", "MARKET_DATA_OVERRIDE=px_volume", "CALC_INTERVAL=5D"), "")</f>
        <v>#N/A N/A</v>
      </c>
      <c r="Z1236" cm="1">
        <f t="array" ref="Z1236">_xll.BDP(B1236, "CF_ACT_CASH_PAID_FOR_INT_DEBT")</f>
        <v>4427</v>
      </c>
      <c r="AA1236" t="str" cm="1">
        <f t="array" ref="AA1236">_xll.BDP(B1236, "TYPE_OF_BOND")</f>
        <v>#N/A Field Not Applicable</v>
      </c>
    </row>
    <row r="1237" spans="1:27" x14ac:dyDescent="0.25">
      <c r="A1237">
        <v>1235</v>
      </c>
      <c r="B1237" t="s">
        <v>2464</v>
      </c>
      <c r="C1237" s="4" t="s">
        <v>2432</v>
      </c>
      <c r="D1237" s="4">
        <v>1200000000</v>
      </c>
      <c r="E1237" t="s">
        <v>12</v>
      </c>
      <c r="F1237" s="1">
        <v>48264</v>
      </c>
      <c r="G1237">
        <v>6.99</v>
      </c>
      <c r="H1237" t="s">
        <v>34</v>
      </c>
      <c r="L1237" t="s">
        <v>1168</v>
      </c>
      <c r="M1237" t="s">
        <v>2433</v>
      </c>
      <c r="N1237" t="s">
        <v>460</v>
      </c>
      <c r="O1237" t="s">
        <v>2655</v>
      </c>
      <c r="P1237" t="s">
        <v>2655</v>
      </c>
      <c r="Q1237" t="s">
        <v>3139</v>
      </c>
      <c r="R1237" t="s">
        <v>2465</v>
      </c>
      <c r="S1237">
        <v>8753577.3542026095</v>
      </c>
      <c r="T1237">
        <v>18</v>
      </c>
      <c r="U1237" t="s">
        <v>1169</v>
      </c>
      <c r="W1237" t="s">
        <v>2435</v>
      </c>
      <c r="X1237" t="str">
        <f t="shared" si="19"/>
        <v>BR969578@TRAC Corp</v>
      </c>
      <c r="Y1237" t="str">
        <f>_xlfn.IFNA(_xll.BDP(X1237,"INTERVAL_SUM", "MARKET_DATA_OVERRIDE=px_volume", "CALC_INTERVAL=5D"), "")</f>
        <v>#N/A N/A</v>
      </c>
      <c r="Z1237" cm="1">
        <f t="array" ref="Z1237">_xll.BDP(B1237, "CF_ACT_CASH_PAID_FOR_INT_DEBT")</f>
        <v>4427</v>
      </c>
      <c r="AA1237" t="str" cm="1">
        <f t="array" ref="AA1237">_xll.BDP(B1237, "TYPE_OF_BOND")</f>
        <v>#N/A Field Not Applicable</v>
      </c>
    </row>
    <row r="1238" spans="1:27" x14ac:dyDescent="0.25">
      <c r="A1238">
        <v>1236</v>
      </c>
      <c r="B1238" t="s">
        <v>2466</v>
      </c>
      <c r="C1238" s="4" t="s">
        <v>2432</v>
      </c>
      <c r="D1238" s="4">
        <v>231136000</v>
      </c>
      <c r="E1238" t="s">
        <v>1161</v>
      </c>
      <c r="F1238" s="1">
        <v>66134</v>
      </c>
      <c r="G1238">
        <v>12.004</v>
      </c>
      <c r="H1238" t="s">
        <v>312</v>
      </c>
      <c r="I1238" t="s">
        <v>2697</v>
      </c>
      <c r="L1238" t="s">
        <v>1168</v>
      </c>
      <c r="M1238" t="s">
        <v>1148</v>
      </c>
      <c r="N1238" t="s">
        <v>460</v>
      </c>
      <c r="O1238" t="s">
        <v>2655</v>
      </c>
      <c r="P1238" t="s">
        <v>2655</v>
      </c>
      <c r="Q1238" t="s">
        <v>3156</v>
      </c>
      <c r="R1238" t="s">
        <v>2467</v>
      </c>
      <c r="S1238">
        <v>2874455.5712255598</v>
      </c>
      <c r="T1238">
        <v>4</v>
      </c>
      <c r="U1238" t="s">
        <v>1169</v>
      </c>
      <c r="W1238" t="s">
        <v>2435</v>
      </c>
      <c r="X1238" t="str">
        <f t="shared" si="19"/>
        <v>BK589483@TRAC Corp</v>
      </c>
      <c r="Y1238" t="str">
        <f>_xlfn.IFNA(_xll.BDP(X1238,"INTERVAL_SUM", "MARKET_DATA_OVERRIDE=px_volume", "CALC_INTERVAL=5D"), "")</f>
        <v>#N/A N/A</v>
      </c>
      <c r="Z1238" cm="1">
        <f t="array" ref="Z1238">_xll.BDP(B1238, "CF_ACT_CASH_PAID_FOR_INT_DEBT")</f>
        <v>4427</v>
      </c>
      <c r="AA1238" t="str" cm="1">
        <f t="array" ref="AA1238">_xll.BDP(B1238, "TYPE_OF_BOND")</f>
        <v>Hybrid</v>
      </c>
    </row>
    <row r="1239" spans="1:27" x14ac:dyDescent="0.25">
      <c r="A1239">
        <v>1237</v>
      </c>
      <c r="B1239" t="s">
        <v>2468</v>
      </c>
      <c r="C1239" s="4" t="s">
        <v>2432</v>
      </c>
      <c r="D1239" s="4">
        <v>1250000000</v>
      </c>
      <c r="E1239" t="s">
        <v>17</v>
      </c>
      <c r="F1239" s="1">
        <v>46762</v>
      </c>
      <c r="G1239">
        <v>4.5</v>
      </c>
      <c r="H1239" t="s">
        <v>312</v>
      </c>
      <c r="L1239" t="s">
        <v>1168</v>
      </c>
      <c r="M1239" t="s">
        <v>1148</v>
      </c>
      <c r="N1239" t="s">
        <v>460</v>
      </c>
      <c r="O1239" t="s">
        <v>2655</v>
      </c>
      <c r="P1239" t="s">
        <v>2655</v>
      </c>
      <c r="Q1239" t="s">
        <v>3156</v>
      </c>
      <c r="R1239" t="s">
        <v>2469</v>
      </c>
      <c r="S1239">
        <v>4032134.2873164299</v>
      </c>
      <c r="T1239">
        <v>7</v>
      </c>
      <c r="U1239" t="s">
        <v>1169</v>
      </c>
      <c r="W1239" t="s">
        <v>2435</v>
      </c>
      <c r="X1239" t="str">
        <f t="shared" si="19"/>
        <v>AP428711@TRAC Corp</v>
      </c>
      <c r="Y1239">
        <f>_xlfn.IFNA(_xll.BDP(X1239,"INTERVAL_SUM", "MARKET_DATA_OVERRIDE=px_volume", "CALC_INTERVAL=5D"), "")</f>
        <v>250</v>
      </c>
      <c r="Z1239" cm="1">
        <f t="array" ref="Z1239">_xll.BDP(B1239, "CF_ACT_CASH_PAID_FOR_INT_DEBT")</f>
        <v>4427</v>
      </c>
      <c r="AA1239" t="str" cm="1">
        <f t="array" ref="AA1239">_xll.BDP(B1239, "TYPE_OF_BOND")</f>
        <v>#N/A Field Not Applicable</v>
      </c>
    </row>
    <row r="1240" spans="1:27" x14ac:dyDescent="0.25">
      <c r="A1240">
        <v>1238</v>
      </c>
      <c r="B1240" t="s">
        <v>2470</v>
      </c>
      <c r="C1240" s="4" t="s">
        <v>2432</v>
      </c>
      <c r="D1240" s="4">
        <v>408000000</v>
      </c>
      <c r="E1240" t="s">
        <v>11</v>
      </c>
      <c r="F1240" s="1">
        <v>47057</v>
      </c>
      <c r="H1240" t="s">
        <v>13</v>
      </c>
      <c r="L1240" t="s">
        <v>1168</v>
      </c>
      <c r="M1240" t="s">
        <v>2433</v>
      </c>
      <c r="N1240" t="s">
        <v>333</v>
      </c>
      <c r="O1240" t="s">
        <v>3210</v>
      </c>
      <c r="P1240" t="s">
        <v>2655</v>
      </c>
      <c r="Q1240" t="s">
        <v>3156</v>
      </c>
      <c r="R1240" t="s">
        <v>2471</v>
      </c>
      <c r="V1240" t="s">
        <v>227</v>
      </c>
      <c r="W1240" t="s">
        <v>2435</v>
      </c>
      <c r="X1240" t="str">
        <f t="shared" si="19"/>
        <v>BL453702@TRAC Corp</v>
      </c>
      <c r="Y1240" t="str">
        <f>_xlfn.IFNA(_xll.BDP(X1240,"INTERVAL_SUM", "MARKET_DATA_OVERRIDE=px_volume", "CALC_INTERVAL=5D"), "")</f>
        <v>#N/A N/A</v>
      </c>
      <c r="Z1240" cm="1">
        <f t="array" ref="Z1240">_xll.BDP(B1240, "CF_ACT_CASH_PAID_FOR_INT_DEBT")</f>
        <v>4427</v>
      </c>
      <c r="AA1240" t="str" cm="1">
        <f t="array" ref="AA1240">_xll.BDP(B1240, "TYPE_OF_BOND")</f>
        <v>#N/A Field Not Applicable</v>
      </c>
    </row>
    <row r="1241" spans="1:27" x14ac:dyDescent="0.25">
      <c r="A1241">
        <v>1239</v>
      </c>
      <c r="B1241" t="s">
        <v>2472</v>
      </c>
      <c r="C1241" s="4" t="s">
        <v>2432</v>
      </c>
      <c r="D1241" s="4">
        <v>1000000000</v>
      </c>
      <c r="E1241" t="s">
        <v>17</v>
      </c>
      <c r="F1241" s="1">
        <v>46370</v>
      </c>
      <c r="G1241">
        <v>6.3102</v>
      </c>
      <c r="H1241" t="s">
        <v>13</v>
      </c>
      <c r="I1241" t="s">
        <v>2652</v>
      </c>
      <c r="J1241">
        <v>135</v>
      </c>
      <c r="L1241" t="s">
        <v>1168</v>
      </c>
      <c r="M1241" t="s">
        <v>10</v>
      </c>
      <c r="N1241" t="s">
        <v>460</v>
      </c>
      <c r="O1241" t="s">
        <v>2655</v>
      </c>
      <c r="P1241" t="s">
        <v>2655</v>
      </c>
      <c r="Q1241" t="s">
        <v>3156</v>
      </c>
      <c r="R1241" t="s">
        <v>2473</v>
      </c>
      <c r="V1241" t="s">
        <v>226</v>
      </c>
      <c r="W1241" t="s">
        <v>2435</v>
      </c>
      <c r="X1241" t="str">
        <f t="shared" si="19"/>
        <v>BL380773@TRAC Corp</v>
      </c>
      <c r="Y1241" t="str">
        <f>_xlfn.IFNA(_xll.BDP(X1241,"INTERVAL_SUM", "MARKET_DATA_OVERRIDE=px_volume", "CALC_INTERVAL=5D"), "")</f>
        <v>#N/A N/A</v>
      </c>
      <c r="Z1241" cm="1">
        <f t="array" ref="Z1241">_xll.BDP(B1241, "CF_ACT_CASH_PAID_FOR_INT_DEBT")</f>
        <v>4427</v>
      </c>
      <c r="AA1241" t="str" cm="1">
        <f t="array" ref="AA1241">_xll.BDP(B1241, "TYPE_OF_BOND")</f>
        <v>#N/A Field Not Applicable</v>
      </c>
    </row>
    <row r="1242" spans="1:27" x14ac:dyDescent="0.25">
      <c r="A1242">
        <v>1240</v>
      </c>
      <c r="B1242" t="s">
        <v>2474</v>
      </c>
      <c r="C1242" s="4" t="s">
        <v>2432</v>
      </c>
      <c r="D1242" s="4">
        <v>600000000</v>
      </c>
      <c r="E1242" t="s">
        <v>17</v>
      </c>
      <c r="F1242" s="1">
        <v>46306</v>
      </c>
      <c r="H1242" t="s">
        <v>13</v>
      </c>
      <c r="L1242" t="s">
        <v>1168</v>
      </c>
      <c r="M1242" t="s">
        <v>2433</v>
      </c>
      <c r="N1242" t="s">
        <v>460</v>
      </c>
      <c r="O1242" t="s">
        <v>2655</v>
      </c>
      <c r="P1242" t="s">
        <v>2655</v>
      </c>
      <c r="Q1242" t="s">
        <v>3139</v>
      </c>
      <c r="R1242" t="s">
        <v>2475</v>
      </c>
      <c r="V1242" t="s">
        <v>227</v>
      </c>
      <c r="W1242" t="s">
        <v>2435</v>
      </c>
      <c r="X1242" t="str">
        <f t="shared" si="19"/>
        <v>BL378876@TRAC Corp</v>
      </c>
      <c r="Y1242" t="str">
        <f>_xlfn.IFNA(_xll.BDP(X1242,"INTERVAL_SUM", "MARKET_DATA_OVERRIDE=px_volume", "CALC_INTERVAL=5D"), "")</f>
        <v>#N/A N/A</v>
      </c>
      <c r="Z1242" cm="1">
        <f t="array" ref="Z1242">_xll.BDP(B1242, "CF_ACT_CASH_PAID_FOR_INT_DEBT")</f>
        <v>4427</v>
      </c>
      <c r="AA1242" t="str" cm="1">
        <f t="array" ref="AA1242">_xll.BDP(B1242, "TYPE_OF_BOND")</f>
        <v>#N/A Field Not Applicable</v>
      </c>
    </row>
    <row r="1243" spans="1:27" x14ac:dyDescent="0.25">
      <c r="A1243">
        <v>1241</v>
      </c>
      <c r="B1243" t="s">
        <v>2476</v>
      </c>
      <c r="C1243" s="4" t="s">
        <v>2432</v>
      </c>
      <c r="D1243" s="4">
        <v>135000000</v>
      </c>
      <c r="E1243" t="s">
        <v>17</v>
      </c>
      <c r="F1243" s="1">
        <v>47483</v>
      </c>
      <c r="H1243" t="s">
        <v>13</v>
      </c>
      <c r="L1243" t="s">
        <v>1168</v>
      </c>
      <c r="M1243" t="s">
        <v>1148</v>
      </c>
      <c r="N1243" t="s">
        <v>460</v>
      </c>
      <c r="O1243" t="s">
        <v>2655</v>
      </c>
      <c r="P1243" t="s">
        <v>2655</v>
      </c>
      <c r="Q1243" t="s">
        <v>3257</v>
      </c>
      <c r="R1243" t="s">
        <v>2477</v>
      </c>
      <c r="V1243" t="s">
        <v>227</v>
      </c>
      <c r="W1243" t="s">
        <v>2435</v>
      </c>
      <c r="X1243" t="str">
        <f t="shared" si="19"/>
        <v>BL360281@TRAC Corp</v>
      </c>
      <c r="Y1243" t="str">
        <f>_xlfn.IFNA(_xll.BDP(X1243,"INTERVAL_SUM", "MARKET_DATA_OVERRIDE=px_volume", "CALC_INTERVAL=5D"), "")</f>
        <v>#N/A N/A</v>
      </c>
      <c r="Z1243" cm="1">
        <f t="array" ref="Z1243">_xll.BDP(B1243, "CF_ACT_CASH_PAID_FOR_INT_DEBT")</f>
        <v>4427</v>
      </c>
      <c r="AA1243" t="str" cm="1">
        <f t="array" ref="AA1243">_xll.BDP(B1243, "TYPE_OF_BOND")</f>
        <v>#N/A Field Not Applicable</v>
      </c>
    </row>
    <row r="1244" spans="1:27" x14ac:dyDescent="0.25">
      <c r="A1244">
        <v>1242</v>
      </c>
      <c r="B1244" t="s">
        <v>2478</v>
      </c>
      <c r="C1244" s="4" t="s">
        <v>2432</v>
      </c>
      <c r="D1244" s="4">
        <v>225000000</v>
      </c>
      <c r="E1244" t="s">
        <v>17</v>
      </c>
      <c r="F1244" s="1">
        <v>47883</v>
      </c>
      <c r="H1244" t="s">
        <v>13</v>
      </c>
      <c r="L1244" t="s">
        <v>1168</v>
      </c>
      <c r="M1244" t="s">
        <v>1148</v>
      </c>
      <c r="N1244" t="s">
        <v>460</v>
      </c>
      <c r="O1244" t="s">
        <v>2655</v>
      </c>
      <c r="P1244" t="s">
        <v>2655</v>
      </c>
      <c r="Q1244" t="s">
        <v>3156</v>
      </c>
      <c r="R1244" t="s">
        <v>2477</v>
      </c>
      <c r="V1244" t="s">
        <v>227</v>
      </c>
      <c r="W1244" t="s">
        <v>2435</v>
      </c>
      <c r="X1244" t="str">
        <f t="shared" si="19"/>
        <v>BL345625@TRAC Corp</v>
      </c>
      <c r="Y1244" t="str">
        <f>_xlfn.IFNA(_xll.BDP(X1244,"INTERVAL_SUM", "MARKET_DATA_OVERRIDE=px_volume", "CALC_INTERVAL=5D"), "")</f>
        <v>#N/A N/A</v>
      </c>
      <c r="Z1244" cm="1">
        <f t="array" ref="Z1244">_xll.BDP(B1244, "CF_ACT_CASH_PAID_FOR_INT_DEBT")</f>
        <v>4427</v>
      </c>
      <c r="AA1244" t="str" cm="1">
        <f t="array" ref="AA1244">_xll.BDP(B1244, "TYPE_OF_BOND")</f>
        <v>#N/A Field Not Applicable</v>
      </c>
    </row>
    <row r="1245" spans="1:27" x14ac:dyDescent="0.25">
      <c r="A1245">
        <v>1243</v>
      </c>
      <c r="B1245" t="s">
        <v>2479</v>
      </c>
      <c r="C1245" s="4" t="s">
        <v>2432</v>
      </c>
      <c r="D1245" s="4">
        <v>236100000</v>
      </c>
      <c r="E1245" t="s">
        <v>17</v>
      </c>
      <c r="F1245" s="1">
        <v>47087</v>
      </c>
      <c r="G1245">
        <v>5.5820999999999996</v>
      </c>
      <c r="H1245" t="s">
        <v>13</v>
      </c>
      <c r="I1245" t="s">
        <v>2700</v>
      </c>
      <c r="J1245">
        <v>90</v>
      </c>
      <c r="L1245" t="s">
        <v>1168</v>
      </c>
      <c r="M1245" t="s">
        <v>1148</v>
      </c>
      <c r="N1245" t="s">
        <v>460</v>
      </c>
      <c r="O1245" t="s">
        <v>2655</v>
      </c>
      <c r="P1245" t="s">
        <v>2655</v>
      </c>
      <c r="Q1245" t="s">
        <v>3257</v>
      </c>
      <c r="R1245" t="s">
        <v>2477</v>
      </c>
      <c r="V1245" t="s">
        <v>227</v>
      </c>
      <c r="W1245" t="s">
        <v>2435</v>
      </c>
      <c r="X1245" t="str">
        <f t="shared" si="19"/>
        <v>BL298570@TRAC Corp</v>
      </c>
      <c r="Y1245" t="str">
        <f>_xlfn.IFNA(_xll.BDP(X1245,"INTERVAL_SUM", "MARKET_DATA_OVERRIDE=px_volume", "CALC_INTERVAL=5D"), "")</f>
        <v>#N/A N/A</v>
      </c>
      <c r="Z1245" cm="1">
        <f t="array" ref="Z1245">_xll.BDP(B1245, "CF_ACT_CASH_PAID_FOR_INT_DEBT")</f>
        <v>4427</v>
      </c>
      <c r="AA1245" t="str" cm="1">
        <f t="array" ref="AA1245">_xll.BDP(B1245, "TYPE_OF_BOND")</f>
        <v>#N/A Field Not Applicable</v>
      </c>
    </row>
    <row r="1246" spans="1:27" x14ac:dyDescent="0.25">
      <c r="A1246">
        <v>1244</v>
      </c>
      <c r="B1246" t="s">
        <v>2480</v>
      </c>
      <c r="C1246" s="4" t="s">
        <v>2432</v>
      </c>
      <c r="D1246" s="4">
        <v>196742000</v>
      </c>
      <c r="E1246" t="s">
        <v>11</v>
      </c>
      <c r="F1246" s="1">
        <v>47117</v>
      </c>
      <c r="G1246">
        <v>5.3320999999999996</v>
      </c>
      <c r="H1246" t="s">
        <v>13</v>
      </c>
      <c r="I1246" t="s">
        <v>2700</v>
      </c>
      <c r="J1246">
        <v>65</v>
      </c>
      <c r="L1246" t="s">
        <v>1168</v>
      </c>
      <c r="M1246" t="s">
        <v>10</v>
      </c>
      <c r="N1246" t="s">
        <v>460</v>
      </c>
      <c r="O1246" t="s">
        <v>2655</v>
      </c>
      <c r="P1246" t="s">
        <v>2655</v>
      </c>
      <c r="Q1246" t="s">
        <v>3156</v>
      </c>
      <c r="R1246" t="s">
        <v>2481</v>
      </c>
      <c r="V1246" t="s">
        <v>327</v>
      </c>
      <c r="W1246" t="s">
        <v>2435</v>
      </c>
      <c r="X1246" t="str">
        <f t="shared" si="19"/>
        <v>BL272920@TRAC Corp</v>
      </c>
      <c r="Y1246" t="str">
        <f>_xlfn.IFNA(_xll.BDP(X1246,"INTERVAL_SUM", "MARKET_DATA_OVERRIDE=px_volume", "CALC_INTERVAL=5D"), "")</f>
        <v>#N/A N/A</v>
      </c>
      <c r="Z1246" cm="1">
        <f t="array" ref="Z1246">_xll.BDP(B1246, "CF_ACT_CASH_PAID_FOR_INT_DEBT")</f>
        <v>4427</v>
      </c>
      <c r="AA1246" t="str" cm="1">
        <f t="array" ref="AA1246">_xll.BDP(B1246, "TYPE_OF_BOND")</f>
        <v>#N/A Field Not Applicable</v>
      </c>
    </row>
    <row r="1247" spans="1:27" x14ac:dyDescent="0.25">
      <c r="A1247">
        <v>1245</v>
      </c>
      <c r="B1247" t="s">
        <v>2482</v>
      </c>
      <c r="C1247" s="4" t="s">
        <v>2432</v>
      </c>
      <c r="D1247" s="4">
        <v>426322323</v>
      </c>
      <c r="E1247" t="s">
        <v>11</v>
      </c>
      <c r="F1247" s="1">
        <v>47164</v>
      </c>
      <c r="G1247">
        <v>9.4937000000000005</v>
      </c>
      <c r="H1247" t="s">
        <v>13</v>
      </c>
      <c r="I1247" t="s">
        <v>2683</v>
      </c>
      <c r="J1247">
        <v>464</v>
      </c>
      <c r="L1247" t="s">
        <v>1168</v>
      </c>
      <c r="M1247" t="s">
        <v>2433</v>
      </c>
      <c r="N1247" t="s">
        <v>460</v>
      </c>
      <c r="O1247" t="s">
        <v>2655</v>
      </c>
      <c r="P1247" t="s">
        <v>2655</v>
      </c>
      <c r="Q1247" t="s">
        <v>3139</v>
      </c>
      <c r="R1247" t="s">
        <v>2483</v>
      </c>
      <c r="V1247" t="s">
        <v>227</v>
      </c>
      <c r="W1247" t="s">
        <v>2435</v>
      </c>
      <c r="X1247" t="str">
        <f t="shared" si="19"/>
        <v>BL088886@TRAC Corp</v>
      </c>
      <c r="Y1247" t="str">
        <f>_xlfn.IFNA(_xll.BDP(X1247,"INTERVAL_SUM", "MARKET_DATA_OVERRIDE=px_volume", "CALC_INTERVAL=5D"), "")</f>
        <v>#N/A N/A</v>
      </c>
      <c r="Z1247" cm="1">
        <f t="array" ref="Z1247">_xll.BDP(B1247, "CF_ACT_CASH_PAID_FOR_INT_DEBT")</f>
        <v>4427</v>
      </c>
      <c r="AA1247" t="str" cm="1">
        <f t="array" ref="AA1247">_xll.BDP(B1247, "TYPE_OF_BOND")</f>
        <v>#N/A Field Not Applicable</v>
      </c>
    </row>
    <row r="1248" spans="1:27" x14ac:dyDescent="0.25">
      <c r="A1248">
        <v>1246</v>
      </c>
      <c r="B1248" t="s">
        <v>2484</v>
      </c>
      <c r="C1248" s="4" t="s">
        <v>2432</v>
      </c>
      <c r="D1248" s="4">
        <v>71679217</v>
      </c>
      <c r="E1248" t="s">
        <v>11</v>
      </c>
      <c r="F1248" s="1">
        <v>47164</v>
      </c>
      <c r="G1248">
        <v>7.5837000000000003</v>
      </c>
      <c r="H1248" t="s">
        <v>13</v>
      </c>
      <c r="I1248" t="s">
        <v>2683</v>
      </c>
      <c r="J1248">
        <v>273</v>
      </c>
      <c r="L1248" t="s">
        <v>1168</v>
      </c>
      <c r="M1248" t="s">
        <v>2433</v>
      </c>
      <c r="N1248" t="s">
        <v>460</v>
      </c>
      <c r="O1248" t="s">
        <v>2655</v>
      </c>
      <c r="P1248" t="s">
        <v>2655</v>
      </c>
      <c r="Q1248" t="s">
        <v>3139</v>
      </c>
      <c r="R1248" t="s">
        <v>2483</v>
      </c>
      <c r="V1248" t="s">
        <v>227</v>
      </c>
      <c r="W1248" t="s">
        <v>2435</v>
      </c>
      <c r="X1248" t="str">
        <f t="shared" si="19"/>
        <v>BL088882@TRAC Corp</v>
      </c>
      <c r="Y1248" t="str">
        <f>_xlfn.IFNA(_xll.BDP(X1248,"INTERVAL_SUM", "MARKET_DATA_OVERRIDE=px_volume", "CALC_INTERVAL=5D"), "")</f>
        <v>#N/A N/A</v>
      </c>
      <c r="Z1248" cm="1">
        <f t="array" ref="Z1248">_xll.BDP(B1248, "CF_ACT_CASH_PAID_FOR_INT_DEBT")</f>
        <v>4427</v>
      </c>
      <c r="AA1248" t="str" cm="1">
        <f t="array" ref="AA1248">_xll.BDP(B1248, "TYPE_OF_BOND")</f>
        <v>#N/A Field Not Applicable</v>
      </c>
    </row>
    <row r="1249" spans="1:27" x14ac:dyDescent="0.25">
      <c r="A1249">
        <v>1247</v>
      </c>
      <c r="B1249" t="s">
        <v>2485</v>
      </c>
      <c r="C1249" s="4" t="s">
        <v>2432</v>
      </c>
      <c r="D1249" s="4">
        <v>478359035</v>
      </c>
      <c r="E1249" t="s">
        <v>11</v>
      </c>
      <c r="F1249" s="1">
        <v>47164</v>
      </c>
      <c r="G1249">
        <v>9.1837</v>
      </c>
      <c r="H1249" t="s">
        <v>13</v>
      </c>
      <c r="I1249" t="s">
        <v>2683</v>
      </c>
      <c r="J1249">
        <v>433</v>
      </c>
      <c r="L1249" t="s">
        <v>1168</v>
      </c>
      <c r="M1249" t="s">
        <v>2433</v>
      </c>
      <c r="N1249" t="s">
        <v>460</v>
      </c>
      <c r="O1249" t="s">
        <v>2655</v>
      </c>
      <c r="P1249" t="s">
        <v>2655</v>
      </c>
      <c r="Q1249" t="s">
        <v>3139</v>
      </c>
      <c r="R1249" t="s">
        <v>2483</v>
      </c>
      <c r="V1249" t="s">
        <v>227</v>
      </c>
      <c r="W1249" t="s">
        <v>2435</v>
      </c>
      <c r="X1249" t="str">
        <f t="shared" si="19"/>
        <v>BL072930@TRAC Corp</v>
      </c>
      <c r="Y1249" t="str">
        <f>_xlfn.IFNA(_xll.BDP(X1249,"INTERVAL_SUM", "MARKET_DATA_OVERRIDE=px_volume", "CALC_INTERVAL=5D"), "")</f>
        <v>#N/A N/A</v>
      </c>
      <c r="Z1249" cm="1">
        <f t="array" ref="Z1249">_xll.BDP(B1249, "CF_ACT_CASH_PAID_FOR_INT_DEBT")</f>
        <v>4427</v>
      </c>
      <c r="AA1249" t="str" cm="1">
        <f t="array" ref="AA1249">_xll.BDP(B1249, "TYPE_OF_BOND")</f>
        <v>#N/A Field Not Applicable</v>
      </c>
    </row>
    <row r="1250" spans="1:27" x14ac:dyDescent="0.25">
      <c r="A1250">
        <v>1248</v>
      </c>
      <c r="B1250" t="s">
        <v>3841</v>
      </c>
      <c r="C1250" s="4" t="s">
        <v>3842</v>
      </c>
      <c r="D1250" s="4">
        <v>800000000</v>
      </c>
      <c r="E1250" t="s">
        <v>12</v>
      </c>
      <c r="F1250" s="1">
        <v>47085</v>
      </c>
      <c r="G1250">
        <v>9</v>
      </c>
      <c r="H1250" t="s">
        <v>9</v>
      </c>
      <c r="L1250" t="s">
        <v>1168</v>
      </c>
      <c r="M1250" t="s">
        <v>10</v>
      </c>
      <c r="N1250" t="s">
        <v>15</v>
      </c>
      <c r="O1250" t="s">
        <v>3110</v>
      </c>
      <c r="P1250" t="s">
        <v>2637</v>
      </c>
      <c r="Q1250" t="s">
        <v>3112</v>
      </c>
      <c r="R1250" t="s">
        <v>3843</v>
      </c>
      <c r="S1250">
        <v>8748859.7871010993</v>
      </c>
      <c r="T1250">
        <v>30</v>
      </c>
      <c r="U1250" t="s">
        <v>1169</v>
      </c>
      <c r="W1250" t="s">
        <v>3844</v>
      </c>
      <c r="X1250" t="str">
        <f t="shared" si="19"/>
        <v>ZB467964@TRAC Corp</v>
      </c>
      <c r="Y1250">
        <f>_xlfn.IFNA(_xll.BDP(X1250,"INTERVAL_SUM", "MARKET_DATA_OVERRIDE=px_volume", "CALC_INTERVAL=5D"), "")</f>
        <v>9289</v>
      </c>
      <c r="Z1250" cm="1">
        <f t="array" ref="Z1250">_xll.BDP(B1250, "CF_ACT_CASH_PAID_FOR_INT_DEBT")</f>
        <v>132.17099999999999</v>
      </c>
      <c r="AA1250" t="str" cm="1">
        <f t="array" ref="AA1250">_xll.BDP(B1250, "TYPE_OF_BOND")</f>
        <v>#N/A Field Not Applicable</v>
      </c>
    </row>
    <row r="1251" spans="1:27" x14ac:dyDescent="0.25">
      <c r="A1251">
        <v>1249</v>
      </c>
      <c r="B1251" t="s">
        <v>3845</v>
      </c>
      <c r="C1251" s="4" t="s">
        <v>3842</v>
      </c>
      <c r="D1251" s="4">
        <v>575000000</v>
      </c>
      <c r="E1251" t="s">
        <v>17</v>
      </c>
      <c r="F1251" s="1">
        <v>47164</v>
      </c>
      <c r="G1251">
        <v>6.5</v>
      </c>
      <c r="H1251" t="s">
        <v>9</v>
      </c>
      <c r="L1251" t="s">
        <v>1168</v>
      </c>
      <c r="M1251" t="s">
        <v>10</v>
      </c>
      <c r="N1251" t="s">
        <v>15</v>
      </c>
      <c r="O1251" t="s">
        <v>3110</v>
      </c>
      <c r="P1251" t="s">
        <v>2637</v>
      </c>
      <c r="Q1251" t="s">
        <v>3112</v>
      </c>
      <c r="R1251" t="s">
        <v>3846</v>
      </c>
      <c r="S1251">
        <v>7413843.2443169998</v>
      </c>
      <c r="T1251">
        <v>19</v>
      </c>
      <c r="U1251" t="s">
        <v>1169</v>
      </c>
      <c r="W1251" t="s">
        <v>3844</v>
      </c>
      <c r="X1251" t="str">
        <f t="shared" si="19"/>
        <v>BN748257@TRAC Corp</v>
      </c>
      <c r="Y1251">
        <f>_xlfn.IFNA(_xll.BDP(X1251,"INTERVAL_SUM", "MARKET_DATA_OVERRIDE=px_volume", "CALC_INTERVAL=5D"), "")</f>
        <v>13346</v>
      </c>
      <c r="Z1251" cm="1">
        <f t="array" ref="Z1251">_xll.BDP(B1251, "CF_ACT_CASH_PAID_FOR_INT_DEBT")</f>
        <v>132.17099999999999</v>
      </c>
      <c r="AA1251" t="str" cm="1">
        <f t="array" ref="AA1251">_xll.BDP(B1251, "TYPE_OF_BOND")</f>
        <v>#N/A Field Not Applicable</v>
      </c>
    </row>
    <row r="1252" spans="1:27" x14ac:dyDescent="0.25">
      <c r="A1252">
        <v>1250</v>
      </c>
      <c r="B1252" t="s">
        <v>3847</v>
      </c>
      <c r="C1252" s="4" t="s">
        <v>3842</v>
      </c>
      <c r="D1252" s="4">
        <v>975000000</v>
      </c>
      <c r="E1252" t="s">
        <v>11</v>
      </c>
      <c r="F1252" s="1">
        <v>47085</v>
      </c>
      <c r="G1252">
        <v>6.2350000000000003</v>
      </c>
      <c r="H1252" t="s">
        <v>13</v>
      </c>
      <c r="I1252" t="s">
        <v>2636</v>
      </c>
      <c r="J1252">
        <v>375</v>
      </c>
      <c r="L1252" t="s">
        <v>1171</v>
      </c>
      <c r="M1252" t="s">
        <v>10</v>
      </c>
      <c r="N1252" t="s">
        <v>15</v>
      </c>
      <c r="O1252" t="s">
        <v>3110</v>
      </c>
      <c r="P1252" t="s">
        <v>2637</v>
      </c>
      <c r="Q1252" t="s">
        <v>3112</v>
      </c>
      <c r="R1252" t="s">
        <v>3848</v>
      </c>
      <c r="S1252">
        <v>2000000</v>
      </c>
      <c r="T1252">
        <v>18</v>
      </c>
      <c r="V1252" t="s">
        <v>227</v>
      </c>
      <c r="W1252" t="s">
        <v>3844</v>
      </c>
      <c r="X1252" t="str">
        <f t="shared" si="19"/>
        <v>BL516237@TRAC Corp</v>
      </c>
      <c r="Y1252" t="str">
        <f>_xlfn.IFNA(_xll.BDP(X1252,"INTERVAL_SUM", "MARKET_DATA_OVERRIDE=px_volume", "CALC_INTERVAL=5D"), "")</f>
        <v>#N/A N/A</v>
      </c>
      <c r="Z1252" cm="1">
        <f t="array" ref="Z1252">_xll.BDP(B1252, "CF_ACT_CASH_PAID_FOR_INT_DEBT")</f>
        <v>132.17099999999999</v>
      </c>
      <c r="AA1252" t="str" cm="1">
        <f t="array" ref="AA1252">_xll.BDP(B1252, "TYPE_OF_BOND")</f>
        <v>#N/A Field Not Applicable</v>
      </c>
    </row>
    <row r="1253" spans="1:27" x14ac:dyDescent="0.25">
      <c r="A1253">
        <v>1251</v>
      </c>
      <c r="B1253" t="s">
        <v>3849</v>
      </c>
      <c r="C1253" s="4" t="s">
        <v>3842</v>
      </c>
      <c r="D1253" s="4">
        <v>2726012500</v>
      </c>
      <c r="E1253" t="s">
        <v>11</v>
      </c>
      <c r="F1253" s="1">
        <v>47085</v>
      </c>
      <c r="G1253">
        <v>7.4551999999999996</v>
      </c>
      <c r="H1253" t="s">
        <v>13</v>
      </c>
      <c r="I1253" t="s">
        <v>2631</v>
      </c>
      <c r="J1253">
        <v>375</v>
      </c>
      <c r="L1253" t="s">
        <v>1168</v>
      </c>
      <c r="M1253" t="s">
        <v>10</v>
      </c>
      <c r="N1253" t="s">
        <v>15</v>
      </c>
      <c r="O1253" t="s">
        <v>3110</v>
      </c>
      <c r="P1253" t="s">
        <v>2637</v>
      </c>
      <c r="Q1253" t="s">
        <v>3112</v>
      </c>
      <c r="R1253" t="s">
        <v>3850</v>
      </c>
      <c r="S1253">
        <v>3000000</v>
      </c>
      <c r="T1253">
        <v>24</v>
      </c>
      <c r="V1253" t="s">
        <v>227</v>
      </c>
      <c r="W1253" t="s">
        <v>3844</v>
      </c>
      <c r="X1253" t="str">
        <f t="shared" si="19"/>
        <v>BL516236@TRAC Corp</v>
      </c>
      <c r="Y1253" t="str">
        <f>_xlfn.IFNA(_xll.BDP(X1253,"INTERVAL_SUM", "MARKET_DATA_OVERRIDE=px_volume", "CALC_INTERVAL=5D"), "")</f>
        <v>#N/A N/A</v>
      </c>
      <c r="Z1253" cm="1">
        <f t="array" ref="Z1253">_xll.BDP(B1253, "CF_ACT_CASH_PAID_FOR_INT_DEBT")</f>
        <v>132.17099999999999</v>
      </c>
      <c r="AA1253" t="str" cm="1">
        <f t="array" ref="AA1253">_xll.BDP(B1253, "TYPE_OF_BOND")</f>
        <v>#N/A Field Not Applicable</v>
      </c>
    </row>
    <row r="1254" spans="1:27" x14ac:dyDescent="0.25">
      <c r="A1254">
        <v>1252</v>
      </c>
      <c r="B1254" t="s">
        <v>2486</v>
      </c>
      <c r="C1254" s="4" t="s">
        <v>2487</v>
      </c>
      <c r="D1254" s="4">
        <v>574293095.98599994</v>
      </c>
      <c r="E1254" t="s">
        <v>11</v>
      </c>
      <c r="F1254" s="1">
        <v>47695</v>
      </c>
      <c r="G1254">
        <v>13</v>
      </c>
      <c r="H1254" t="s">
        <v>64</v>
      </c>
      <c r="K1254">
        <v>7</v>
      </c>
      <c r="L1254" t="s">
        <v>1168</v>
      </c>
      <c r="M1254" t="s">
        <v>10</v>
      </c>
      <c r="N1254" t="s">
        <v>16</v>
      </c>
      <c r="O1254" t="s">
        <v>3222</v>
      </c>
      <c r="P1254" t="s">
        <v>2632</v>
      </c>
      <c r="Q1254" t="s">
        <v>3223</v>
      </c>
      <c r="R1254" t="s">
        <v>2488</v>
      </c>
      <c r="S1254">
        <v>4405085.2039133999</v>
      </c>
      <c r="T1254">
        <v>31</v>
      </c>
      <c r="U1254" t="s">
        <v>1169</v>
      </c>
      <c r="W1254" t="s">
        <v>2489</v>
      </c>
      <c r="X1254" t="str">
        <f t="shared" si="19"/>
        <v>YK513572@TRAC Corp</v>
      </c>
      <c r="Y1254">
        <f>_xlfn.IFNA(_xll.BDP(X1254,"INTERVAL_SUM", "MARKET_DATA_OVERRIDE=px_volume", "CALC_INTERVAL=5D"), "")</f>
        <v>4328</v>
      </c>
      <c r="Z1254" t="str" cm="1">
        <f t="array" ref="Z1254">_xll.BDP(B1254, "CF_ACT_CASH_PAID_FOR_INT_DEBT")</f>
        <v>#N/A N/A</v>
      </c>
      <c r="AA1254" t="str" cm="1">
        <f t="array" ref="AA1254">_xll.BDP(B1254, "TYPE_OF_BOND")</f>
        <v>PIK</v>
      </c>
    </row>
    <row r="1255" spans="1:27" x14ac:dyDescent="0.25">
      <c r="A1255">
        <v>1253</v>
      </c>
      <c r="B1255" t="s">
        <v>2490</v>
      </c>
      <c r="C1255" s="4" t="s">
        <v>2491</v>
      </c>
      <c r="D1255" s="4">
        <v>564047237.704</v>
      </c>
      <c r="E1255" t="s">
        <v>11</v>
      </c>
      <c r="F1255" s="1">
        <v>47133</v>
      </c>
      <c r="G1255">
        <v>8.5</v>
      </c>
      <c r="H1255" t="s">
        <v>64</v>
      </c>
      <c r="K1255">
        <v>12</v>
      </c>
      <c r="L1255" t="s">
        <v>1168</v>
      </c>
      <c r="M1255" t="s">
        <v>10</v>
      </c>
      <c r="N1255" t="s">
        <v>36</v>
      </c>
      <c r="O1255" t="s">
        <v>3118</v>
      </c>
      <c r="P1255" t="s">
        <v>2640</v>
      </c>
      <c r="Q1255" t="s">
        <v>3259</v>
      </c>
      <c r="R1255" t="s">
        <v>2492</v>
      </c>
      <c r="S1255">
        <v>5850638.0991601804</v>
      </c>
      <c r="T1255">
        <v>26</v>
      </c>
      <c r="W1255" t="s">
        <v>2493</v>
      </c>
      <c r="X1255" t="str">
        <f t="shared" si="19"/>
        <v>YL574077@TRAC Corp</v>
      </c>
      <c r="Y1255">
        <f>_xlfn.IFNA(_xll.BDP(X1255,"INTERVAL_SUM", "MARKET_DATA_OVERRIDE=px_volume", "CALC_INTERVAL=5D"), "")</f>
        <v>350</v>
      </c>
      <c r="Z1255" cm="1">
        <f t="array" ref="Z1255">_xll.BDP(B1255, "CF_ACT_CASH_PAID_FOR_INT_DEBT")</f>
        <v>81.619</v>
      </c>
      <c r="AA1255" t="str" cm="1">
        <f t="array" ref="AA1255">_xll.BDP(B1255, "TYPE_OF_BOND")</f>
        <v>PIK</v>
      </c>
    </row>
    <row r="1256" spans="1:27" x14ac:dyDescent="0.25">
      <c r="A1256">
        <v>1254</v>
      </c>
      <c r="B1256" t="s">
        <v>2494</v>
      </c>
      <c r="C1256" s="4" t="s">
        <v>2491</v>
      </c>
      <c r="D1256" s="4">
        <v>677639</v>
      </c>
      <c r="E1256" t="s">
        <v>17</v>
      </c>
      <c r="F1256" s="1">
        <v>44666</v>
      </c>
      <c r="G1256">
        <v>13</v>
      </c>
      <c r="H1256" t="s">
        <v>34</v>
      </c>
      <c r="K1256">
        <v>8</v>
      </c>
      <c r="L1256" t="s">
        <v>1168</v>
      </c>
      <c r="M1256" t="s">
        <v>10</v>
      </c>
      <c r="N1256" t="s">
        <v>36</v>
      </c>
      <c r="O1256" t="s">
        <v>3118</v>
      </c>
      <c r="P1256" t="s">
        <v>2640</v>
      </c>
      <c r="Q1256" t="s">
        <v>3259</v>
      </c>
      <c r="R1256" t="s">
        <v>2495</v>
      </c>
      <c r="S1256">
        <v>-9997</v>
      </c>
      <c r="U1256" t="s">
        <v>2496</v>
      </c>
      <c r="W1256" t="s">
        <v>2493</v>
      </c>
      <c r="X1256" t="str">
        <f t="shared" si="19"/>
        <v>BK399090@TRAC Corp</v>
      </c>
      <c r="Y1256" t="str">
        <f>_xlfn.IFNA(_xll.BDP(X1256,"INTERVAL_SUM", "MARKET_DATA_OVERRIDE=px_volume", "CALC_INTERVAL=5D"), "")</f>
        <v>#N/A N/A</v>
      </c>
      <c r="Z1256" cm="1">
        <f t="array" ref="Z1256">_xll.BDP(B1256, "CF_ACT_CASH_PAID_FOR_INT_DEBT")</f>
        <v>81.619</v>
      </c>
      <c r="AA1256" t="str" cm="1">
        <f t="array" ref="AA1256">_xll.BDP(B1256, "TYPE_OF_BOND")</f>
        <v>PIK</v>
      </c>
    </row>
    <row r="1257" spans="1:27" x14ac:dyDescent="0.25">
      <c r="A1257">
        <v>1255</v>
      </c>
      <c r="B1257" t="s">
        <v>2497</v>
      </c>
      <c r="C1257" s="4" t="s">
        <v>2491</v>
      </c>
      <c r="D1257" s="4">
        <v>57755755</v>
      </c>
      <c r="E1257" t="s">
        <v>17</v>
      </c>
      <c r="F1257" s="1">
        <v>44666</v>
      </c>
      <c r="G1257">
        <v>13</v>
      </c>
      <c r="H1257" t="s">
        <v>34</v>
      </c>
      <c r="K1257">
        <v>8</v>
      </c>
      <c r="L1257" t="s">
        <v>1168</v>
      </c>
      <c r="M1257" t="s">
        <v>10</v>
      </c>
      <c r="N1257" t="s">
        <v>36</v>
      </c>
      <c r="O1257" t="s">
        <v>3118</v>
      </c>
      <c r="P1257" t="s">
        <v>2640</v>
      </c>
      <c r="Q1257" t="s">
        <v>3259</v>
      </c>
      <c r="R1257" t="s">
        <v>2495</v>
      </c>
      <c r="S1257">
        <v>-9997</v>
      </c>
      <c r="U1257" t="s">
        <v>2094</v>
      </c>
      <c r="W1257" t="s">
        <v>2493</v>
      </c>
      <c r="X1257" t="str">
        <f t="shared" si="19"/>
        <v>BK396927@TRAC Corp</v>
      </c>
      <c r="Y1257" t="str">
        <f>_xlfn.IFNA(_xll.BDP(X1257,"INTERVAL_SUM", "MARKET_DATA_OVERRIDE=px_volume", "CALC_INTERVAL=5D"), "")</f>
        <v>#N/A N/A</v>
      </c>
      <c r="Z1257" cm="1">
        <f t="array" ref="Z1257">_xll.BDP(B1257, "CF_ACT_CASH_PAID_FOR_INT_DEBT")</f>
        <v>81.619</v>
      </c>
      <c r="AA1257" t="str" cm="1">
        <f t="array" ref="AA1257">_xll.BDP(B1257, "TYPE_OF_BOND")</f>
        <v>PIK</v>
      </c>
    </row>
    <row r="1258" spans="1:27" x14ac:dyDescent="0.25">
      <c r="A1258">
        <v>1256</v>
      </c>
      <c r="B1258" t="s">
        <v>2498</v>
      </c>
      <c r="C1258" s="4" t="s">
        <v>2491</v>
      </c>
      <c r="D1258" s="4">
        <v>5000000</v>
      </c>
      <c r="E1258" t="s">
        <v>17</v>
      </c>
      <c r="F1258" s="1">
        <v>44484</v>
      </c>
      <c r="G1258">
        <v>9.5</v>
      </c>
      <c r="H1258" t="s">
        <v>34</v>
      </c>
      <c r="L1258" t="s">
        <v>1168</v>
      </c>
      <c r="M1258" t="s">
        <v>10</v>
      </c>
      <c r="N1258" t="s">
        <v>36</v>
      </c>
      <c r="O1258" t="s">
        <v>3118</v>
      </c>
      <c r="P1258" t="s">
        <v>2640</v>
      </c>
      <c r="Q1258" t="s">
        <v>3259</v>
      </c>
      <c r="R1258" t="s">
        <v>2499</v>
      </c>
      <c r="S1258">
        <v>-9997</v>
      </c>
      <c r="U1258" t="s">
        <v>1170</v>
      </c>
      <c r="W1258" t="s">
        <v>2493</v>
      </c>
      <c r="X1258" t="str">
        <f t="shared" si="19"/>
        <v>BJ569721@TRAC Corp</v>
      </c>
      <c r="Y1258" t="str">
        <f>_xlfn.IFNA(_xll.BDP(X1258,"INTERVAL_SUM", "MARKET_DATA_OVERRIDE=px_volume", "CALC_INTERVAL=5D"), "")</f>
        <v>#N/A N/A</v>
      </c>
      <c r="Z1258" cm="1">
        <f t="array" ref="Z1258">_xll.BDP(B1258, "CF_ACT_CASH_PAID_FOR_INT_DEBT")</f>
        <v>81.619</v>
      </c>
      <c r="AA1258" t="str" cm="1">
        <f t="array" ref="AA1258">_xll.BDP(B1258, "TYPE_OF_BOND")</f>
        <v>#N/A Field Not Applicable</v>
      </c>
    </row>
    <row r="1259" spans="1:27" x14ac:dyDescent="0.25">
      <c r="A1259">
        <v>1257</v>
      </c>
      <c r="B1259" t="s">
        <v>2500</v>
      </c>
      <c r="C1259" s="4" t="s">
        <v>2491</v>
      </c>
      <c r="D1259" s="4">
        <v>3722425</v>
      </c>
      <c r="E1259" t="s">
        <v>17</v>
      </c>
      <c r="F1259" s="1">
        <v>44666</v>
      </c>
      <c r="G1259">
        <v>13</v>
      </c>
      <c r="H1259" t="s">
        <v>34</v>
      </c>
      <c r="K1259">
        <v>8</v>
      </c>
      <c r="L1259" t="s">
        <v>1168</v>
      </c>
      <c r="M1259" t="s">
        <v>10</v>
      </c>
      <c r="N1259" t="s">
        <v>36</v>
      </c>
      <c r="O1259" t="s">
        <v>3118</v>
      </c>
      <c r="P1259" t="s">
        <v>2640</v>
      </c>
      <c r="Q1259" t="s">
        <v>3259</v>
      </c>
      <c r="R1259" t="s">
        <v>2495</v>
      </c>
      <c r="S1259">
        <v>-9997</v>
      </c>
      <c r="U1259" t="s">
        <v>1173</v>
      </c>
      <c r="W1259" t="s">
        <v>2493</v>
      </c>
      <c r="X1259" t="str">
        <f t="shared" si="19"/>
        <v>BJ569523@TRAC Corp</v>
      </c>
      <c r="Y1259" t="str">
        <f>_xlfn.IFNA(_xll.BDP(X1259,"INTERVAL_SUM", "MARKET_DATA_OVERRIDE=px_volume", "CALC_INTERVAL=5D"), "")</f>
        <v>#N/A N/A</v>
      </c>
      <c r="Z1259" cm="1">
        <f t="array" ref="Z1259">_xll.BDP(B1259, "CF_ACT_CASH_PAID_FOR_INT_DEBT")</f>
        <v>81.619</v>
      </c>
      <c r="AA1259" t="str" cm="1">
        <f t="array" ref="AA1259">_xll.BDP(B1259, "TYPE_OF_BOND")</f>
        <v>PIK</v>
      </c>
    </row>
    <row r="1260" spans="1:27" x14ac:dyDescent="0.25">
      <c r="A1260">
        <v>1258</v>
      </c>
      <c r="B1260" t="s">
        <v>2501</v>
      </c>
      <c r="C1260" s="4" t="s">
        <v>2491</v>
      </c>
      <c r="D1260" s="4">
        <v>317150653</v>
      </c>
      <c r="E1260" t="s">
        <v>17</v>
      </c>
      <c r="F1260" s="1">
        <v>44666</v>
      </c>
      <c r="G1260">
        <v>13</v>
      </c>
      <c r="H1260" t="s">
        <v>34</v>
      </c>
      <c r="K1260">
        <v>8</v>
      </c>
      <c r="L1260" t="s">
        <v>1168</v>
      </c>
      <c r="M1260" t="s">
        <v>10</v>
      </c>
      <c r="N1260" t="s">
        <v>36</v>
      </c>
      <c r="O1260" t="s">
        <v>3118</v>
      </c>
      <c r="P1260" t="s">
        <v>2640</v>
      </c>
      <c r="Q1260" t="s">
        <v>3259</v>
      </c>
      <c r="R1260" t="s">
        <v>2495</v>
      </c>
      <c r="S1260">
        <v>-9997</v>
      </c>
      <c r="U1260" t="s">
        <v>1170</v>
      </c>
      <c r="W1260" t="s">
        <v>2493</v>
      </c>
      <c r="X1260" t="str">
        <f t="shared" si="19"/>
        <v>BJ569247@TRAC Corp</v>
      </c>
      <c r="Y1260" t="str">
        <f>_xlfn.IFNA(_xll.BDP(X1260,"INTERVAL_SUM", "MARKET_DATA_OVERRIDE=px_volume", "CALC_INTERVAL=5D"), "")</f>
        <v>#N/A N/A</v>
      </c>
      <c r="Z1260" cm="1">
        <f t="array" ref="Z1260">_xll.BDP(B1260, "CF_ACT_CASH_PAID_FOR_INT_DEBT")</f>
        <v>81.619</v>
      </c>
      <c r="AA1260" t="str" cm="1">
        <f t="array" ref="AA1260">_xll.BDP(B1260, "TYPE_OF_BOND")</f>
        <v>PIK</v>
      </c>
    </row>
    <row r="1261" spans="1:27" x14ac:dyDescent="0.25">
      <c r="A1261">
        <v>1259</v>
      </c>
      <c r="B1261" t="s">
        <v>2502</v>
      </c>
      <c r="C1261" s="4" t="s">
        <v>2491</v>
      </c>
      <c r="D1261" s="4">
        <v>35748000</v>
      </c>
      <c r="E1261" t="s">
        <v>11</v>
      </c>
      <c r="F1261" s="1">
        <v>44696</v>
      </c>
      <c r="G1261">
        <v>10</v>
      </c>
      <c r="H1261" t="s">
        <v>34</v>
      </c>
      <c r="L1261" t="s">
        <v>1168</v>
      </c>
      <c r="M1261" t="s">
        <v>10</v>
      </c>
      <c r="N1261" t="s">
        <v>36</v>
      </c>
      <c r="O1261" t="s">
        <v>3118</v>
      </c>
      <c r="P1261" t="s">
        <v>2640</v>
      </c>
      <c r="Q1261" t="s">
        <v>3259</v>
      </c>
      <c r="R1261" t="s">
        <v>2503</v>
      </c>
      <c r="S1261">
        <v>-9997</v>
      </c>
      <c r="U1261" t="s">
        <v>1169</v>
      </c>
      <c r="W1261" t="s">
        <v>2493</v>
      </c>
      <c r="X1261" t="str">
        <f t="shared" si="19"/>
        <v>BJ566444@TRAC Corp</v>
      </c>
      <c r="Y1261" t="str">
        <f>_xlfn.IFNA(_xll.BDP(X1261,"INTERVAL_SUM", "MARKET_DATA_OVERRIDE=px_volume", "CALC_INTERVAL=5D"), "")</f>
        <v>#N/A N/A</v>
      </c>
      <c r="Z1261" cm="1">
        <f t="array" ref="Z1261">_xll.BDP(B1261, "CF_ACT_CASH_PAID_FOR_INT_DEBT")</f>
        <v>81.619</v>
      </c>
      <c r="AA1261" t="str" cm="1">
        <f t="array" ref="AA1261">_xll.BDP(B1261, "TYPE_OF_BOND")</f>
        <v>#N/A Field Not Applicable</v>
      </c>
    </row>
    <row r="1262" spans="1:27" x14ac:dyDescent="0.25">
      <c r="A1262">
        <v>1260</v>
      </c>
      <c r="B1262" t="s">
        <v>2504</v>
      </c>
      <c r="C1262" s="4" t="s">
        <v>2491</v>
      </c>
      <c r="D1262" s="4">
        <v>5781983</v>
      </c>
      <c r="E1262" t="s">
        <v>17</v>
      </c>
      <c r="F1262" s="1">
        <v>44666</v>
      </c>
      <c r="G1262">
        <v>13</v>
      </c>
      <c r="H1262" t="s">
        <v>34</v>
      </c>
      <c r="K1262">
        <v>8</v>
      </c>
      <c r="L1262" t="s">
        <v>1168</v>
      </c>
      <c r="M1262" t="s">
        <v>10</v>
      </c>
      <c r="N1262" t="s">
        <v>36</v>
      </c>
      <c r="O1262" t="s">
        <v>3118</v>
      </c>
      <c r="P1262" t="s">
        <v>2640</v>
      </c>
      <c r="Q1262" t="s">
        <v>3259</v>
      </c>
      <c r="R1262" t="s">
        <v>2495</v>
      </c>
      <c r="S1262">
        <v>-9997</v>
      </c>
      <c r="U1262" t="s">
        <v>1169</v>
      </c>
      <c r="W1262" t="s">
        <v>2493</v>
      </c>
      <c r="X1262" t="str">
        <f t="shared" si="19"/>
        <v>AS177380@TRAC Corp</v>
      </c>
      <c r="Y1262" t="str">
        <f>_xlfn.IFNA(_xll.BDP(X1262,"INTERVAL_SUM", "MARKET_DATA_OVERRIDE=px_volume", "CALC_INTERVAL=5D"), "")</f>
        <v>#N/A N/A</v>
      </c>
      <c r="Z1262" cm="1">
        <f t="array" ref="Z1262">_xll.BDP(B1262, "CF_ACT_CASH_PAID_FOR_INT_DEBT")</f>
        <v>81.619</v>
      </c>
      <c r="AA1262" t="str" cm="1">
        <f t="array" ref="AA1262">_xll.BDP(B1262, "TYPE_OF_BOND")</f>
        <v>PIK</v>
      </c>
    </row>
    <row r="1263" spans="1:27" x14ac:dyDescent="0.25">
      <c r="A1263">
        <v>1261</v>
      </c>
      <c r="B1263" t="s">
        <v>2505</v>
      </c>
      <c r="C1263" s="4" t="s">
        <v>2491</v>
      </c>
      <c r="D1263" s="4">
        <v>635000000</v>
      </c>
      <c r="E1263" t="s">
        <v>11</v>
      </c>
      <c r="F1263" s="1">
        <v>44484</v>
      </c>
      <c r="G1263">
        <v>9.5</v>
      </c>
      <c r="H1263" t="s">
        <v>34</v>
      </c>
      <c r="L1263" t="s">
        <v>1168</v>
      </c>
      <c r="M1263" t="s">
        <v>10</v>
      </c>
      <c r="N1263" t="s">
        <v>36</v>
      </c>
      <c r="O1263" t="s">
        <v>3118</v>
      </c>
      <c r="P1263" t="s">
        <v>2640</v>
      </c>
      <c r="Q1263" t="s">
        <v>3259</v>
      </c>
      <c r="R1263" t="s">
        <v>2499</v>
      </c>
      <c r="S1263">
        <v>-9997</v>
      </c>
      <c r="U1263" t="s">
        <v>1169</v>
      </c>
      <c r="W1263" t="s">
        <v>2493</v>
      </c>
      <c r="X1263" t="str">
        <f t="shared" si="19"/>
        <v>AR725330@TRAC Corp</v>
      </c>
      <c r="Y1263" t="str">
        <f>_xlfn.IFNA(_xll.BDP(X1263,"INTERVAL_SUM", "MARKET_DATA_OVERRIDE=px_volume", "CALC_INTERVAL=5D"), "")</f>
        <v>#N/A N/A</v>
      </c>
      <c r="Z1263" cm="1">
        <f t="array" ref="Z1263">_xll.BDP(B1263, "CF_ACT_CASH_PAID_FOR_INT_DEBT")</f>
        <v>81.619</v>
      </c>
      <c r="AA1263" t="str" cm="1">
        <f t="array" ref="AA1263">_xll.BDP(B1263, "TYPE_OF_BOND")</f>
        <v>#N/A Field Not Applicable</v>
      </c>
    </row>
    <row r="1264" spans="1:27" x14ac:dyDescent="0.25">
      <c r="A1264">
        <v>1262</v>
      </c>
      <c r="B1264" t="s">
        <v>2506</v>
      </c>
      <c r="C1264" s="4" t="s">
        <v>2491</v>
      </c>
      <c r="D1264" s="4">
        <v>195000000</v>
      </c>
      <c r="E1264" t="s">
        <v>11</v>
      </c>
      <c r="F1264" s="1">
        <v>46752</v>
      </c>
      <c r="G1264">
        <v>5.1641000000000004</v>
      </c>
      <c r="H1264" t="s">
        <v>13</v>
      </c>
      <c r="I1264" t="s">
        <v>2631</v>
      </c>
      <c r="J1264">
        <v>150</v>
      </c>
      <c r="L1264" t="s">
        <v>1168</v>
      </c>
      <c r="M1264" t="s">
        <v>10</v>
      </c>
      <c r="N1264" t="s">
        <v>36</v>
      </c>
      <c r="O1264" t="s">
        <v>3118</v>
      </c>
      <c r="P1264" t="s">
        <v>2640</v>
      </c>
      <c r="Q1264" t="s">
        <v>3259</v>
      </c>
      <c r="R1264" t="s">
        <v>2507</v>
      </c>
      <c r="V1264" t="s">
        <v>945</v>
      </c>
      <c r="W1264" t="s">
        <v>2493</v>
      </c>
      <c r="X1264" t="str">
        <f t="shared" si="19"/>
        <v>BL356914@TRAC Corp</v>
      </c>
      <c r="Y1264" t="str">
        <f>_xlfn.IFNA(_xll.BDP(X1264,"INTERVAL_SUM", "MARKET_DATA_OVERRIDE=px_volume", "CALC_INTERVAL=5D"), "")</f>
        <v>#N/A N/A</v>
      </c>
      <c r="Z1264" cm="1">
        <f t="array" ref="Z1264">_xll.BDP(B1264, "CF_ACT_CASH_PAID_FOR_INT_DEBT")</f>
        <v>81.619</v>
      </c>
      <c r="AA1264" t="str" cm="1">
        <f t="array" ref="AA1264">_xll.BDP(B1264, "TYPE_OF_BOND")</f>
        <v>#N/A Field Not Applicable</v>
      </c>
    </row>
    <row r="1265" spans="1:27" x14ac:dyDescent="0.25">
      <c r="A1265">
        <v>1263</v>
      </c>
      <c r="B1265" t="s">
        <v>3851</v>
      </c>
      <c r="C1265" s="4" t="s">
        <v>3852</v>
      </c>
      <c r="D1265" s="4">
        <v>550000000</v>
      </c>
      <c r="E1265" t="s">
        <v>17</v>
      </c>
      <c r="F1265" s="1">
        <v>47649</v>
      </c>
      <c r="G1265">
        <v>0</v>
      </c>
      <c r="H1265" t="s">
        <v>1818</v>
      </c>
      <c r="L1265" t="s">
        <v>1168</v>
      </c>
      <c r="M1265" t="s">
        <v>10</v>
      </c>
      <c r="N1265" t="s">
        <v>1149</v>
      </c>
      <c r="O1265" t="s">
        <v>3176</v>
      </c>
      <c r="P1265" t="s">
        <v>2688</v>
      </c>
      <c r="Q1265" t="s">
        <v>3262</v>
      </c>
      <c r="R1265" t="s">
        <v>3853</v>
      </c>
      <c r="S1265">
        <v>4689846.6825362695</v>
      </c>
      <c r="T1265">
        <v>20</v>
      </c>
      <c r="W1265" t="s">
        <v>3854</v>
      </c>
      <c r="X1265" t="str">
        <f t="shared" si="19"/>
        <v>YN253017@TRAC Corp</v>
      </c>
      <c r="Y1265">
        <f>_xlfn.IFNA(_xll.BDP(X1265,"INTERVAL_SUM", "MARKET_DATA_OVERRIDE=px_volume", "CALC_INTERVAL=5D"), "")</f>
        <v>9000</v>
      </c>
      <c r="Z1265" cm="1">
        <f t="array" ref="Z1265">_xll.BDP(B1265, "CF_ACT_CASH_PAID_FOR_INT_DEBT")</f>
        <v>0</v>
      </c>
      <c r="AA1265" t="str" cm="1">
        <f t="array" ref="AA1265">_xll.BDP(B1265, "TYPE_OF_BOND")</f>
        <v>Convertible</v>
      </c>
    </row>
    <row r="1266" spans="1:27" x14ac:dyDescent="0.25">
      <c r="A1266">
        <v>1264</v>
      </c>
      <c r="B1266" t="s">
        <v>2508</v>
      </c>
      <c r="C1266" s="4" t="s">
        <v>2509</v>
      </c>
      <c r="D1266" s="4">
        <v>550000000</v>
      </c>
      <c r="E1266" t="s">
        <v>11</v>
      </c>
      <c r="F1266" s="1">
        <v>47727</v>
      </c>
      <c r="G1266">
        <v>11.75</v>
      </c>
      <c r="H1266" t="s">
        <v>9</v>
      </c>
      <c r="L1266" t="s">
        <v>1168</v>
      </c>
      <c r="M1266" t="s">
        <v>595</v>
      </c>
      <c r="N1266" t="s">
        <v>313</v>
      </c>
      <c r="O1266" t="s">
        <v>3260</v>
      </c>
      <c r="P1266" t="s">
        <v>2701</v>
      </c>
      <c r="Q1266" t="s">
        <v>3261</v>
      </c>
      <c r="R1266" t="s">
        <v>2510</v>
      </c>
      <c r="S1266">
        <v>4403737.28873799</v>
      </c>
      <c r="T1266">
        <v>15</v>
      </c>
      <c r="U1266" t="s">
        <v>1169</v>
      </c>
      <c r="W1266" t="s">
        <v>2511</v>
      </c>
      <c r="X1266" t="str">
        <f t="shared" si="19"/>
        <v>YM780664@TRAC Corp</v>
      </c>
      <c r="Y1266">
        <f>_xlfn.IFNA(_xll.BDP(X1266,"INTERVAL_SUM", "MARKET_DATA_OVERRIDE=px_volume", "CALC_INTERVAL=5D"), "")</f>
        <v>1605</v>
      </c>
      <c r="Z1266" t="str" cm="1">
        <f t="array" ref="Z1266">_xll.BDP(B1266, "CF_ACT_CASH_PAID_FOR_INT_DEBT")</f>
        <v>#N/A N/A</v>
      </c>
      <c r="AA1266" t="str" cm="1">
        <f t="array" ref="AA1266">_xll.BDP(B1266, "TYPE_OF_BOND")</f>
        <v>#N/A Field Not Applicable</v>
      </c>
    </row>
    <row r="1267" spans="1:27" x14ac:dyDescent="0.25">
      <c r="A1267">
        <v>1265</v>
      </c>
      <c r="B1267" t="s">
        <v>1631</v>
      </c>
      <c r="C1267" s="4" t="s">
        <v>1632</v>
      </c>
      <c r="D1267" s="4">
        <v>539944389</v>
      </c>
      <c r="E1267" t="s">
        <v>11</v>
      </c>
      <c r="F1267" s="1">
        <v>47535</v>
      </c>
      <c r="G1267">
        <v>11.25</v>
      </c>
      <c r="H1267" t="s">
        <v>9</v>
      </c>
      <c r="L1267" t="s">
        <v>1168</v>
      </c>
      <c r="M1267" t="s">
        <v>10</v>
      </c>
      <c r="N1267" t="s">
        <v>16</v>
      </c>
      <c r="O1267" t="s">
        <v>3222</v>
      </c>
      <c r="P1267" t="s">
        <v>2632</v>
      </c>
      <c r="Q1267" t="s">
        <v>3223</v>
      </c>
      <c r="R1267" t="s">
        <v>1633</v>
      </c>
      <c r="S1267">
        <v>2483163.6431389302</v>
      </c>
      <c r="T1267">
        <v>11</v>
      </c>
      <c r="U1267" t="s">
        <v>1169</v>
      </c>
      <c r="W1267" t="s">
        <v>1634</v>
      </c>
      <c r="X1267" t="str">
        <f t="shared" si="19"/>
        <v>YO245216@TRAC Corp</v>
      </c>
      <c r="Y1267">
        <f>_xlfn.IFNA(_xll.BDP(X1267,"INTERVAL_SUM", "MARKET_DATA_OVERRIDE=px_volume", "CALC_INTERVAL=5D"), "")</f>
        <v>37388</v>
      </c>
      <c r="Z1267" t="str" cm="1">
        <f t="array" ref="Z1267">_xll.BDP(B1267, "CF_ACT_CASH_PAID_FOR_INT_DEBT")</f>
        <v>#N/A N/A</v>
      </c>
      <c r="AA1267" t="str" cm="1">
        <f t="array" ref="AA1267">_xll.BDP(B1267, "TYPE_OF_BOND")</f>
        <v>#N/A Field Not Applicable</v>
      </c>
    </row>
    <row r="1268" spans="1:27" x14ac:dyDescent="0.25">
      <c r="A1268">
        <v>1266</v>
      </c>
      <c r="B1268" t="s">
        <v>1635</v>
      </c>
      <c r="C1268" s="4" t="s">
        <v>1632</v>
      </c>
      <c r="D1268" s="4">
        <v>264686000</v>
      </c>
      <c r="E1268" t="s">
        <v>17</v>
      </c>
      <c r="F1268" s="1">
        <v>46813</v>
      </c>
      <c r="G1268">
        <v>14</v>
      </c>
      <c r="H1268" t="s">
        <v>9</v>
      </c>
      <c r="L1268" t="s">
        <v>1168</v>
      </c>
      <c r="M1268" t="s">
        <v>10</v>
      </c>
      <c r="N1268" t="s">
        <v>16</v>
      </c>
      <c r="O1268" t="s">
        <v>3222</v>
      </c>
      <c r="P1268" t="s">
        <v>2632</v>
      </c>
      <c r="Q1268" t="s">
        <v>3223</v>
      </c>
      <c r="R1268" t="s">
        <v>1636</v>
      </c>
      <c r="S1268">
        <v>5757701.4266298404</v>
      </c>
      <c r="T1268">
        <v>6</v>
      </c>
      <c r="U1268" t="s">
        <v>1169</v>
      </c>
      <c r="W1268" t="s">
        <v>1634</v>
      </c>
      <c r="X1268" t="str">
        <f t="shared" si="19"/>
        <v>YJ291755@TRAC Corp</v>
      </c>
      <c r="Y1268">
        <f>_xlfn.IFNA(_xll.BDP(X1268,"INTERVAL_SUM", "MARKET_DATA_OVERRIDE=px_volume", "CALC_INTERVAL=5D"), "")</f>
        <v>4090</v>
      </c>
      <c r="Z1268" t="str" cm="1">
        <f t="array" ref="Z1268">_xll.BDP(B1268, "CF_ACT_CASH_PAID_FOR_INT_DEBT")</f>
        <v>#N/A N/A</v>
      </c>
      <c r="AA1268" t="str" cm="1">
        <f t="array" ref="AA1268">_xll.BDP(B1268, "TYPE_OF_BOND")</f>
        <v>#N/A Field Not Applicable</v>
      </c>
    </row>
    <row r="1269" spans="1:27" x14ac:dyDescent="0.25">
      <c r="A1269">
        <v>1267</v>
      </c>
      <c r="B1269" t="s">
        <v>1637</v>
      </c>
      <c r="C1269" s="4" t="s">
        <v>1632</v>
      </c>
      <c r="D1269" s="4">
        <v>5314000</v>
      </c>
      <c r="E1269" t="s">
        <v>17</v>
      </c>
      <c r="F1269" s="1">
        <v>46447</v>
      </c>
      <c r="G1269">
        <v>9.75</v>
      </c>
      <c r="H1269" t="s">
        <v>9</v>
      </c>
      <c r="L1269" t="s">
        <v>1168</v>
      </c>
      <c r="M1269" t="s">
        <v>10</v>
      </c>
      <c r="N1269" t="s">
        <v>16</v>
      </c>
      <c r="O1269" t="s">
        <v>3222</v>
      </c>
      <c r="P1269" t="s">
        <v>2632</v>
      </c>
      <c r="Q1269" t="s">
        <v>3223</v>
      </c>
      <c r="R1269" t="s">
        <v>1638</v>
      </c>
      <c r="S1269">
        <v>-9997</v>
      </c>
      <c r="U1269" t="s">
        <v>1169</v>
      </c>
      <c r="W1269" t="s">
        <v>1634</v>
      </c>
      <c r="X1269" t="str">
        <f t="shared" si="19"/>
        <v>AX138813@TRAC Corp</v>
      </c>
      <c r="Y1269" t="str">
        <f>_xlfn.IFNA(_xll.BDP(X1269,"INTERVAL_SUM", "MARKET_DATA_OVERRIDE=px_volume", "CALC_INTERVAL=5D"), "")</f>
        <v>#N/A N/A</v>
      </c>
      <c r="Z1269" t="str" cm="1">
        <f t="array" ref="Z1269">_xll.BDP(B1269, "CF_ACT_CASH_PAID_FOR_INT_DEBT")</f>
        <v>#N/A N/A</v>
      </c>
      <c r="AA1269" t="str" cm="1">
        <f t="array" ref="AA1269">_xll.BDP(B1269, "TYPE_OF_BOND")</f>
        <v>#N/A Field Not Applicable</v>
      </c>
    </row>
    <row r="1270" spans="1:27" x14ac:dyDescent="0.25">
      <c r="A1270">
        <v>1268</v>
      </c>
      <c r="B1270" t="s">
        <v>1639</v>
      </c>
      <c r="C1270" s="4" t="s">
        <v>1632</v>
      </c>
      <c r="D1270" s="4">
        <v>410860000</v>
      </c>
      <c r="E1270" t="s">
        <v>11</v>
      </c>
      <c r="F1270" s="1">
        <v>47535</v>
      </c>
      <c r="G1270">
        <v>8.1950000000000003</v>
      </c>
      <c r="H1270" t="s">
        <v>13</v>
      </c>
      <c r="I1270" t="s">
        <v>2636</v>
      </c>
      <c r="J1270">
        <v>600</v>
      </c>
      <c r="L1270" t="s">
        <v>1171</v>
      </c>
      <c r="M1270" t="s">
        <v>10</v>
      </c>
      <c r="N1270" t="s">
        <v>16</v>
      </c>
      <c r="O1270" t="s">
        <v>3222</v>
      </c>
      <c r="P1270" t="s">
        <v>2632</v>
      </c>
      <c r="Q1270" t="s">
        <v>3223</v>
      </c>
      <c r="R1270" t="s">
        <v>1640</v>
      </c>
      <c r="S1270">
        <v>3496913.8368952801</v>
      </c>
      <c r="T1270">
        <v>4</v>
      </c>
      <c r="V1270" t="s">
        <v>227</v>
      </c>
      <c r="W1270" t="s">
        <v>1634</v>
      </c>
      <c r="X1270" t="str">
        <f t="shared" si="19"/>
        <v>BL499581@TRAC Corp</v>
      </c>
      <c r="Y1270" t="str">
        <f>_xlfn.IFNA(_xll.BDP(X1270,"INTERVAL_SUM", "MARKET_DATA_OVERRIDE=px_volume", "CALC_INTERVAL=5D"), "")</f>
        <v>#N/A N/A</v>
      </c>
      <c r="Z1270" t="str" cm="1">
        <f t="array" ref="Z1270">_xll.BDP(B1270, "CF_ACT_CASH_PAID_FOR_INT_DEBT")</f>
        <v>#N/A N/A</v>
      </c>
      <c r="AA1270" t="str" cm="1">
        <f t="array" ref="AA1270">_xll.BDP(B1270, "TYPE_OF_BOND")</f>
        <v>#N/A Field Not Applicable</v>
      </c>
    </row>
    <row r="1271" spans="1:27" x14ac:dyDescent="0.25">
      <c r="A1271">
        <v>1269</v>
      </c>
      <c r="B1271" t="s">
        <v>1641</v>
      </c>
      <c r="C1271" s="4" t="s">
        <v>1632</v>
      </c>
      <c r="D1271" s="4">
        <v>40055611</v>
      </c>
      <c r="E1271" t="s">
        <v>11</v>
      </c>
      <c r="F1271" s="1">
        <v>47535</v>
      </c>
      <c r="G1271">
        <v>11.25</v>
      </c>
      <c r="H1271" t="s">
        <v>9</v>
      </c>
      <c r="I1271" t="s">
        <v>2630</v>
      </c>
      <c r="L1271" t="s">
        <v>1168</v>
      </c>
      <c r="M1271" t="s">
        <v>10</v>
      </c>
      <c r="N1271" t="s">
        <v>16</v>
      </c>
      <c r="O1271" t="s">
        <v>3222</v>
      </c>
      <c r="P1271" t="s">
        <v>2632</v>
      </c>
      <c r="Q1271" t="s">
        <v>3223</v>
      </c>
      <c r="R1271" t="s">
        <v>1642</v>
      </c>
      <c r="S1271">
        <v>2000000</v>
      </c>
      <c r="T1271">
        <v>3</v>
      </c>
      <c r="U1271" s="6"/>
      <c r="V1271" t="s">
        <v>227</v>
      </c>
      <c r="W1271" t="s">
        <v>1634</v>
      </c>
      <c r="X1271" t="str">
        <f t="shared" si="19"/>
        <v>BL499579@TRAC Corp</v>
      </c>
      <c r="Y1271" t="str">
        <f>_xlfn.IFNA(_xll.BDP(X1271,"INTERVAL_SUM", "MARKET_DATA_OVERRIDE=px_volume", "CALC_INTERVAL=5D"), "")</f>
        <v>#N/A N/A</v>
      </c>
      <c r="Z1271" t="str" cm="1">
        <f t="array" ref="Z1271">_xll.BDP(B1271, "CF_ACT_CASH_PAID_FOR_INT_DEBT")</f>
        <v>#N/A N/A</v>
      </c>
      <c r="AA1271" t="str" cm="1">
        <f t="array" ref="AA1271">_xll.BDP(B1271, "TYPE_OF_BOND")</f>
        <v>#N/A Field Not Applicable</v>
      </c>
    </row>
    <row r="1272" spans="1:27" x14ac:dyDescent="0.25">
      <c r="A1272">
        <v>1270</v>
      </c>
      <c r="B1272" t="s">
        <v>1643</v>
      </c>
      <c r="C1272" s="4" t="s">
        <v>1632</v>
      </c>
      <c r="D1272" s="4">
        <v>120000000</v>
      </c>
      <c r="E1272" t="s">
        <v>11</v>
      </c>
      <c r="F1272" s="1">
        <v>46877</v>
      </c>
      <c r="G1272">
        <v>7.7439</v>
      </c>
      <c r="H1272" t="s">
        <v>13</v>
      </c>
      <c r="I1272" t="s">
        <v>2631</v>
      </c>
      <c r="J1272">
        <v>400</v>
      </c>
      <c r="L1272" t="s">
        <v>1168</v>
      </c>
      <c r="M1272" t="s">
        <v>10</v>
      </c>
      <c r="N1272" t="s">
        <v>16</v>
      </c>
      <c r="O1272" t="s">
        <v>3222</v>
      </c>
      <c r="P1272" t="s">
        <v>2632</v>
      </c>
      <c r="Q1272" t="s">
        <v>3223</v>
      </c>
      <c r="R1272" t="s">
        <v>1644</v>
      </c>
      <c r="V1272" t="s">
        <v>226</v>
      </c>
      <c r="W1272" t="s">
        <v>1634</v>
      </c>
      <c r="X1272" t="str">
        <f t="shared" si="19"/>
        <v>BL292776@TRAC Corp</v>
      </c>
      <c r="Y1272" t="str">
        <f>_xlfn.IFNA(_xll.BDP(X1272,"INTERVAL_SUM", "MARKET_DATA_OVERRIDE=px_volume", "CALC_INTERVAL=5D"), "")</f>
        <v>#N/A N/A</v>
      </c>
      <c r="Z1272" t="str" cm="1">
        <f t="array" ref="Z1272">_xll.BDP(B1272, "CF_ACT_CASH_PAID_FOR_INT_DEBT")</f>
        <v>#N/A N/A</v>
      </c>
      <c r="AA1272" t="str" cm="1">
        <f t="array" ref="AA1272">_xll.BDP(B1272, "TYPE_OF_BOND")</f>
        <v>#N/A Field Not Applicable</v>
      </c>
    </row>
    <row r="1273" spans="1:27" x14ac:dyDescent="0.25">
      <c r="A1273">
        <v>1271</v>
      </c>
      <c r="B1273" t="s">
        <v>3855</v>
      </c>
      <c r="C1273" s="4" t="s">
        <v>3856</v>
      </c>
      <c r="D1273" s="4">
        <v>538270989</v>
      </c>
      <c r="E1273" t="s">
        <v>33</v>
      </c>
      <c r="F1273" s="1">
        <v>47848</v>
      </c>
      <c r="G1273">
        <v>8.75</v>
      </c>
      <c r="H1273" t="s">
        <v>9</v>
      </c>
      <c r="L1273" t="s">
        <v>1168</v>
      </c>
      <c r="M1273" t="s">
        <v>10</v>
      </c>
      <c r="N1273" t="s">
        <v>36</v>
      </c>
      <c r="O1273" t="s">
        <v>3118</v>
      </c>
      <c r="P1273" t="s">
        <v>2640</v>
      </c>
      <c r="Q1273" t="s">
        <v>3126</v>
      </c>
      <c r="R1273" t="s">
        <v>3857</v>
      </c>
      <c r="S1273">
        <v>7146733.8011814002</v>
      </c>
      <c r="T1273">
        <v>31</v>
      </c>
      <c r="U1273" t="s">
        <v>1169</v>
      </c>
      <c r="W1273" t="s">
        <v>3858</v>
      </c>
      <c r="X1273" t="str">
        <f t="shared" si="19"/>
        <v>YK463308@TRAC Corp</v>
      </c>
      <c r="Y1273">
        <f>_xlfn.IFNA(_xll.BDP(X1273,"INTERVAL_SUM", "MARKET_DATA_OVERRIDE=px_volume", "CALC_INTERVAL=5D"), "")</f>
        <v>10690</v>
      </c>
      <c r="Z1273" t="str" cm="1">
        <f t="array" ref="Z1273">_xll.BDP(B1273, "CF_ACT_CASH_PAID_FOR_INT_DEBT")</f>
        <v>#N/A N/A</v>
      </c>
      <c r="AA1273" t="str" cm="1">
        <f t="array" ref="AA1273">_xll.BDP(B1273, "TYPE_OF_BOND")</f>
        <v>#N/A Field Not Applicable</v>
      </c>
    </row>
    <row r="1274" spans="1:27" x14ac:dyDescent="0.25">
      <c r="A1274">
        <v>1272</v>
      </c>
      <c r="B1274" t="s">
        <v>3859</v>
      </c>
      <c r="C1274" s="4" t="s">
        <v>3856</v>
      </c>
      <c r="D1274" s="4">
        <v>800000000</v>
      </c>
      <c r="E1274" t="s">
        <v>11</v>
      </c>
      <c r="F1274" s="1">
        <v>47922</v>
      </c>
      <c r="G1274">
        <v>8</v>
      </c>
      <c r="H1274" t="s">
        <v>9</v>
      </c>
      <c r="L1274" t="s">
        <v>1168</v>
      </c>
      <c r="M1274" t="s">
        <v>10</v>
      </c>
      <c r="N1274" t="s">
        <v>36</v>
      </c>
      <c r="O1274" t="s">
        <v>3118</v>
      </c>
      <c r="P1274" t="s">
        <v>2640</v>
      </c>
      <c r="Q1274" t="s">
        <v>3126</v>
      </c>
      <c r="R1274" t="s">
        <v>3860</v>
      </c>
      <c r="S1274">
        <v>5052067.0412814002</v>
      </c>
      <c r="T1274">
        <v>32</v>
      </c>
      <c r="U1274" t="s">
        <v>1169</v>
      </c>
      <c r="W1274" t="s">
        <v>3858</v>
      </c>
      <c r="X1274" t="str">
        <f t="shared" si="19"/>
        <v>YK263719@TRAC Corp</v>
      </c>
      <c r="Y1274">
        <f>_xlfn.IFNA(_xll.BDP(X1274,"INTERVAL_SUM", "MARKET_DATA_OVERRIDE=px_volume", "CALC_INTERVAL=5D"), "")</f>
        <v>10820</v>
      </c>
      <c r="Z1274" t="str" cm="1">
        <f t="array" ref="Z1274">_xll.BDP(B1274, "CF_ACT_CASH_PAID_FOR_INT_DEBT")</f>
        <v>#N/A N/A</v>
      </c>
      <c r="AA1274" t="str" cm="1">
        <f t="array" ref="AA1274">_xll.BDP(B1274, "TYPE_OF_BOND")</f>
        <v>#N/A Field Not Applicable</v>
      </c>
    </row>
    <row r="1275" spans="1:27" x14ac:dyDescent="0.25">
      <c r="A1275">
        <v>1273</v>
      </c>
      <c r="B1275" t="s">
        <v>3861</v>
      </c>
      <c r="C1275" s="4" t="s">
        <v>3856</v>
      </c>
      <c r="D1275" s="4">
        <v>1014900000</v>
      </c>
      <c r="E1275" t="s">
        <v>11</v>
      </c>
      <c r="F1275" s="1">
        <v>47924</v>
      </c>
      <c r="G1275">
        <v>8.1466999999999992</v>
      </c>
      <c r="H1275" t="s">
        <v>13</v>
      </c>
      <c r="I1275" t="s">
        <v>2631</v>
      </c>
      <c r="J1275">
        <v>450</v>
      </c>
      <c r="L1275" t="s">
        <v>1168</v>
      </c>
      <c r="M1275" t="s">
        <v>10</v>
      </c>
      <c r="N1275" t="s">
        <v>36</v>
      </c>
      <c r="O1275" t="s">
        <v>3118</v>
      </c>
      <c r="P1275" t="s">
        <v>2640</v>
      </c>
      <c r="Q1275" t="s">
        <v>3126</v>
      </c>
      <c r="R1275" t="s">
        <v>3862</v>
      </c>
      <c r="S1275">
        <v>3000000</v>
      </c>
      <c r="T1275">
        <v>29</v>
      </c>
      <c r="V1275" t="s">
        <v>227</v>
      </c>
      <c r="W1275" t="s">
        <v>3858</v>
      </c>
      <c r="X1275" t="str">
        <f t="shared" si="19"/>
        <v>BL524058@TRAC Corp</v>
      </c>
      <c r="Y1275" t="str">
        <f>_xlfn.IFNA(_xll.BDP(X1275,"INTERVAL_SUM", "MARKET_DATA_OVERRIDE=px_volume", "CALC_INTERVAL=5D"), "")</f>
        <v>#N/A N/A</v>
      </c>
      <c r="Z1275" t="str" cm="1">
        <f t="array" ref="Z1275">_xll.BDP(B1275, "CF_ACT_CASH_PAID_FOR_INT_DEBT")</f>
        <v>#N/A N/A</v>
      </c>
      <c r="AA1275" t="str" cm="1">
        <f t="array" ref="AA1275">_xll.BDP(B1275, "TYPE_OF_BOND")</f>
        <v>#N/A Field Not Applicable</v>
      </c>
    </row>
    <row r="1276" spans="1:27" x14ac:dyDescent="0.25">
      <c r="A1276">
        <v>1274</v>
      </c>
      <c r="B1276" t="s">
        <v>3863</v>
      </c>
      <c r="C1276" s="4" t="s">
        <v>3856</v>
      </c>
      <c r="D1276" s="4">
        <v>78000000</v>
      </c>
      <c r="E1276" t="s">
        <v>11</v>
      </c>
      <c r="F1276" s="1">
        <v>47415</v>
      </c>
      <c r="G1276">
        <v>5.3939000000000004</v>
      </c>
      <c r="H1276" t="s">
        <v>13</v>
      </c>
      <c r="I1276" t="s">
        <v>2631</v>
      </c>
      <c r="J1276">
        <v>175</v>
      </c>
      <c r="L1276" t="s">
        <v>1168</v>
      </c>
      <c r="M1276" t="s">
        <v>10</v>
      </c>
      <c r="N1276" t="s">
        <v>36</v>
      </c>
      <c r="O1276" t="s">
        <v>3118</v>
      </c>
      <c r="P1276" t="s">
        <v>2640</v>
      </c>
      <c r="Q1276" t="s">
        <v>3126</v>
      </c>
      <c r="R1276" t="s">
        <v>3864</v>
      </c>
      <c r="V1276" t="s">
        <v>945</v>
      </c>
      <c r="W1276" t="s">
        <v>3858</v>
      </c>
      <c r="X1276" t="str">
        <f t="shared" si="19"/>
        <v>BL354543@TRAC Corp</v>
      </c>
      <c r="Y1276" t="str">
        <f>_xlfn.IFNA(_xll.BDP(X1276,"INTERVAL_SUM", "MARKET_DATA_OVERRIDE=px_volume", "CALC_INTERVAL=5D"), "")</f>
        <v>#N/A N/A</v>
      </c>
      <c r="Z1276" t="str" cm="1">
        <f t="array" ref="Z1276">_xll.BDP(B1276, "CF_ACT_CASH_PAID_FOR_INT_DEBT")</f>
        <v>#N/A N/A</v>
      </c>
      <c r="AA1276" t="str" cm="1">
        <f t="array" ref="AA1276">_xll.BDP(B1276, "TYPE_OF_BOND")</f>
        <v>#N/A Field Not Applicable</v>
      </c>
    </row>
    <row r="1277" spans="1:27" x14ac:dyDescent="0.25">
      <c r="A1277">
        <v>1275</v>
      </c>
      <c r="B1277" t="s">
        <v>2512</v>
      </c>
      <c r="C1277" s="4" t="s">
        <v>2513</v>
      </c>
      <c r="D1277" s="4">
        <v>527567621.523</v>
      </c>
      <c r="E1277" t="s">
        <v>11</v>
      </c>
      <c r="F1277" s="1">
        <v>47253</v>
      </c>
      <c r="G1277">
        <v>12</v>
      </c>
      <c r="H1277" t="s">
        <v>64</v>
      </c>
      <c r="K1277">
        <v>3.5</v>
      </c>
      <c r="L1277" t="s">
        <v>1168</v>
      </c>
      <c r="M1277" t="s">
        <v>10</v>
      </c>
      <c r="N1277" t="s">
        <v>1149</v>
      </c>
      <c r="O1277" t="s">
        <v>3176</v>
      </c>
      <c r="P1277" t="s">
        <v>2688</v>
      </c>
      <c r="Q1277" t="s">
        <v>3262</v>
      </c>
      <c r="R1277" t="s">
        <v>2514</v>
      </c>
      <c r="S1277">
        <v>9064555.3159595598</v>
      </c>
      <c r="T1277">
        <v>45</v>
      </c>
      <c r="U1277" t="s">
        <v>1169</v>
      </c>
      <c r="W1277" t="s">
        <v>2515</v>
      </c>
      <c r="X1277" t="str">
        <f t="shared" si="19"/>
        <v>YU871179@TRAC Corp</v>
      </c>
      <c r="Y1277">
        <f>_xlfn.IFNA(_xll.BDP(X1277,"INTERVAL_SUM", "MARKET_DATA_OVERRIDE=px_volume", "CALC_INTERVAL=5D"), "")</f>
        <v>410</v>
      </c>
      <c r="Z1277" cm="1">
        <f t="array" ref="Z1277">_xll.BDP(B1277, "CF_ACT_CASH_PAID_FOR_INT_DEBT")</f>
        <v>0.53700000000000003</v>
      </c>
      <c r="AA1277" t="str" cm="1">
        <f t="array" ref="AA1277">_xll.BDP(B1277, "TYPE_OF_BOND")</f>
        <v>Toggle</v>
      </c>
    </row>
    <row r="1278" spans="1:27" x14ac:dyDescent="0.25">
      <c r="A1278">
        <v>1276</v>
      </c>
      <c r="B1278" t="s">
        <v>2516</v>
      </c>
      <c r="C1278" s="4" t="s">
        <v>2513</v>
      </c>
      <c r="D1278" s="4">
        <v>32000000</v>
      </c>
      <c r="E1278" t="s">
        <v>11</v>
      </c>
      <c r="F1278" s="1">
        <v>47253</v>
      </c>
      <c r="G1278">
        <v>6.8939000000000004</v>
      </c>
      <c r="H1278" t="s">
        <v>13</v>
      </c>
      <c r="I1278" t="s">
        <v>2631</v>
      </c>
      <c r="J1278">
        <v>325</v>
      </c>
      <c r="L1278" t="s">
        <v>1168</v>
      </c>
      <c r="M1278" t="s">
        <v>10</v>
      </c>
      <c r="N1278" t="s">
        <v>14</v>
      </c>
      <c r="O1278" t="s">
        <v>2650</v>
      </c>
      <c r="P1278" t="s">
        <v>2650</v>
      </c>
      <c r="Q1278" t="s">
        <v>3263</v>
      </c>
      <c r="R1278" t="s">
        <v>2517</v>
      </c>
      <c r="V1278" t="s">
        <v>945</v>
      </c>
      <c r="W1278" t="s">
        <v>2515</v>
      </c>
      <c r="X1278" t="str">
        <f t="shared" si="19"/>
        <v>BL167407@TRAC Corp</v>
      </c>
      <c r="Y1278" t="str">
        <f>_xlfn.IFNA(_xll.BDP(X1278,"INTERVAL_SUM", "MARKET_DATA_OVERRIDE=px_volume", "CALC_INTERVAL=5D"), "")</f>
        <v>#N/A N/A</v>
      </c>
      <c r="Z1278" cm="1">
        <f t="array" ref="Z1278">_xll.BDP(B1278, "CF_ACT_CASH_PAID_FOR_INT_DEBT")</f>
        <v>0.53700000000000003</v>
      </c>
      <c r="AA1278" t="str" cm="1">
        <f t="array" ref="AA1278">_xll.BDP(B1278, "TYPE_OF_BOND")</f>
        <v>#N/A Field Not Applicable</v>
      </c>
    </row>
    <row r="1279" spans="1:27" x14ac:dyDescent="0.25">
      <c r="A1279">
        <v>1277</v>
      </c>
      <c r="B1279" t="s">
        <v>2518</v>
      </c>
      <c r="C1279" s="4" t="s">
        <v>2519</v>
      </c>
      <c r="D1279" s="4">
        <v>525000000</v>
      </c>
      <c r="E1279" t="s">
        <v>17</v>
      </c>
      <c r="F1279" s="1">
        <v>47270</v>
      </c>
      <c r="G1279">
        <v>6.375</v>
      </c>
      <c r="H1279" t="s">
        <v>9</v>
      </c>
      <c r="L1279" t="s">
        <v>1168</v>
      </c>
      <c r="M1279" t="s">
        <v>10</v>
      </c>
      <c r="N1279" t="s">
        <v>36</v>
      </c>
      <c r="O1279" t="s">
        <v>3264</v>
      </c>
      <c r="P1279" t="s">
        <v>2659</v>
      </c>
      <c r="Q1279" t="s">
        <v>3265</v>
      </c>
      <c r="R1279" t="s">
        <v>2520</v>
      </c>
      <c r="S1279">
        <v>3434044.7024591099</v>
      </c>
      <c r="T1279">
        <v>35</v>
      </c>
      <c r="U1279" t="s">
        <v>1169</v>
      </c>
      <c r="W1279" t="s">
        <v>2521</v>
      </c>
      <c r="X1279" t="str">
        <f t="shared" si="19"/>
        <v>BP371171@TRAC Corp</v>
      </c>
      <c r="Y1279">
        <f>_xlfn.IFNA(_xll.BDP(X1279,"INTERVAL_SUM", "MARKET_DATA_OVERRIDE=px_volume", "CALC_INTERVAL=5D"), "")</f>
        <v>1228</v>
      </c>
      <c r="Z1279" t="str" cm="1">
        <f t="array" ref="Z1279">_xll.BDP(B1279, "CF_ACT_CASH_PAID_FOR_INT_DEBT")</f>
        <v>#N/A N/A</v>
      </c>
      <c r="AA1279" t="str" cm="1">
        <f t="array" ref="AA1279">_xll.BDP(B1279, "TYPE_OF_BOND")</f>
        <v>#N/A Field Not Applicable</v>
      </c>
    </row>
    <row r="1280" spans="1:27" x14ac:dyDescent="0.25">
      <c r="A1280">
        <v>1278</v>
      </c>
      <c r="B1280" t="s">
        <v>2522</v>
      </c>
      <c r="C1280" s="4" t="s">
        <v>2519</v>
      </c>
      <c r="D1280" s="4">
        <v>100000000</v>
      </c>
      <c r="E1280" t="s">
        <v>11</v>
      </c>
      <c r="F1280" s="1">
        <v>47270</v>
      </c>
      <c r="G1280">
        <v>9.2604000000000006</v>
      </c>
      <c r="H1280" t="s">
        <v>13</v>
      </c>
      <c r="I1280" t="s">
        <v>2635</v>
      </c>
      <c r="J1280">
        <v>550</v>
      </c>
      <c r="L1280" t="s">
        <v>1168</v>
      </c>
      <c r="M1280" t="s">
        <v>10</v>
      </c>
      <c r="N1280" t="s">
        <v>36</v>
      </c>
      <c r="O1280" t="s">
        <v>3264</v>
      </c>
      <c r="P1280" t="s">
        <v>2659</v>
      </c>
      <c r="Q1280" t="s">
        <v>3265</v>
      </c>
      <c r="R1280" t="s">
        <v>2523</v>
      </c>
      <c r="S1280">
        <v>2000000</v>
      </c>
      <c r="T1280">
        <v>17</v>
      </c>
      <c r="V1280" t="s">
        <v>227</v>
      </c>
      <c r="W1280" t="s">
        <v>2521</v>
      </c>
      <c r="X1280" t="str">
        <f t="shared" si="19"/>
        <v>BL390886@TRAC Corp</v>
      </c>
      <c r="Y1280" t="str">
        <f>_xlfn.IFNA(_xll.BDP(X1280,"INTERVAL_SUM", "MARKET_DATA_OVERRIDE=px_volume", "CALC_INTERVAL=5D"), "")</f>
        <v>#N/A N/A</v>
      </c>
      <c r="Z1280" t="str" cm="1">
        <f t="array" ref="Z1280">_xll.BDP(B1280, "CF_ACT_CASH_PAID_FOR_INT_DEBT")</f>
        <v>#N/A N/A</v>
      </c>
      <c r="AA1280" t="str" cm="1">
        <f t="array" ref="AA1280">_xll.BDP(B1280, "TYPE_OF_BOND")</f>
        <v>#N/A Field Not Applicable</v>
      </c>
    </row>
    <row r="1281" spans="1:27" x14ac:dyDescent="0.25">
      <c r="A1281">
        <v>1279</v>
      </c>
      <c r="B1281" t="s">
        <v>2524</v>
      </c>
      <c r="C1281" s="4" t="s">
        <v>2519</v>
      </c>
      <c r="D1281" s="4">
        <v>736250000</v>
      </c>
      <c r="E1281" t="s">
        <v>11</v>
      </c>
      <c r="F1281" s="1">
        <v>46905</v>
      </c>
      <c r="G1281">
        <v>7.7253999999999996</v>
      </c>
      <c r="H1281" t="s">
        <v>13</v>
      </c>
      <c r="I1281" t="s">
        <v>2635</v>
      </c>
      <c r="J1281">
        <v>400</v>
      </c>
      <c r="L1281" t="s">
        <v>1168</v>
      </c>
      <c r="M1281" t="s">
        <v>10</v>
      </c>
      <c r="N1281" t="s">
        <v>36</v>
      </c>
      <c r="O1281" t="s">
        <v>3264</v>
      </c>
      <c r="P1281" t="s">
        <v>2659</v>
      </c>
      <c r="Q1281" t="s">
        <v>3265</v>
      </c>
      <c r="R1281" t="s">
        <v>2523</v>
      </c>
      <c r="S1281">
        <v>3000000</v>
      </c>
      <c r="T1281">
        <v>24</v>
      </c>
      <c r="V1281" t="s">
        <v>227</v>
      </c>
      <c r="W1281" t="s">
        <v>2521</v>
      </c>
      <c r="X1281" t="str">
        <f t="shared" si="19"/>
        <v>BL361808@TRAC Corp</v>
      </c>
      <c r="Y1281" t="str">
        <f>_xlfn.IFNA(_xll.BDP(X1281,"INTERVAL_SUM", "MARKET_DATA_OVERRIDE=px_volume", "CALC_INTERVAL=5D"), "")</f>
        <v>#N/A N/A</v>
      </c>
      <c r="Z1281" t="str" cm="1">
        <f t="array" ref="Z1281">_xll.BDP(B1281, "CF_ACT_CASH_PAID_FOR_INT_DEBT")</f>
        <v>#N/A N/A</v>
      </c>
      <c r="AA1281" t="str" cm="1">
        <f t="array" ref="AA1281">_xll.BDP(B1281, "TYPE_OF_BOND")</f>
        <v>#N/A Field Not Applicable</v>
      </c>
    </row>
    <row r="1282" spans="1:27" x14ac:dyDescent="0.25">
      <c r="A1282">
        <v>1280</v>
      </c>
      <c r="B1282" t="s">
        <v>2525</v>
      </c>
      <c r="C1282" s="4" t="s">
        <v>2526</v>
      </c>
      <c r="D1282" s="4">
        <v>520000000</v>
      </c>
      <c r="E1282" t="s">
        <v>12</v>
      </c>
      <c r="F1282" s="1">
        <v>47423</v>
      </c>
      <c r="G1282">
        <v>6</v>
      </c>
      <c r="H1282" t="s">
        <v>9</v>
      </c>
      <c r="L1282" t="s">
        <v>1168</v>
      </c>
      <c r="M1282" t="s">
        <v>10</v>
      </c>
      <c r="N1282" t="s">
        <v>15</v>
      </c>
      <c r="O1282" t="s">
        <v>3110</v>
      </c>
      <c r="P1282" t="s">
        <v>2634</v>
      </c>
      <c r="Q1282" t="s">
        <v>3114</v>
      </c>
      <c r="R1282" t="s">
        <v>2527</v>
      </c>
      <c r="S1282">
        <v>3165619.65187702</v>
      </c>
      <c r="T1282">
        <v>26</v>
      </c>
      <c r="U1282" t="s">
        <v>1169</v>
      </c>
      <c r="W1282" t="s">
        <v>2528</v>
      </c>
      <c r="X1282" t="str">
        <f t="shared" si="19"/>
        <v>BR801978@TRAC Corp</v>
      </c>
      <c r="Y1282">
        <f>_xlfn.IFNA(_xll.BDP(X1282,"INTERVAL_SUM", "MARKET_DATA_OVERRIDE=px_volume", "CALC_INTERVAL=5D"), "")</f>
        <v>3066</v>
      </c>
      <c r="Z1282" t="str" cm="1">
        <f t="array" ref="Z1282">_xll.BDP(B1282, "CF_ACT_CASH_PAID_FOR_INT_DEBT")</f>
        <v>#N/A N/A</v>
      </c>
      <c r="AA1282" t="str" cm="1">
        <f t="array" ref="AA1282">_xll.BDP(B1282, "TYPE_OF_BOND")</f>
        <v>#N/A Field Not Applicable</v>
      </c>
    </row>
    <row r="1283" spans="1:27" x14ac:dyDescent="0.25">
      <c r="A1283">
        <v>1281</v>
      </c>
      <c r="B1283" t="s">
        <v>2529</v>
      </c>
      <c r="C1283" s="4" t="s">
        <v>2526</v>
      </c>
      <c r="D1283" s="4">
        <v>76000000</v>
      </c>
      <c r="E1283" t="s">
        <v>11</v>
      </c>
      <c r="F1283" s="1">
        <v>46990</v>
      </c>
      <c r="H1283" t="s">
        <v>13</v>
      </c>
      <c r="I1283" t="s">
        <v>2631</v>
      </c>
      <c r="J1283">
        <v>165</v>
      </c>
      <c r="L1283" t="s">
        <v>1168</v>
      </c>
      <c r="M1283" t="s">
        <v>10</v>
      </c>
      <c r="N1283" t="s">
        <v>15</v>
      </c>
      <c r="O1283" t="s">
        <v>3110</v>
      </c>
      <c r="P1283" t="s">
        <v>2634</v>
      </c>
      <c r="Q1283" t="s">
        <v>3114</v>
      </c>
      <c r="R1283" t="s">
        <v>2530</v>
      </c>
      <c r="V1283" t="s">
        <v>1564</v>
      </c>
      <c r="W1283" t="s">
        <v>2528</v>
      </c>
      <c r="X1283" t="str">
        <f t="shared" ref="X1283:X1329" si="20">SUBSTITUTE(B1283," Corp","@TRAC Corp")</f>
        <v>BL522139@TRAC Corp</v>
      </c>
      <c r="Y1283" t="str">
        <f>_xlfn.IFNA(_xll.BDP(X1283,"INTERVAL_SUM", "MARKET_DATA_OVERRIDE=px_volume", "CALC_INTERVAL=5D"), "")</f>
        <v>#N/A N/A</v>
      </c>
      <c r="Z1283" t="str" cm="1">
        <f t="array" ref="Z1283">_xll.BDP(B1283, "CF_ACT_CASH_PAID_FOR_INT_DEBT")</f>
        <v>#N/A N/A</v>
      </c>
      <c r="AA1283" t="str" cm="1">
        <f t="array" ref="AA1283">_xll.BDP(B1283, "TYPE_OF_BOND")</f>
        <v>#N/A Field Not Applicable</v>
      </c>
    </row>
    <row r="1284" spans="1:27" x14ac:dyDescent="0.25">
      <c r="A1284">
        <v>1282</v>
      </c>
      <c r="B1284" t="s">
        <v>2531</v>
      </c>
      <c r="C1284" s="4" t="s">
        <v>2532</v>
      </c>
      <c r="D1284" s="4">
        <v>160425000</v>
      </c>
      <c r="E1284" t="s">
        <v>17</v>
      </c>
      <c r="F1284" s="1">
        <v>47058</v>
      </c>
      <c r="G1284">
        <v>6.5</v>
      </c>
      <c r="H1284" t="s">
        <v>9</v>
      </c>
      <c r="L1284" t="s">
        <v>1175</v>
      </c>
      <c r="M1284" t="s">
        <v>19</v>
      </c>
      <c r="N1284" t="s">
        <v>15</v>
      </c>
      <c r="O1284" t="s">
        <v>3110</v>
      </c>
      <c r="P1284" t="s">
        <v>2637</v>
      </c>
      <c r="Q1284" t="s">
        <v>3123</v>
      </c>
      <c r="R1284" t="s">
        <v>2533</v>
      </c>
      <c r="S1284">
        <v>13516966.5092678</v>
      </c>
      <c r="T1284">
        <v>8</v>
      </c>
      <c r="U1284" t="s">
        <v>1968</v>
      </c>
      <c r="W1284" t="s">
        <v>2534</v>
      </c>
      <c r="X1284" t="str">
        <f t="shared" si="20"/>
        <v>ZF583870@TRAC Corp</v>
      </c>
      <c r="Y1284" t="str">
        <f>_xlfn.IFNA(_xll.BDP(X1284,"INTERVAL_SUM", "MARKET_DATA_OVERRIDE=px_volume", "CALC_INTERVAL=5D"), "")</f>
        <v>#N/A N/A</v>
      </c>
      <c r="Z1284" cm="1">
        <f t="array" ref="Z1284">_xll.BDP(B1284, "CF_ACT_CASH_PAID_FOR_INT_DEBT")</f>
        <v>122.383</v>
      </c>
      <c r="AA1284" t="str" cm="1">
        <f t="array" ref="AA1284">_xll.BDP(B1284, "TYPE_OF_BOND")</f>
        <v>Convertible</v>
      </c>
    </row>
    <row r="1285" spans="1:27" x14ac:dyDescent="0.25">
      <c r="A1285">
        <v>1283</v>
      </c>
      <c r="B1285" t="s">
        <v>2535</v>
      </c>
      <c r="C1285" s="4" t="s">
        <v>2532</v>
      </c>
      <c r="D1285" s="4">
        <v>509255000</v>
      </c>
      <c r="E1285" t="s">
        <v>12</v>
      </c>
      <c r="F1285" s="1">
        <v>47223</v>
      </c>
      <c r="G1285">
        <v>8.625</v>
      </c>
      <c r="H1285" t="s">
        <v>9</v>
      </c>
      <c r="L1285" t="s">
        <v>1168</v>
      </c>
      <c r="M1285" t="s">
        <v>19</v>
      </c>
      <c r="N1285" t="s">
        <v>15</v>
      </c>
      <c r="O1285" t="s">
        <v>3110</v>
      </c>
      <c r="P1285" t="s">
        <v>2637</v>
      </c>
      <c r="Q1285" t="s">
        <v>3123</v>
      </c>
      <c r="R1285" t="s">
        <v>2536</v>
      </c>
      <c r="S1285">
        <v>1690438.5286344599</v>
      </c>
      <c r="T1285">
        <v>12</v>
      </c>
      <c r="U1285" t="s">
        <v>1169</v>
      </c>
      <c r="W1285" t="s">
        <v>2534</v>
      </c>
      <c r="X1285" t="str">
        <f t="shared" si="20"/>
        <v>ZB140302@TRAC Corp</v>
      </c>
      <c r="Y1285">
        <f>_xlfn.IFNA(_xll.BDP(X1285,"INTERVAL_SUM", "MARKET_DATA_OVERRIDE=px_volume", "CALC_INTERVAL=5D"), "")</f>
        <v>6425</v>
      </c>
      <c r="Z1285" cm="1">
        <f t="array" ref="Z1285">_xll.BDP(B1285, "CF_ACT_CASH_PAID_FOR_INT_DEBT")</f>
        <v>122.383</v>
      </c>
      <c r="AA1285" t="str" cm="1">
        <f t="array" ref="AA1285">_xll.BDP(B1285, "TYPE_OF_BOND")</f>
        <v>#N/A Field Not Applicable</v>
      </c>
    </row>
    <row r="1286" spans="1:27" x14ac:dyDescent="0.25">
      <c r="A1286">
        <v>1284</v>
      </c>
      <c r="B1286" t="s">
        <v>2537</v>
      </c>
      <c r="C1286" s="4" t="s">
        <v>2532</v>
      </c>
      <c r="D1286" s="4">
        <v>343000000</v>
      </c>
      <c r="E1286" t="s">
        <v>11</v>
      </c>
      <c r="F1286" s="1">
        <v>47952</v>
      </c>
      <c r="G1286">
        <v>8.0126000000000008</v>
      </c>
      <c r="H1286" t="s">
        <v>13</v>
      </c>
      <c r="I1286" t="s">
        <v>2635</v>
      </c>
      <c r="J1286">
        <v>425</v>
      </c>
      <c r="L1286" t="s">
        <v>1168</v>
      </c>
      <c r="M1286" t="s">
        <v>19</v>
      </c>
      <c r="N1286" t="s">
        <v>15</v>
      </c>
      <c r="O1286" t="s">
        <v>3110</v>
      </c>
      <c r="P1286" t="s">
        <v>2637</v>
      </c>
      <c r="Q1286" t="s">
        <v>3112</v>
      </c>
      <c r="R1286" t="s">
        <v>2538</v>
      </c>
      <c r="S1286">
        <v>3000000</v>
      </c>
      <c r="T1286">
        <v>3</v>
      </c>
      <c r="V1286" t="s">
        <v>227</v>
      </c>
      <c r="W1286" t="s">
        <v>2534</v>
      </c>
      <c r="X1286" t="str">
        <f t="shared" si="20"/>
        <v>BL461299@TRAC Corp</v>
      </c>
      <c r="Y1286" t="str">
        <f>_xlfn.IFNA(_xll.BDP(X1286,"INTERVAL_SUM", "MARKET_DATA_OVERRIDE=px_volume", "CALC_INTERVAL=5D"), "")</f>
        <v>#N/A N/A</v>
      </c>
      <c r="Z1286" cm="1">
        <f t="array" ref="Z1286">_xll.BDP(B1286, "CF_ACT_CASH_PAID_FOR_INT_DEBT")</f>
        <v>122.383</v>
      </c>
      <c r="AA1286" t="str" cm="1">
        <f t="array" ref="AA1286">_xll.BDP(B1286, "TYPE_OF_BOND")</f>
        <v>#N/A Field Not Applicable</v>
      </c>
    </row>
    <row r="1287" spans="1:27" x14ac:dyDescent="0.25">
      <c r="A1287">
        <v>1285</v>
      </c>
      <c r="B1287" t="s">
        <v>2539</v>
      </c>
      <c r="C1287" s="4" t="s">
        <v>2540</v>
      </c>
      <c r="D1287" s="4">
        <v>24201000</v>
      </c>
      <c r="E1287" t="s">
        <v>17</v>
      </c>
      <c r="F1287" s="1">
        <v>46530</v>
      </c>
      <c r="G1287">
        <v>7.75</v>
      </c>
      <c r="H1287" t="s">
        <v>9</v>
      </c>
      <c r="L1287" t="s">
        <v>1168</v>
      </c>
      <c r="M1287" t="s">
        <v>10</v>
      </c>
      <c r="N1287" t="s">
        <v>313</v>
      </c>
      <c r="O1287" t="s">
        <v>3212</v>
      </c>
      <c r="P1287" t="s">
        <v>2649</v>
      </c>
      <c r="Q1287" t="s">
        <v>3213</v>
      </c>
      <c r="R1287" t="s">
        <v>2541</v>
      </c>
      <c r="S1287">
        <v>1812152.4531735801</v>
      </c>
      <c r="T1287">
        <v>4</v>
      </c>
      <c r="U1287" t="s">
        <v>1170</v>
      </c>
      <c r="W1287" t="s">
        <v>2542</v>
      </c>
      <c r="X1287" t="str">
        <f t="shared" si="20"/>
        <v>ZS765478@TRAC Corp</v>
      </c>
      <c r="Y1287" t="str">
        <f>_xlfn.IFNA(_xll.BDP(X1287,"INTERVAL_SUM", "MARKET_DATA_OVERRIDE=px_volume", "CALC_INTERVAL=5D"), "")</f>
        <v>#N/A N/A</v>
      </c>
      <c r="Z1287" cm="1">
        <f t="array" ref="Z1287">_xll.BDP(B1287, "CF_ACT_CASH_PAID_FOR_INT_DEBT")</f>
        <v>74.388000000000005</v>
      </c>
      <c r="AA1287" t="str" cm="1">
        <f t="array" ref="AA1287">_xll.BDP(B1287, "TYPE_OF_BOND")</f>
        <v>#N/A Field Not Applicable</v>
      </c>
    </row>
    <row r="1288" spans="1:27" x14ac:dyDescent="0.25">
      <c r="A1288">
        <v>1286</v>
      </c>
      <c r="B1288" t="s">
        <v>2543</v>
      </c>
      <c r="C1288" s="4" t="s">
        <v>2540</v>
      </c>
      <c r="D1288" s="4">
        <v>87639000</v>
      </c>
      <c r="E1288" t="s">
        <v>11</v>
      </c>
      <c r="F1288" s="1">
        <v>47406</v>
      </c>
      <c r="G1288">
        <v>9.5</v>
      </c>
      <c r="H1288" t="s">
        <v>9</v>
      </c>
      <c r="L1288" t="s">
        <v>1168</v>
      </c>
      <c r="M1288" t="s">
        <v>10</v>
      </c>
      <c r="N1288" t="s">
        <v>313</v>
      </c>
      <c r="O1288" t="s">
        <v>3212</v>
      </c>
      <c r="P1288" t="s">
        <v>2649</v>
      </c>
      <c r="Q1288" t="s">
        <v>3213</v>
      </c>
      <c r="R1288" t="s">
        <v>2544</v>
      </c>
      <c r="S1288">
        <v>2549736.4148181099</v>
      </c>
      <c r="T1288">
        <v>11</v>
      </c>
      <c r="U1288" t="s">
        <v>1169</v>
      </c>
      <c r="W1288" t="s">
        <v>2542</v>
      </c>
      <c r="X1288" t="str">
        <f t="shared" si="20"/>
        <v>ZH327734@TRAC Corp</v>
      </c>
      <c r="Y1288" t="str">
        <f>_xlfn.IFNA(_xll.BDP(X1288,"INTERVAL_SUM", "MARKET_DATA_OVERRIDE=px_volume", "CALC_INTERVAL=5D"), "")</f>
        <v>#N/A N/A</v>
      </c>
      <c r="Z1288" cm="1">
        <f t="array" ref="Z1288">_xll.BDP(B1288, "CF_ACT_CASH_PAID_FOR_INT_DEBT")</f>
        <v>74.388000000000005</v>
      </c>
      <c r="AA1288" t="str" cm="1">
        <f t="array" ref="AA1288">_xll.BDP(B1288, "TYPE_OF_BOND")</f>
        <v>#N/A Field Not Applicable</v>
      </c>
    </row>
    <row r="1289" spans="1:27" x14ac:dyDescent="0.25">
      <c r="A1289">
        <v>1287</v>
      </c>
      <c r="B1289" t="s">
        <v>2545</v>
      </c>
      <c r="C1289" s="4" t="s">
        <v>2540</v>
      </c>
      <c r="D1289" s="4">
        <v>503570000</v>
      </c>
      <c r="E1289" t="s">
        <v>11</v>
      </c>
      <c r="F1289" s="1">
        <v>47953</v>
      </c>
      <c r="G1289">
        <v>9.75</v>
      </c>
      <c r="H1289" t="s">
        <v>9</v>
      </c>
      <c r="L1289" t="s">
        <v>1168</v>
      </c>
      <c r="M1289" t="s">
        <v>10</v>
      </c>
      <c r="N1289" t="s">
        <v>313</v>
      </c>
      <c r="O1289" t="s">
        <v>3212</v>
      </c>
      <c r="P1289" t="s">
        <v>2649</v>
      </c>
      <c r="Q1289" t="s">
        <v>3213</v>
      </c>
      <c r="R1289" t="s">
        <v>2546</v>
      </c>
      <c r="S1289">
        <v>4331721.5852613598</v>
      </c>
      <c r="T1289">
        <v>13</v>
      </c>
      <c r="U1289" t="s">
        <v>1169</v>
      </c>
      <c r="W1289" t="s">
        <v>2542</v>
      </c>
      <c r="X1289" t="str">
        <f t="shared" si="20"/>
        <v>DF678644@TRAC Corp</v>
      </c>
      <c r="Y1289">
        <f>_xlfn.IFNA(_xll.BDP(X1289,"INTERVAL_SUM", "MARKET_DATA_OVERRIDE=px_volume", "CALC_INTERVAL=5D"), "")</f>
        <v>5600</v>
      </c>
      <c r="Z1289" cm="1">
        <f t="array" ref="Z1289">_xll.BDP(B1289, "CF_ACT_CASH_PAID_FOR_INT_DEBT")</f>
        <v>74.388000000000005</v>
      </c>
      <c r="AA1289" t="str" cm="1">
        <f t="array" ref="AA1289">_xll.BDP(B1289, "TYPE_OF_BOND")</f>
        <v>#N/A Field Not Applicable</v>
      </c>
    </row>
    <row r="1290" spans="1:27" x14ac:dyDescent="0.25">
      <c r="A1290">
        <v>1288</v>
      </c>
      <c r="B1290" t="s">
        <v>2547</v>
      </c>
      <c r="C1290" s="4" t="s">
        <v>2540</v>
      </c>
      <c r="D1290" s="4">
        <v>15000000</v>
      </c>
      <c r="E1290" t="s">
        <v>11</v>
      </c>
      <c r="F1290" s="1">
        <v>46689</v>
      </c>
      <c r="G1290">
        <v>7.7450000000000001</v>
      </c>
      <c r="H1290" t="s">
        <v>13</v>
      </c>
      <c r="I1290" t="s">
        <v>2685</v>
      </c>
      <c r="J1290">
        <v>275</v>
      </c>
      <c r="L1290" t="s">
        <v>1175</v>
      </c>
      <c r="M1290" t="s">
        <v>19</v>
      </c>
      <c r="N1290" t="s">
        <v>313</v>
      </c>
      <c r="O1290" t="s">
        <v>3212</v>
      </c>
      <c r="P1290" t="s">
        <v>2649</v>
      </c>
      <c r="Q1290" t="s">
        <v>3213</v>
      </c>
      <c r="R1290" t="s">
        <v>2548</v>
      </c>
      <c r="V1290" t="s">
        <v>227</v>
      </c>
      <c r="W1290" t="s">
        <v>2542</v>
      </c>
      <c r="X1290" t="str">
        <f t="shared" si="20"/>
        <v>BL466483@TRAC Corp</v>
      </c>
      <c r="Y1290" t="str">
        <f>_xlfn.IFNA(_xll.BDP(X1290,"INTERVAL_SUM", "MARKET_DATA_OVERRIDE=px_volume", "CALC_INTERVAL=5D"), "")</f>
        <v>#N/A N/A</v>
      </c>
      <c r="Z1290" cm="1">
        <f t="array" ref="Z1290">_xll.BDP(B1290, "CF_ACT_CASH_PAID_FOR_INT_DEBT")</f>
        <v>74.388000000000005</v>
      </c>
      <c r="AA1290" t="str" cm="1">
        <f t="array" ref="AA1290">_xll.BDP(B1290, "TYPE_OF_BOND")</f>
        <v>#N/A Field Not Applicable</v>
      </c>
    </row>
    <row r="1291" spans="1:27" x14ac:dyDescent="0.25">
      <c r="A1291">
        <v>1289</v>
      </c>
      <c r="B1291" t="s">
        <v>2555</v>
      </c>
      <c r="C1291" s="4" t="s">
        <v>2556</v>
      </c>
      <c r="D1291" s="4">
        <v>160000000</v>
      </c>
      <c r="E1291" t="s">
        <v>17</v>
      </c>
      <c r="F1291" s="1">
        <v>47392</v>
      </c>
      <c r="G1291">
        <v>6.125</v>
      </c>
      <c r="H1291" t="s">
        <v>9</v>
      </c>
      <c r="L1291" t="s">
        <v>1168</v>
      </c>
      <c r="M1291" t="s">
        <v>2557</v>
      </c>
      <c r="N1291" t="s">
        <v>15</v>
      </c>
      <c r="O1291" t="s">
        <v>3110</v>
      </c>
      <c r="P1291" t="s">
        <v>2637</v>
      </c>
      <c r="Q1291" t="s">
        <v>3111</v>
      </c>
      <c r="R1291" t="s">
        <v>2558</v>
      </c>
      <c r="S1291">
        <v>1479534.4962237801</v>
      </c>
      <c r="T1291">
        <v>80</v>
      </c>
      <c r="W1291" t="s">
        <v>2559</v>
      </c>
      <c r="X1291" t="str">
        <f t="shared" si="20"/>
        <v>YU147266@TRAC Corp</v>
      </c>
      <c r="Y1291">
        <f>_xlfn.IFNA(_xll.BDP(X1291,"INTERVAL_SUM", "MARKET_DATA_OVERRIDE=px_volume", "CALC_INTERVAL=5D"), "")</f>
        <v>80</v>
      </c>
      <c r="Z1291" t="str" cm="1">
        <f t="array" ref="Z1291">_xll.BDP(B1291, "CF_ACT_CASH_PAID_FOR_INT_DEBT")</f>
        <v>#N/A N/A</v>
      </c>
      <c r="AA1291" t="str" cm="1">
        <f t="array" ref="AA1291">_xll.BDP(B1291, "TYPE_OF_BOND")</f>
        <v>Convertible</v>
      </c>
    </row>
    <row r="1292" spans="1:27" x14ac:dyDescent="0.25">
      <c r="A1292">
        <v>1290</v>
      </c>
      <c r="B1292" t="s">
        <v>2560</v>
      </c>
      <c r="C1292" s="4" t="s">
        <v>2556</v>
      </c>
      <c r="D1292" s="4">
        <v>500000000</v>
      </c>
      <c r="E1292" t="s">
        <v>17</v>
      </c>
      <c r="F1292" s="1">
        <v>47696</v>
      </c>
      <c r="G1292">
        <v>8.875</v>
      </c>
      <c r="H1292" t="s">
        <v>9</v>
      </c>
      <c r="L1292" t="s">
        <v>1168</v>
      </c>
      <c r="M1292" t="s">
        <v>10</v>
      </c>
      <c r="N1292" t="s">
        <v>15</v>
      </c>
      <c r="O1292" t="s">
        <v>3110</v>
      </c>
      <c r="P1292" t="s">
        <v>2637</v>
      </c>
      <c r="Q1292" t="s">
        <v>3111</v>
      </c>
      <c r="R1292" t="s">
        <v>2561</v>
      </c>
      <c r="S1292">
        <v>11877146.145766599</v>
      </c>
      <c r="T1292">
        <v>32</v>
      </c>
      <c r="W1292" t="s">
        <v>2559</v>
      </c>
      <c r="X1292" t="str">
        <f t="shared" si="20"/>
        <v>YM617746@TRAC Corp</v>
      </c>
      <c r="Y1292">
        <f>_xlfn.IFNA(_xll.BDP(X1292,"INTERVAL_SUM", "MARKET_DATA_OVERRIDE=px_volume", "CALC_INTERVAL=5D"), "")</f>
        <v>25364</v>
      </c>
      <c r="Z1292" t="str" cm="1">
        <f t="array" ref="Z1292">_xll.BDP(B1292, "CF_ACT_CASH_PAID_FOR_INT_DEBT")</f>
        <v>#N/A N/A</v>
      </c>
      <c r="AA1292" t="str" cm="1">
        <f t="array" ref="AA1292">_xll.BDP(B1292, "TYPE_OF_BOND")</f>
        <v>#N/A Field Not Applicable</v>
      </c>
    </row>
    <row r="1293" spans="1:27" x14ac:dyDescent="0.25">
      <c r="A1293">
        <v>1291</v>
      </c>
      <c r="B1293" t="s">
        <v>2562</v>
      </c>
      <c r="C1293" s="4" t="s">
        <v>2556</v>
      </c>
      <c r="D1293" s="4">
        <v>114700000</v>
      </c>
      <c r="E1293" t="s">
        <v>11</v>
      </c>
      <c r="F1293" s="1">
        <v>47028</v>
      </c>
      <c r="G1293">
        <v>7.1439000000000004</v>
      </c>
      <c r="H1293" t="s">
        <v>13</v>
      </c>
      <c r="I1293" t="s">
        <v>2631</v>
      </c>
      <c r="J1293">
        <v>350</v>
      </c>
      <c r="L1293" t="s">
        <v>1168</v>
      </c>
      <c r="M1293" t="s">
        <v>2557</v>
      </c>
      <c r="N1293" t="s">
        <v>15</v>
      </c>
      <c r="O1293" t="s">
        <v>3110</v>
      </c>
      <c r="P1293" t="s">
        <v>2637</v>
      </c>
      <c r="Q1293" t="s">
        <v>3111</v>
      </c>
      <c r="R1293" t="s">
        <v>2563</v>
      </c>
      <c r="V1293" t="s">
        <v>226</v>
      </c>
      <c r="W1293" t="s">
        <v>2559</v>
      </c>
      <c r="X1293" t="str">
        <f t="shared" si="20"/>
        <v>BL526152@TRAC Corp</v>
      </c>
      <c r="Y1293" t="str">
        <f>_xlfn.IFNA(_xll.BDP(X1293,"INTERVAL_SUM", "MARKET_DATA_OVERRIDE=px_volume", "CALC_INTERVAL=5D"), "")</f>
        <v>#N/A N/A</v>
      </c>
      <c r="Z1293" t="str" cm="1">
        <f t="array" ref="Z1293">_xll.BDP(B1293, "CF_ACT_CASH_PAID_FOR_INT_DEBT")</f>
        <v>#N/A N/A</v>
      </c>
      <c r="AA1293" t="str" cm="1">
        <f t="array" ref="AA1293">_xll.BDP(B1293, "TYPE_OF_BOND")</f>
        <v>#N/A Field Not Applicable</v>
      </c>
    </row>
    <row r="1294" spans="1:27" x14ac:dyDescent="0.25">
      <c r="A1294">
        <v>1292</v>
      </c>
      <c r="B1294" t="s">
        <v>2564</v>
      </c>
      <c r="C1294" s="4" t="s">
        <v>2565</v>
      </c>
      <c r="D1294" s="4">
        <v>500000000</v>
      </c>
      <c r="E1294" t="s">
        <v>12</v>
      </c>
      <c r="F1294" s="1">
        <v>47635</v>
      </c>
      <c r="G1294">
        <v>9</v>
      </c>
      <c r="H1294" t="s">
        <v>9</v>
      </c>
      <c r="L1294" t="s">
        <v>1168</v>
      </c>
      <c r="M1294" t="s">
        <v>10</v>
      </c>
      <c r="N1294" t="s">
        <v>537</v>
      </c>
      <c r="O1294" t="s">
        <v>3160</v>
      </c>
      <c r="P1294" t="s">
        <v>2639</v>
      </c>
      <c r="Q1294" t="s">
        <v>3125</v>
      </c>
      <c r="R1294" t="s">
        <v>2566</v>
      </c>
      <c r="S1294">
        <v>10486572.9723616</v>
      </c>
      <c r="T1294">
        <v>14</v>
      </c>
      <c r="U1294" t="s">
        <v>1169</v>
      </c>
      <c r="W1294" t="s">
        <v>2567</v>
      </c>
      <c r="X1294" t="str">
        <f t="shared" si="20"/>
        <v>ZK657022@TRAC Corp</v>
      </c>
      <c r="Y1294">
        <f>_xlfn.IFNA(_xll.BDP(X1294,"INTERVAL_SUM", "MARKET_DATA_OVERRIDE=px_volume", "CALC_INTERVAL=5D"), "")</f>
        <v>1844</v>
      </c>
      <c r="Z1294" t="str" cm="1">
        <f t="array" ref="Z1294">_xll.BDP(B1294, "CF_ACT_CASH_PAID_FOR_INT_DEBT")</f>
        <v>#N/A N/A</v>
      </c>
      <c r="AA1294" t="str" cm="1">
        <f t="array" ref="AA1294">_xll.BDP(B1294, "TYPE_OF_BOND")</f>
        <v>#N/A Field Not Applicable</v>
      </c>
    </row>
    <row r="1295" spans="1:27" x14ac:dyDescent="0.25">
      <c r="A1295">
        <v>1293</v>
      </c>
      <c r="B1295" t="s">
        <v>2568</v>
      </c>
      <c r="C1295" s="4" t="s">
        <v>2565</v>
      </c>
      <c r="D1295" s="4">
        <v>389000000</v>
      </c>
      <c r="E1295" t="s">
        <v>11</v>
      </c>
      <c r="F1295" s="1">
        <v>47637</v>
      </c>
      <c r="G1295">
        <v>8.4149999999999991</v>
      </c>
      <c r="H1295" t="s">
        <v>13</v>
      </c>
      <c r="I1295" t="s">
        <v>2635</v>
      </c>
      <c r="J1295">
        <v>475</v>
      </c>
      <c r="L1295" t="s">
        <v>1168</v>
      </c>
      <c r="M1295" t="s">
        <v>10</v>
      </c>
      <c r="N1295" t="s">
        <v>537</v>
      </c>
      <c r="O1295" t="s">
        <v>3160</v>
      </c>
      <c r="P1295" t="s">
        <v>2639</v>
      </c>
      <c r="Q1295" t="s">
        <v>3125</v>
      </c>
      <c r="R1295" t="s">
        <v>2569</v>
      </c>
      <c r="S1295">
        <v>3000000</v>
      </c>
      <c r="T1295">
        <v>7</v>
      </c>
      <c r="V1295" t="s">
        <v>227</v>
      </c>
      <c r="W1295" t="s">
        <v>2567</v>
      </c>
      <c r="X1295" t="str">
        <f t="shared" si="20"/>
        <v>BL466438@TRAC Corp</v>
      </c>
      <c r="Y1295" t="str">
        <f>_xlfn.IFNA(_xll.BDP(X1295,"INTERVAL_SUM", "MARKET_DATA_OVERRIDE=px_volume", "CALC_INTERVAL=5D"), "")</f>
        <v>#N/A N/A</v>
      </c>
      <c r="Z1295" cm="1">
        <f t="array" ref="Z1295">_xll.BDP(B1295, "CF_ACT_CASH_PAID_FOR_INT_DEBT")</f>
        <v>47.5</v>
      </c>
      <c r="AA1295" t="str" cm="1">
        <f t="array" ref="AA1295">_xll.BDP(B1295, "TYPE_OF_BOND")</f>
        <v>#N/A Field Not Applicable</v>
      </c>
    </row>
    <row r="1296" spans="1:27" x14ac:dyDescent="0.25">
      <c r="A1296">
        <v>1294</v>
      </c>
      <c r="B1296" t="s">
        <v>2570</v>
      </c>
      <c r="C1296" s="4" t="s">
        <v>2565</v>
      </c>
      <c r="D1296" s="4">
        <v>1092390</v>
      </c>
      <c r="E1296" t="s">
        <v>331</v>
      </c>
      <c r="F1296" s="1"/>
      <c r="G1296">
        <v>0</v>
      </c>
      <c r="H1296" t="s">
        <v>1818</v>
      </c>
      <c r="L1296" t="s">
        <v>1168</v>
      </c>
      <c r="M1296" t="s">
        <v>10</v>
      </c>
      <c r="N1296" t="s">
        <v>537</v>
      </c>
      <c r="O1296" t="s">
        <v>3160</v>
      </c>
      <c r="P1296" t="s">
        <v>2639</v>
      </c>
      <c r="Q1296" t="s">
        <v>3125</v>
      </c>
      <c r="R1296" t="s">
        <v>2571</v>
      </c>
      <c r="S1296">
        <v>10533.0484375</v>
      </c>
      <c r="T1296">
        <v>2</v>
      </c>
      <c r="U1296" t="s">
        <v>1179</v>
      </c>
      <c r="W1296" t="s">
        <v>2567</v>
      </c>
      <c r="X1296" t="str">
        <f t="shared" si="20"/>
        <v>EP040797 Pfd</v>
      </c>
      <c r="Y1296" t="str">
        <f>_xlfn.IFNA(_xll.BDP(X1296,"INTERVAL_SUM", "MARKET_DATA_OVERRIDE=px_volume", "CALC_INTERVAL=5D"), "")</f>
        <v>#N/A N/A</v>
      </c>
      <c r="Z1296" cm="1">
        <f t="array" ref="Z1296">_xll.BDP(B1296, "CF_ACT_CASH_PAID_FOR_INT_DEBT")</f>
        <v>47.5</v>
      </c>
      <c r="AA1296" t="str" cm="1">
        <f t="array" ref="AA1296">_xll.BDP(B1296, "TYPE_OF_BOND")</f>
        <v>#N/A Field Not Applicable</v>
      </c>
    </row>
    <row r="1297" spans="1:27" x14ac:dyDescent="0.25">
      <c r="A1297">
        <v>1295</v>
      </c>
      <c r="B1297" t="s">
        <v>3675</v>
      </c>
      <c r="C1297" s="4" t="s">
        <v>3676</v>
      </c>
      <c r="D1297" s="4">
        <v>100000000</v>
      </c>
      <c r="E1297" t="s">
        <v>17</v>
      </c>
      <c r="F1297" s="1">
        <v>46675</v>
      </c>
      <c r="G1297">
        <v>9</v>
      </c>
      <c r="H1297" t="s">
        <v>9</v>
      </c>
      <c r="L1297" t="s">
        <v>1168</v>
      </c>
      <c r="M1297" t="s">
        <v>10</v>
      </c>
      <c r="N1297" t="s">
        <v>537</v>
      </c>
      <c r="O1297" t="s">
        <v>3160</v>
      </c>
      <c r="P1297" t="s">
        <v>2661</v>
      </c>
      <c r="Q1297" t="s">
        <v>3677</v>
      </c>
      <c r="R1297" t="s">
        <v>3678</v>
      </c>
      <c r="S1297">
        <v>8812921.6715331301</v>
      </c>
      <c r="T1297">
        <v>35</v>
      </c>
      <c r="U1297" t="s">
        <v>3679</v>
      </c>
      <c r="W1297" t="s">
        <v>3680</v>
      </c>
      <c r="X1297" t="str">
        <f t="shared" si="20"/>
        <v>YU427365@TRAC Corp</v>
      </c>
      <c r="Y1297" t="str">
        <f>_xlfn.IFNA(_xll.BDP(X1297,"INTERVAL_SUM", "MARKET_DATA_OVERRIDE=px_volume", "CALC_INTERVAL=5D"), "")</f>
        <v>#N/A N/A</v>
      </c>
      <c r="Z1297" cm="1">
        <f t="array" ref="Z1297">_xll.BDP(B1297, "CF_ACT_CASH_PAID_FOR_INT_DEBT")</f>
        <v>665.72299999999996</v>
      </c>
      <c r="AA1297" t="str" cm="1">
        <f t="array" ref="AA1297">_xll.BDP(B1297, "TYPE_OF_BOND")</f>
        <v>#N/A Field Not Applicable</v>
      </c>
    </row>
    <row r="1298" spans="1:27" x14ac:dyDescent="0.25">
      <c r="A1298">
        <v>1296</v>
      </c>
      <c r="B1298" t="s">
        <v>3681</v>
      </c>
      <c r="C1298" s="4" t="s">
        <v>3676</v>
      </c>
      <c r="D1298" s="4">
        <v>500000000</v>
      </c>
      <c r="E1298" t="s">
        <v>17</v>
      </c>
      <c r="F1298" s="1">
        <v>47679</v>
      </c>
      <c r="G1298">
        <v>7.875</v>
      </c>
      <c r="H1298" t="s">
        <v>9</v>
      </c>
      <c r="L1298" t="s">
        <v>1168</v>
      </c>
      <c r="M1298" t="s">
        <v>10</v>
      </c>
      <c r="N1298" t="s">
        <v>537</v>
      </c>
      <c r="O1298" t="s">
        <v>3160</v>
      </c>
      <c r="P1298" t="s">
        <v>2661</v>
      </c>
      <c r="Q1298" t="s">
        <v>3677</v>
      </c>
      <c r="R1298" t="s">
        <v>3682</v>
      </c>
      <c r="S1298">
        <v>12173399.185776301</v>
      </c>
      <c r="T1298">
        <v>39</v>
      </c>
      <c r="U1298" t="s">
        <v>1169</v>
      </c>
      <c r="W1298" t="s">
        <v>3680</v>
      </c>
      <c r="X1298" t="str">
        <f t="shared" si="20"/>
        <v>YN885650@TRAC Corp</v>
      </c>
      <c r="Y1298">
        <f>_xlfn.IFNA(_xll.BDP(X1298,"INTERVAL_SUM", "MARKET_DATA_OVERRIDE=px_volume", "CALC_INTERVAL=5D"), "")</f>
        <v>25208</v>
      </c>
      <c r="Z1298" cm="1">
        <f t="array" ref="Z1298">_xll.BDP(B1298, "CF_ACT_CASH_PAID_FOR_INT_DEBT")</f>
        <v>665.72299999999996</v>
      </c>
      <c r="AA1298" t="str" cm="1">
        <f t="array" ref="AA1298">_xll.BDP(B1298, "TYPE_OF_BOND")</f>
        <v>#N/A Field Not Applicable</v>
      </c>
    </row>
    <row r="1299" spans="1:27" x14ac:dyDescent="0.25">
      <c r="A1299">
        <v>1297</v>
      </c>
      <c r="B1299" t="s">
        <v>3683</v>
      </c>
      <c r="C1299" s="4" t="s">
        <v>3676</v>
      </c>
      <c r="D1299" s="4">
        <v>325000000</v>
      </c>
      <c r="E1299" t="s">
        <v>17</v>
      </c>
      <c r="F1299" s="1">
        <v>47300</v>
      </c>
      <c r="G1299">
        <v>6.25</v>
      </c>
      <c r="H1299" t="s">
        <v>9</v>
      </c>
      <c r="L1299" t="s">
        <v>1168</v>
      </c>
      <c r="M1299" t="s">
        <v>10</v>
      </c>
      <c r="N1299" t="s">
        <v>537</v>
      </c>
      <c r="O1299" t="s">
        <v>3160</v>
      </c>
      <c r="P1299" t="s">
        <v>2661</v>
      </c>
      <c r="Q1299" t="s">
        <v>3677</v>
      </c>
      <c r="R1299" t="s">
        <v>3684</v>
      </c>
      <c r="S1299">
        <v>1199406.6768587001</v>
      </c>
      <c r="T1299">
        <v>14</v>
      </c>
      <c r="W1299" t="s">
        <v>3680</v>
      </c>
      <c r="X1299" t="str">
        <f t="shared" si="20"/>
        <v>DM675106@TRAC Corp</v>
      </c>
      <c r="Y1299">
        <f>_xlfn.IFNA(_xll.BDP(X1299,"INTERVAL_SUM", "MARKET_DATA_OVERRIDE=px_volume", "CALC_INTERVAL=5D"), "")</f>
        <v>8500</v>
      </c>
      <c r="Z1299" cm="1">
        <f t="array" ref="Z1299">_xll.BDP(B1299, "CF_ACT_CASH_PAID_FOR_INT_DEBT")</f>
        <v>665.72299999999996</v>
      </c>
      <c r="AA1299" t="str" cm="1">
        <f t="array" ref="AA1299">_xll.BDP(B1299, "TYPE_OF_BOND")</f>
        <v>Convertible</v>
      </c>
    </row>
    <row r="1300" spans="1:27" x14ac:dyDescent="0.25">
      <c r="A1300">
        <v>1298</v>
      </c>
      <c r="B1300" t="s">
        <v>3685</v>
      </c>
      <c r="C1300" s="4" t="s">
        <v>3676</v>
      </c>
      <c r="D1300" s="4">
        <v>400000000</v>
      </c>
      <c r="E1300" t="s">
        <v>17</v>
      </c>
      <c r="F1300" s="1">
        <v>47102</v>
      </c>
      <c r="G1300">
        <v>8.5</v>
      </c>
      <c r="H1300" t="s">
        <v>9</v>
      </c>
      <c r="L1300" t="s">
        <v>1168</v>
      </c>
      <c r="M1300" t="s">
        <v>10</v>
      </c>
      <c r="N1300" t="s">
        <v>537</v>
      </c>
      <c r="O1300" t="s">
        <v>3160</v>
      </c>
      <c r="P1300" t="s">
        <v>2661</v>
      </c>
      <c r="Q1300" t="s">
        <v>3677</v>
      </c>
      <c r="R1300" t="s">
        <v>3686</v>
      </c>
      <c r="S1300">
        <v>11736626.069654601</v>
      </c>
      <c r="T1300">
        <v>31</v>
      </c>
      <c r="U1300" t="s">
        <v>1817</v>
      </c>
      <c r="W1300" t="s">
        <v>3680</v>
      </c>
      <c r="X1300" t="str">
        <f t="shared" si="20"/>
        <v>DC312881@TRAC Corp</v>
      </c>
      <c r="Y1300" t="str">
        <f>_xlfn.IFNA(_xll.BDP(X1300,"INTERVAL_SUM", "MARKET_DATA_OVERRIDE=px_volume", "CALC_INTERVAL=5D"), "")</f>
        <v>#N/A N/A</v>
      </c>
      <c r="Z1300" cm="1">
        <f t="array" ref="Z1300">_xll.BDP(B1300, "CF_ACT_CASH_PAID_FOR_INT_DEBT")</f>
        <v>665.72299999999996</v>
      </c>
      <c r="AA1300" t="str" cm="1">
        <f t="array" ref="AA1300">_xll.BDP(B1300, "TYPE_OF_BOND")</f>
        <v>#N/A Field Not Applicable</v>
      </c>
    </row>
    <row r="1301" spans="1:27" x14ac:dyDescent="0.25">
      <c r="A1301">
        <v>1299</v>
      </c>
      <c r="B1301" t="s">
        <v>3687</v>
      </c>
      <c r="C1301" s="4" t="s">
        <v>3676</v>
      </c>
      <c r="D1301" s="4">
        <v>400000000</v>
      </c>
      <c r="E1301" t="s">
        <v>17</v>
      </c>
      <c r="F1301" s="1">
        <v>47102</v>
      </c>
      <c r="G1301">
        <v>8.5</v>
      </c>
      <c r="H1301" t="s">
        <v>9</v>
      </c>
      <c r="L1301" t="s">
        <v>1168</v>
      </c>
      <c r="M1301" t="s">
        <v>10</v>
      </c>
      <c r="N1301" t="s">
        <v>537</v>
      </c>
      <c r="O1301" t="s">
        <v>3160</v>
      </c>
      <c r="P1301" t="s">
        <v>2661</v>
      </c>
      <c r="Q1301" t="s">
        <v>3677</v>
      </c>
      <c r="R1301" t="s">
        <v>3686</v>
      </c>
      <c r="S1301">
        <v>6910634.7645787699</v>
      </c>
      <c r="T1301">
        <v>33</v>
      </c>
      <c r="U1301" t="s">
        <v>1169</v>
      </c>
      <c r="W1301" t="s">
        <v>3680</v>
      </c>
      <c r="X1301" t="str">
        <f t="shared" si="20"/>
        <v>DC299029@TRAC Corp</v>
      </c>
      <c r="Y1301">
        <f>_xlfn.IFNA(_xll.BDP(X1301,"INTERVAL_SUM", "MARKET_DATA_OVERRIDE=px_volume", "CALC_INTERVAL=5D"), "")</f>
        <v>12851</v>
      </c>
      <c r="Z1301" cm="1">
        <f t="array" ref="Z1301">_xll.BDP(B1301, "CF_ACT_CASH_PAID_FOR_INT_DEBT")</f>
        <v>665.72299999999996</v>
      </c>
      <c r="AA1301" t="str" cm="1">
        <f t="array" ref="AA1301">_xll.BDP(B1301, "TYPE_OF_BOND")</f>
        <v>#N/A Field Not Applicable</v>
      </c>
    </row>
    <row r="1302" spans="1:27" x14ac:dyDescent="0.25">
      <c r="A1302">
        <v>1300</v>
      </c>
      <c r="B1302" t="s">
        <v>3688</v>
      </c>
      <c r="C1302" s="4" t="s">
        <v>3676</v>
      </c>
      <c r="D1302" s="4">
        <v>150000000</v>
      </c>
      <c r="E1302" t="s">
        <v>17</v>
      </c>
      <c r="F1302" s="1">
        <v>46675</v>
      </c>
      <c r="G1302">
        <v>8.5</v>
      </c>
      <c r="H1302" t="s">
        <v>9</v>
      </c>
      <c r="L1302" t="s">
        <v>1168</v>
      </c>
      <c r="M1302" t="s">
        <v>10</v>
      </c>
      <c r="N1302" t="s">
        <v>537</v>
      </c>
      <c r="O1302" t="s">
        <v>3160</v>
      </c>
      <c r="P1302" t="s">
        <v>2661</v>
      </c>
      <c r="Q1302" t="s">
        <v>3677</v>
      </c>
      <c r="R1302" t="s">
        <v>3689</v>
      </c>
      <c r="S1302">
        <v>8231055.5377856297</v>
      </c>
      <c r="T1302">
        <v>21</v>
      </c>
      <c r="U1302" t="s">
        <v>1817</v>
      </c>
      <c r="W1302" t="s">
        <v>3680</v>
      </c>
      <c r="X1302" t="str">
        <f t="shared" si="20"/>
        <v>BZ589384@TRAC Corp</v>
      </c>
      <c r="Y1302" t="str">
        <f>_xlfn.IFNA(_xll.BDP(X1302,"INTERVAL_SUM", "MARKET_DATA_OVERRIDE=px_volume", "CALC_INTERVAL=5D"), "")</f>
        <v>#N/A N/A</v>
      </c>
      <c r="Z1302" cm="1">
        <f t="array" ref="Z1302">_xll.BDP(B1302, "CF_ACT_CASH_PAID_FOR_INT_DEBT")</f>
        <v>665.72299999999996</v>
      </c>
      <c r="AA1302" t="str" cm="1">
        <f t="array" ref="AA1302">_xll.BDP(B1302, "TYPE_OF_BOND")</f>
        <v>#N/A Field Not Applicable</v>
      </c>
    </row>
    <row r="1303" spans="1:27" x14ac:dyDescent="0.25">
      <c r="A1303">
        <v>1301</v>
      </c>
      <c r="B1303" t="s">
        <v>3690</v>
      </c>
      <c r="C1303" s="4" t="s">
        <v>3676</v>
      </c>
      <c r="D1303" s="4">
        <v>150000000</v>
      </c>
      <c r="E1303" t="s">
        <v>17</v>
      </c>
      <c r="F1303" s="1">
        <v>46675</v>
      </c>
      <c r="G1303">
        <v>8.5</v>
      </c>
      <c r="H1303" t="s">
        <v>9</v>
      </c>
      <c r="L1303" t="s">
        <v>1168</v>
      </c>
      <c r="M1303" t="s">
        <v>10</v>
      </c>
      <c r="N1303" t="s">
        <v>537</v>
      </c>
      <c r="O1303" t="s">
        <v>3160</v>
      </c>
      <c r="P1303" t="s">
        <v>2661</v>
      </c>
      <c r="Q1303" t="s">
        <v>3677</v>
      </c>
      <c r="R1303" t="s">
        <v>3689</v>
      </c>
      <c r="S1303">
        <v>6155324.0567597002</v>
      </c>
      <c r="T1303">
        <v>17</v>
      </c>
      <c r="U1303" t="s">
        <v>3679</v>
      </c>
      <c r="W1303" t="s">
        <v>3680</v>
      </c>
      <c r="X1303" t="str">
        <f t="shared" si="20"/>
        <v>BZ589383@TRAC Corp</v>
      </c>
      <c r="Y1303" t="str">
        <f>_xlfn.IFNA(_xll.BDP(X1303,"INTERVAL_SUM", "MARKET_DATA_OVERRIDE=px_volume", "CALC_INTERVAL=5D"), "")</f>
        <v>#N/A N/A</v>
      </c>
      <c r="Z1303" cm="1">
        <f t="array" ref="Z1303">_xll.BDP(B1303, "CF_ACT_CASH_PAID_FOR_INT_DEBT")</f>
        <v>665.72299999999996</v>
      </c>
      <c r="AA1303" t="str" cm="1">
        <f t="array" ref="AA1303">_xll.BDP(B1303, "TYPE_OF_BOND")</f>
        <v>#N/A Field Not Applicable</v>
      </c>
    </row>
    <row r="1304" spans="1:27" x14ac:dyDescent="0.25">
      <c r="A1304">
        <v>1302</v>
      </c>
      <c r="B1304" t="s">
        <v>3691</v>
      </c>
      <c r="C1304" s="4" t="s">
        <v>3676</v>
      </c>
      <c r="D1304" s="4">
        <v>180000000</v>
      </c>
      <c r="E1304" t="s">
        <v>17</v>
      </c>
      <c r="F1304" s="1">
        <v>47117</v>
      </c>
      <c r="G1304">
        <v>5</v>
      </c>
      <c r="H1304" t="s">
        <v>9</v>
      </c>
      <c r="L1304" t="s">
        <v>1168</v>
      </c>
      <c r="M1304" t="s">
        <v>10</v>
      </c>
      <c r="N1304" t="s">
        <v>537</v>
      </c>
      <c r="O1304" t="s">
        <v>3160</v>
      </c>
      <c r="P1304" t="s">
        <v>2661</v>
      </c>
      <c r="Q1304" t="s">
        <v>3677</v>
      </c>
      <c r="R1304" t="s">
        <v>3692</v>
      </c>
      <c r="S1304">
        <v>23085350.895187799</v>
      </c>
      <c r="T1304">
        <v>52</v>
      </c>
      <c r="U1304" t="s">
        <v>3679</v>
      </c>
      <c r="W1304" t="s">
        <v>3680</v>
      </c>
      <c r="X1304" t="str">
        <f t="shared" si="20"/>
        <v>BT123369@TRAC Corp</v>
      </c>
      <c r="Y1304" t="str">
        <f>_xlfn.IFNA(_xll.BDP(X1304,"INTERVAL_SUM", "MARKET_DATA_OVERRIDE=px_volume", "CALC_INTERVAL=5D"), "")</f>
        <v>#N/A N/A</v>
      </c>
      <c r="Z1304" cm="1">
        <f t="array" ref="Z1304">_xll.BDP(B1304, "CF_ACT_CASH_PAID_FOR_INT_DEBT")</f>
        <v>665.72299999999996</v>
      </c>
      <c r="AA1304" t="str" cm="1">
        <f t="array" ref="AA1304">_xll.BDP(B1304, "TYPE_OF_BOND")</f>
        <v>#N/A Field Not Applicable</v>
      </c>
    </row>
    <row r="1305" spans="1:27" x14ac:dyDescent="0.25">
      <c r="A1305">
        <v>1303</v>
      </c>
      <c r="B1305" t="s">
        <v>3693</v>
      </c>
      <c r="C1305" s="4" t="s">
        <v>3676</v>
      </c>
      <c r="D1305" s="4">
        <v>270000000</v>
      </c>
      <c r="E1305" t="s">
        <v>17</v>
      </c>
      <c r="F1305" s="1">
        <v>46266</v>
      </c>
      <c r="G1305">
        <v>4.5</v>
      </c>
      <c r="H1305" t="s">
        <v>9</v>
      </c>
      <c r="L1305" t="s">
        <v>1168</v>
      </c>
      <c r="M1305" t="s">
        <v>10</v>
      </c>
      <c r="N1305" t="s">
        <v>537</v>
      </c>
      <c r="O1305" t="s">
        <v>3160</v>
      </c>
      <c r="P1305" t="s">
        <v>2661</v>
      </c>
      <c r="Q1305" t="s">
        <v>3677</v>
      </c>
      <c r="R1305" t="s">
        <v>3694</v>
      </c>
      <c r="S1305">
        <v>8171471.3975985097</v>
      </c>
      <c r="T1305">
        <v>31</v>
      </c>
      <c r="U1305" t="s">
        <v>3679</v>
      </c>
      <c r="W1305" t="s">
        <v>3680</v>
      </c>
      <c r="X1305" t="str">
        <f t="shared" si="20"/>
        <v>BR259602@TRAC Corp</v>
      </c>
      <c r="Y1305" t="str">
        <f>_xlfn.IFNA(_xll.BDP(X1305,"INTERVAL_SUM", "MARKET_DATA_OVERRIDE=px_volume", "CALC_INTERVAL=5D"), "")</f>
        <v>#N/A N/A</v>
      </c>
      <c r="Z1305" cm="1">
        <f t="array" ref="Z1305">_xll.BDP(B1305, "CF_ACT_CASH_PAID_FOR_INT_DEBT")</f>
        <v>665.72299999999996</v>
      </c>
      <c r="AA1305" t="str" cm="1">
        <f t="array" ref="AA1305">_xll.BDP(B1305, "TYPE_OF_BOND")</f>
        <v>#N/A Field Not Applicable</v>
      </c>
    </row>
    <row r="1306" spans="1:27" x14ac:dyDescent="0.25">
      <c r="A1306">
        <v>1304</v>
      </c>
      <c r="B1306" t="s">
        <v>3695</v>
      </c>
      <c r="C1306" s="4" t="s">
        <v>3676</v>
      </c>
      <c r="D1306" s="4">
        <v>275000000</v>
      </c>
      <c r="E1306" t="s">
        <v>17</v>
      </c>
      <c r="F1306" s="1">
        <v>46461</v>
      </c>
      <c r="G1306">
        <v>4.5</v>
      </c>
      <c r="H1306" t="s">
        <v>9</v>
      </c>
      <c r="L1306" t="s">
        <v>1168</v>
      </c>
      <c r="M1306" t="s">
        <v>10</v>
      </c>
      <c r="N1306" t="s">
        <v>537</v>
      </c>
      <c r="O1306" t="s">
        <v>3160</v>
      </c>
      <c r="P1306" t="s">
        <v>2661</v>
      </c>
      <c r="Q1306" t="s">
        <v>3677</v>
      </c>
      <c r="R1306" t="s">
        <v>3696</v>
      </c>
      <c r="S1306">
        <v>6241357.0226391898</v>
      </c>
      <c r="T1306">
        <v>39</v>
      </c>
      <c r="U1306" t="s">
        <v>3679</v>
      </c>
      <c r="W1306" t="s">
        <v>3680</v>
      </c>
      <c r="X1306" t="str">
        <f t="shared" si="20"/>
        <v>BG194045@TRAC Corp</v>
      </c>
      <c r="Y1306">
        <f>_xlfn.IFNA(_xll.BDP(X1306,"INTERVAL_SUM", "MARKET_DATA_OVERRIDE=px_volume", "CALC_INTERVAL=5D"), "")</f>
        <v>4</v>
      </c>
      <c r="Z1306" cm="1">
        <f t="array" ref="Z1306">_xll.BDP(B1306, "CF_ACT_CASH_PAID_FOR_INT_DEBT")</f>
        <v>665.72299999999996</v>
      </c>
      <c r="AA1306" t="str" cm="1">
        <f t="array" ref="AA1306">_xll.BDP(B1306, "TYPE_OF_BOND")</f>
        <v>#N/A Field Not Applicable</v>
      </c>
    </row>
    <row r="1307" spans="1:27" x14ac:dyDescent="0.25">
      <c r="A1307">
        <v>1305</v>
      </c>
      <c r="B1307" t="s">
        <v>3697</v>
      </c>
      <c r="C1307" s="4" t="s">
        <v>3676</v>
      </c>
      <c r="D1307" s="4">
        <v>278750000</v>
      </c>
      <c r="E1307" t="s">
        <v>331</v>
      </c>
      <c r="F1307" s="1"/>
      <c r="G1307">
        <v>6.25</v>
      </c>
      <c r="H1307" t="s">
        <v>1162</v>
      </c>
      <c r="I1307" t="s">
        <v>2635</v>
      </c>
      <c r="L1307" t="s">
        <v>1168</v>
      </c>
      <c r="M1307" t="s">
        <v>10</v>
      </c>
      <c r="N1307" t="s">
        <v>537</v>
      </c>
      <c r="O1307" t="s">
        <v>3160</v>
      </c>
      <c r="P1307" t="s">
        <v>2661</v>
      </c>
      <c r="Q1307" t="s">
        <v>3677</v>
      </c>
      <c r="R1307" t="s">
        <v>3698</v>
      </c>
      <c r="S1307">
        <v>33862.797500000001</v>
      </c>
      <c r="T1307">
        <v>90</v>
      </c>
      <c r="U1307" t="s">
        <v>1178</v>
      </c>
      <c r="W1307" t="s">
        <v>3680</v>
      </c>
      <c r="X1307" t="str">
        <f t="shared" si="20"/>
        <v>EP059993 Pfd</v>
      </c>
      <c r="Y1307">
        <f>_xlfn.IFNA(_xll.BDP(X1307,"INTERVAL_SUM", "MARKET_DATA_OVERRIDE=px_volume", "CALC_INTERVAL=5D"), "")</f>
        <v>62285</v>
      </c>
      <c r="Z1307" cm="1">
        <f t="array" ref="Z1307">_xll.BDP(B1307, "CF_ACT_CASH_PAID_FOR_INT_DEBT")</f>
        <v>665.72299999999996</v>
      </c>
      <c r="AA1307" t="str" cm="1">
        <f t="array" ref="AA1307">_xll.BDP(B1307, "TYPE_OF_BOND")</f>
        <v>#N/A Field Not Applicable</v>
      </c>
    </row>
    <row r="1308" spans="1:27" x14ac:dyDescent="0.25">
      <c r="A1308">
        <v>1306</v>
      </c>
      <c r="B1308" t="s">
        <v>3699</v>
      </c>
      <c r="C1308" s="4" t="s">
        <v>3676</v>
      </c>
      <c r="D1308" s="4">
        <v>143750000</v>
      </c>
      <c r="E1308" t="s">
        <v>331</v>
      </c>
      <c r="F1308" s="1"/>
      <c r="G1308">
        <v>6.25</v>
      </c>
      <c r="H1308" t="s">
        <v>9</v>
      </c>
      <c r="L1308" t="s">
        <v>1168</v>
      </c>
      <c r="M1308" t="s">
        <v>10</v>
      </c>
      <c r="N1308" t="s">
        <v>537</v>
      </c>
      <c r="O1308" t="s">
        <v>3160</v>
      </c>
      <c r="P1308" t="s">
        <v>2661</v>
      </c>
      <c r="Q1308" t="s">
        <v>3677</v>
      </c>
      <c r="R1308" t="s">
        <v>3698</v>
      </c>
      <c r="S1308">
        <v>13235.2075</v>
      </c>
      <c r="T1308">
        <v>100</v>
      </c>
      <c r="U1308" t="s">
        <v>3700</v>
      </c>
      <c r="W1308" t="s">
        <v>3680</v>
      </c>
      <c r="X1308" t="str">
        <f t="shared" si="20"/>
        <v>EP059943 Pfd</v>
      </c>
      <c r="Y1308">
        <f>_xlfn.IFNA(_xll.BDP(X1308,"INTERVAL_SUM", "MARKET_DATA_OVERRIDE=px_volume", "CALC_INTERVAL=5D"), "")</f>
        <v>49636</v>
      </c>
      <c r="Z1308" cm="1">
        <f t="array" ref="Z1308">_xll.BDP(B1308, "CF_ACT_CASH_PAID_FOR_INT_DEBT")</f>
        <v>665.72299999999996</v>
      </c>
      <c r="AA1308" t="str" cm="1">
        <f t="array" ref="AA1308">_xll.BDP(B1308, "TYPE_OF_BOND")</f>
        <v>#N/A Field Not Applicable</v>
      </c>
    </row>
    <row r="1309" spans="1:27" x14ac:dyDescent="0.25">
      <c r="A1309">
        <v>1307</v>
      </c>
      <c r="B1309" t="s">
        <v>3701</v>
      </c>
      <c r="C1309" s="4" t="s">
        <v>3676</v>
      </c>
      <c r="D1309" s="4">
        <v>230000000</v>
      </c>
      <c r="E1309" t="s">
        <v>331</v>
      </c>
      <c r="F1309" s="1"/>
      <c r="G1309">
        <v>6.375</v>
      </c>
      <c r="H1309" t="s">
        <v>9</v>
      </c>
      <c r="L1309" t="s">
        <v>1168</v>
      </c>
      <c r="M1309" t="s">
        <v>10</v>
      </c>
      <c r="N1309" t="s">
        <v>537</v>
      </c>
      <c r="O1309" t="s">
        <v>3160</v>
      </c>
      <c r="P1309" t="s">
        <v>2661</v>
      </c>
      <c r="Q1309" t="s">
        <v>3677</v>
      </c>
      <c r="R1309" t="s">
        <v>3702</v>
      </c>
      <c r="S1309">
        <v>40256.385000000002</v>
      </c>
      <c r="T1309">
        <v>84</v>
      </c>
      <c r="U1309" t="s">
        <v>1179</v>
      </c>
      <c r="W1309" t="s">
        <v>3680</v>
      </c>
      <c r="X1309" t="str">
        <f t="shared" si="20"/>
        <v>EP059862 Pfd</v>
      </c>
      <c r="Y1309">
        <f>_xlfn.IFNA(_xll.BDP(X1309,"INTERVAL_SUM", "MARKET_DATA_OVERRIDE=px_volume", "CALC_INTERVAL=5D"), "")</f>
        <v>114056</v>
      </c>
      <c r="Z1309" cm="1">
        <f t="array" ref="Z1309">_xll.BDP(B1309, "CF_ACT_CASH_PAID_FOR_INT_DEBT")</f>
        <v>665.72299999999996</v>
      </c>
      <c r="AA1309" t="str" cm="1">
        <f t="array" ref="AA1309">_xll.BDP(B1309, "TYPE_OF_BOND")</f>
        <v>#N/A Field Not Applicable</v>
      </c>
    </row>
    <row r="1310" spans="1:27" x14ac:dyDescent="0.25">
      <c r="A1310">
        <v>1308</v>
      </c>
      <c r="B1310" t="s">
        <v>3703</v>
      </c>
      <c r="C1310" s="4" t="s">
        <v>3676</v>
      </c>
      <c r="D1310" s="4">
        <v>82250000</v>
      </c>
      <c r="E1310" t="s">
        <v>331</v>
      </c>
      <c r="F1310" s="1"/>
      <c r="G1310">
        <v>0</v>
      </c>
      <c r="H1310" t="s">
        <v>1818</v>
      </c>
      <c r="L1310" t="s">
        <v>1168</v>
      </c>
      <c r="M1310" t="s">
        <v>595</v>
      </c>
      <c r="N1310" t="s">
        <v>537</v>
      </c>
      <c r="O1310" t="s">
        <v>3129</v>
      </c>
      <c r="P1310" t="s">
        <v>2664</v>
      </c>
      <c r="Q1310" t="s">
        <v>3704</v>
      </c>
      <c r="R1310" t="s">
        <v>3705</v>
      </c>
      <c r="S1310">
        <v>903.72112500000003</v>
      </c>
      <c r="T1310">
        <v>16</v>
      </c>
      <c r="U1310" t="s">
        <v>1169</v>
      </c>
      <c r="W1310" t="s">
        <v>3680</v>
      </c>
      <c r="X1310" t="str">
        <f t="shared" si="20"/>
        <v>EP049227 Pfd</v>
      </c>
      <c r="Y1310" t="str">
        <f>_xlfn.IFNA(_xll.BDP(X1310,"INTERVAL_SUM", "MARKET_DATA_OVERRIDE=px_volume", "CALC_INTERVAL=5D"), "")</f>
        <v>#N/A N/A</v>
      </c>
      <c r="Z1310" cm="1">
        <f t="array" ref="Z1310">_xll.BDP(B1310, "CF_ACT_CASH_PAID_FOR_INT_DEBT")</f>
        <v>665.72299999999996</v>
      </c>
      <c r="AA1310" t="str" cm="1">
        <f t="array" ref="AA1310">_xll.BDP(B1310, "TYPE_OF_BOND")</f>
        <v>#N/A Field Not Applicable</v>
      </c>
    </row>
    <row r="1311" spans="1:27" x14ac:dyDescent="0.25">
      <c r="A1311">
        <v>1309</v>
      </c>
      <c r="B1311" t="s">
        <v>3706</v>
      </c>
      <c r="C1311" s="4" t="s">
        <v>3676</v>
      </c>
      <c r="D1311" s="4">
        <v>118750000</v>
      </c>
      <c r="E1311" t="s">
        <v>331</v>
      </c>
      <c r="F1311" s="1">
        <v>51602</v>
      </c>
      <c r="G1311">
        <v>0</v>
      </c>
      <c r="H1311" t="s">
        <v>1162</v>
      </c>
      <c r="L1311" t="s">
        <v>1168</v>
      </c>
      <c r="M1311" t="s">
        <v>595</v>
      </c>
      <c r="N1311" t="s">
        <v>537</v>
      </c>
      <c r="O1311" t="s">
        <v>3129</v>
      </c>
      <c r="P1311" t="s">
        <v>2664</v>
      </c>
      <c r="Q1311" t="s">
        <v>3704</v>
      </c>
      <c r="R1311" t="s">
        <v>3707</v>
      </c>
      <c r="S1311">
        <v>129855.5390625</v>
      </c>
      <c r="T1311">
        <v>3</v>
      </c>
      <c r="U1311" s="6">
        <v>46143</v>
      </c>
      <c r="W1311" t="s">
        <v>3680</v>
      </c>
      <c r="X1311" t="str">
        <f t="shared" si="20"/>
        <v>EP017920 Pfd</v>
      </c>
      <c r="Y1311" t="str">
        <f>_xlfn.IFNA(_xll.BDP(X1311,"INTERVAL_SUM", "MARKET_DATA_OVERRIDE=px_volume", "CALC_INTERVAL=5D"), "")</f>
        <v>#N/A N/A</v>
      </c>
      <c r="Z1311" cm="1">
        <f t="array" ref="Z1311">_xll.BDP(B1311, "CF_ACT_CASH_PAID_FOR_INT_DEBT")</f>
        <v>665.72299999999996</v>
      </c>
      <c r="AA1311" t="str" cm="1">
        <f t="array" ref="AA1311">_xll.BDP(B1311, "TYPE_OF_BOND")</f>
        <v>#N/A Field Not Applicable</v>
      </c>
    </row>
    <row r="1312" spans="1:27" x14ac:dyDescent="0.25">
      <c r="A1312">
        <v>1310</v>
      </c>
      <c r="B1312" t="s">
        <v>2549</v>
      </c>
      <c r="C1312" s="4" t="s">
        <v>2550</v>
      </c>
      <c r="D1312" s="4">
        <v>500000000</v>
      </c>
      <c r="E1312" t="s">
        <v>12</v>
      </c>
      <c r="F1312" s="1">
        <v>48396</v>
      </c>
      <c r="G1312">
        <v>9.5</v>
      </c>
      <c r="H1312" t="s">
        <v>9</v>
      </c>
      <c r="L1312" t="s">
        <v>1168</v>
      </c>
      <c r="M1312" t="s">
        <v>10</v>
      </c>
      <c r="N1312" t="s">
        <v>36</v>
      </c>
      <c r="O1312" t="s">
        <v>3266</v>
      </c>
      <c r="P1312" t="s">
        <v>2640</v>
      </c>
      <c r="Q1312" t="s">
        <v>3267</v>
      </c>
      <c r="R1312" t="s">
        <v>2551</v>
      </c>
      <c r="S1312">
        <v>2426948.7447292199</v>
      </c>
      <c r="T1312">
        <v>29</v>
      </c>
      <c r="U1312" t="s">
        <v>1169</v>
      </c>
      <c r="W1312" t="s">
        <v>2552</v>
      </c>
      <c r="X1312" t="str">
        <f t="shared" si="20"/>
        <v>YN478397@TRAC Corp</v>
      </c>
      <c r="Y1312">
        <f>_xlfn.IFNA(_xll.BDP(X1312,"INTERVAL_SUM", "MARKET_DATA_OVERRIDE=px_volume", "CALC_INTERVAL=5D"), "")</f>
        <v>1176</v>
      </c>
      <c r="Z1312" t="str" cm="1">
        <f t="array" ref="Z1312">_xll.BDP(B1312, "CF_ACT_CASH_PAID_FOR_INT_DEBT")</f>
        <v>#N/A N/A</v>
      </c>
      <c r="AA1312" t="str" cm="1">
        <f t="array" ref="AA1312">_xll.BDP(B1312, "TYPE_OF_BOND")</f>
        <v>#N/A Field Not Applicable</v>
      </c>
    </row>
    <row r="1313" spans="1:27" x14ac:dyDescent="0.25">
      <c r="A1313">
        <v>1311</v>
      </c>
      <c r="B1313" t="s">
        <v>2553</v>
      </c>
      <c r="C1313" s="4" t="s">
        <v>2550</v>
      </c>
      <c r="D1313" s="4">
        <v>425000000</v>
      </c>
      <c r="E1313" t="s">
        <v>11</v>
      </c>
      <c r="F1313" s="1">
        <v>48397</v>
      </c>
      <c r="G1313">
        <v>8.6519999999999992</v>
      </c>
      <c r="H1313" t="s">
        <v>13</v>
      </c>
      <c r="I1313" t="s">
        <v>2631</v>
      </c>
      <c r="J1313">
        <v>500</v>
      </c>
      <c r="L1313" t="s">
        <v>1168</v>
      </c>
      <c r="M1313" t="s">
        <v>10</v>
      </c>
      <c r="N1313" t="s">
        <v>36</v>
      </c>
      <c r="O1313" t="s">
        <v>3266</v>
      </c>
      <c r="P1313" t="s">
        <v>2640</v>
      </c>
      <c r="Q1313" t="s">
        <v>3267</v>
      </c>
      <c r="R1313" t="s">
        <v>2554</v>
      </c>
      <c r="S1313">
        <v>2000000</v>
      </c>
      <c r="T1313">
        <v>7</v>
      </c>
      <c r="V1313" t="s">
        <v>227</v>
      </c>
      <c r="W1313" t="s">
        <v>2552</v>
      </c>
      <c r="X1313" t="str">
        <f t="shared" si="20"/>
        <v>BL511920@TRAC Corp</v>
      </c>
      <c r="Y1313" t="str">
        <f>_xlfn.IFNA(_xll.BDP(X1313,"INTERVAL_SUM", "MARKET_DATA_OVERRIDE=px_volume", "CALC_INTERVAL=5D"), "")</f>
        <v>#N/A N/A</v>
      </c>
      <c r="Z1313" t="str" cm="1">
        <f t="array" ref="Z1313">_xll.BDP(B1313, "CF_ACT_CASH_PAID_FOR_INT_DEBT")</f>
        <v>#N/A N/A</v>
      </c>
      <c r="AA1313" t="str" cm="1">
        <f t="array" ref="AA1313">_xll.BDP(B1313, "TYPE_OF_BOND")</f>
        <v>#N/A Field Not Applicable</v>
      </c>
    </row>
    <row r="1314" spans="1:27" x14ac:dyDescent="0.25">
      <c r="A1314">
        <v>1312</v>
      </c>
      <c r="B1314" t="s">
        <v>2362</v>
      </c>
      <c r="C1314" s="4" t="s">
        <v>2363</v>
      </c>
      <c r="D1314" s="4">
        <v>200000000</v>
      </c>
      <c r="E1314" t="s">
        <v>12</v>
      </c>
      <c r="F1314" s="1">
        <v>47529</v>
      </c>
      <c r="G1314">
        <v>6.75</v>
      </c>
      <c r="H1314" t="s">
        <v>9</v>
      </c>
      <c r="L1314" t="s">
        <v>1168</v>
      </c>
      <c r="M1314" t="s">
        <v>10</v>
      </c>
      <c r="N1314" t="s">
        <v>14</v>
      </c>
      <c r="O1314" t="s">
        <v>3133</v>
      </c>
      <c r="P1314" t="s">
        <v>2651</v>
      </c>
      <c r="Q1314" t="s">
        <v>3268</v>
      </c>
      <c r="R1314" t="s">
        <v>2364</v>
      </c>
      <c r="S1314">
        <v>1938084.9922865899</v>
      </c>
      <c r="T1314">
        <v>11</v>
      </c>
      <c r="U1314" t="s">
        <v>1169</v>
      </c>
      <c r="W1314" t="s">
        <v>2365</v>
      </c>
      <c r="X1314" t="str">
        <f t="shared" si="20"/>
        <v>BV483265@TRAC Corp</v>
      </c>
      <c r="Y1314">
        <f>_xlfn.IFNA(_xll.BDP(X1314,"INTERVAL_SUM", "MARKET_DATA_OVERRIDE=px_volume", "CALC_INTERVAL=5D"), "")</f>
        <v>3140</v>
      </c>
      <c r="Z1314" t="str" cm="1">
        <f t="array" ref="Z1314">_xll.BDP(B1314, "CF_ACT_CASH_PAID_FOR_INT_DEBT")</f>
        <v>#N/A N/A</v>
      </c>
      <c r="AA1314" t="str" cm="1">
        <f t="array" ref="AA1314">_xll.BDP(B1314, "TYPE_OF_BOND")</f>
        <v>#N/A Field Not Applicable</v>
      </c>
    </row>
    <row r="1315" spans="1:27" x14ac:dyDescent="0.25">
      <c r="A1315">
        <v>1313</v>
      </c>
      <c r="B1315" t="s">
        <v>2366</v>
      </c>
      <c r="C1315" s="4" t="s">
        <v>2363</v>
      </c>
      <c r="D1315" s="4">
        <v>500000000</v>
      </c>
      <c r="E1315" t="s">
        <v>11</v>
      </c>
      <c r="F1315" s="1">
        <v>47529</v>
      </c>
      <c r="G1315">
        <v>5</v>
      </c>
      <c r="H1315" t="s">
        <v>9</v>
      </c>
      <c r="L1315" t="s">
        <v>1168</v>
      </c>
      <c r="M1315" t="s">
        <v>10</v>
      </c>
      <c r="N1315" t="s">
        <v>14</v>
      </c>
      <c r="O1315" t="s">
        <v>3133</v>
      </c>
      <c r="P1315" t="s">
        <v>2651</v>
      </c>
      <c r="Q1315" t="s">
        <v>3268</v>
      </c>
      <c r="R1315" t="s">
        <v>2367</v>
      </c>
      <c r="S1315">
        <v>6820020.0995569201</v>
      </c>
      <c r="T1315">
        <v>19</v>
      </c>
      <c r="U1315" t="s">
        <v>1169</v>
      </c>
      <c r="W1315" t="s">
        <v>2365</v>
      </c>
      <c r="X1315" t="str">
        <f t="shared" si="20"/>
        <v>BT727732@TRAC Corp</v>
      </c>
      <c r="Y1315">
        <f>_xlfn.IFNA(_xll.BDP(X1315,"INTERVAL_SUM", "MARKET_DATA_OVERRIDE=px_volume", "CALC_INTERVAL=5D"), "")</f>
        <v>8052</v>
      </c>
      <c r="Z1315" t="str" cm="1">
        <f t="array" ref="Z1315">_xll.BDP(B1315, "CF_ACT_CASH_PAID_FOR_INT_DEBT")</f>
        <v>#N/A N/A</v>
      </c>
      <c r="AA1315" t="str" cm="1">
        <f t="array" ref="AA1315">_xll.BDP(B1315, "TYPE_OF_BOND")</f>
        <v>#N/A Field Not Applicable</v>
      </c>
    </row>
    <row r="1316" spans="1:27" x14ac:dyDescent="0.25">
      <c r="A1316">
        <v>1314</v>
      </c>
      <c r="B1316" t="s">
        <v>2368</v>
      </c>
      <c r="C1316" s="4" t="s">
        <v>2363</v>
      </c>
      <c r="D1316" s="4">
        <v>639425000</v>
      </c>
      <c r="E1316" t="s">
        <v>11</v>
      </c>
      <c r="F1316" s="1">
        <v>47210</v>
      </c>
      <c r="G1316">
        <v>6.6439000000000004</v>
      </c>
      <c r="H1316" t="s">
        <v>13</v>
      </c>
      <c r="I1316" t="s">
        <v>2631</v>
      </c>
      <c r="J1316">
        <v>300</v>
      </c>
      <c r="L1316" t="s">
        <v>1168</v>
      </c>
      <c r="M1316" t="s">
        <v>10</v>
      </c>
      <c r="N1316" t="s">
        <v>14</v>
      </c>
      <c r="O1316" t="s">
        <v>3133</v>
      </c>
      <c r="P1316" t="s">
        <v>2651</v>
      </c>
      <c r="Q1316" t="s">
        <v>3268</v>
      </c>
      <c r="R1316" t="s">
        <v>2369</v>
      </c>
      <c r="S1316">
        <v>3000000</v>
      </c>
      <c r="T1316">
        <v>22</v>
      </c>
      <c r="V1316" t="s">
        <v>227</v>
      </c>
      <c r="W1316" t="s">
        <v>2365</v>
      </c>
      <c r="X1316" t="str">
        <f t="shared" si="20"/>
        <v>BL383763@TRAC Corp</v>
      </c>
      <c r="Y1316" t="str">
        <f>_xlfn.IFNA(_xll.BDP(X1316,"INTERVAL_SUM", "MARKET_DATA_OVERRIDE=px_volume", "CALC_INTERVAL=5D"), "")</f>
        <v>#N/A N/A</v>
      </c>
      <c r="Z1316" t="str" cm="1">
        <f t="array" ref="Z1316">_xll.BDP(B1316, "CF_ACT_CASH_PAID_FOR_INT_DEBT")</f>
        <v>#N/A N/A</v>
      </c>
      <c r="AA1316" t="str" cm="1">
        <f t="array" ref="AA1316">_xll.BDP(B1316, "TYPE_OF_BOND")</f>
        <v>#N/A Field Not Applicable</v>
      </c>
    </row>
    <row r="1317" spans="1:27" x14ac:dyDescent="0.25">
      <c r="A1317">
        <v>1315</v>
      </c>
      <c r="B1317" t="s">
        <v>3637</v>
      </c>
      <c r="C1317" s="4" t="s">
        <v>3638</v>
      </c>
      <c r="D1317" s="4">
        <v>500000000</v>
      </c>
      <c r="E1317" t="s">
        <v>33</v>
      </c>
      <c r="F1317" s="1">
        <v>47270</v>
      </c>
      <c r="G1317">
        <v>9</v>
      </c>
      <c r="H1317" t="s">
        <v>9</v>
      </c>
      <c r="L1317" t="s">
        <v>1168</v>
      </c>
      <c r="M1317" t="s">
        <v>10</v>
      </c>
      <c r="N1317" t="s">
        <v>333</v>
      </c>
      <c r="O1317" t="s">
        <v>3170</v>
      </c>
      <c r="P1317" t="s">
        <v>2639</v>
      </c>
      <c r="Q1317" t="s">
        <v>3142</v>
      </c>
      <c r="R1317" t="s">
        <v>3639</v>
      </c>
      <c r="S1317">
        <v>9296140.6868742704</v>
      </c>
      <c r="T1317">
        <v>41</v>
      </c>
      <c r="U1317" t="s">
        <v>1169</v>
      </c>
      <c r="W1317" t="s">
        <v>3640</v>
      </c>
      <c r="X1317" t="str">
        <f t="shared" si="20"/>
        <v>YX229738@TRAC Corp</v>
      </c>
      <c r="Y1317">
        <f>_xlfn.IFNA(_xll.BDP(X1317,"INTERVAL_SUM", "MARKET_DATA_OVERRIDE=px_volume", "CALC_INTERVAL=5D"), "")</f>
        <v>14665</v>
      </c>
      <c r="Z1317" cm="1">
        <f t="array" ref="Z1317">_xll.BDP(B1317, "CF_ACT_CASH_PAID_FOR_INT_DEBT")</f>
        <v>83.4</v>
      </c>
      <c r="AA1317" t="str" cm="1">
        <f t="array" ref="AA1317">_xll.BDP(B1317, "TYPE_OF_BOND")</f>
        <v>#N/A Field Not Applicable</v>
      </c>
    </row>
    <row r="1318" spans="1:27" x14ac:dyDescent="0.25">
      <c r="A1318">
        <v>1316</v>
      </c>
      <c r="B1318" t="s">
        <v>3641</v>
      </c>
      <c r="C1318" s="4" t="s">
        <v>3638</v>
      </c>
      <c r="D1318" s="4">
        <v>207000000</v>
      </c>
      <c r="E1318" t="s">
        <v>11</v>
      </c>
      <c r="F1318" s="1">
        <v>47274</v>
      </c>
      <c r="G1318">
        <v>5.9939</v>
      </c>
      <c r="H1318" t="s">
        <v>13</v>
      </c>
      <c r="I1318" t="s">
        <v>2631</v>
      </c>
      <c r="J1318">
        <v>225</v>
      </c>
      <c r="L1318" t="s">
        <v>1168</v>
      </c>
      <c r="M1318" t="s">
        <v>10</v>
      </c>
      <c r="N1318" t="s">
        <v>333</v>
      </c>
      <c r="O1318" t="s">
        <v>3170</v>
      </c>
      <c r="P1318" t="s">
        <v>2639</v>
      </c>
      <c r="Q1318" t="s">
        <v>3142</v>
      </c>
      <c r="R1318" t="s">
        <v>3642</v>
      </c>
      <c r="V1318" t="s">
        <v>945</v>
      </c>
      <c r="W1318" t="s">
        <v>3640</v>
      </c>
      <c r="X1318" t="str">
        <f t="shared" si="20"/>
        <v>BL301200@TRAC Corp</v>
      </c>
      <c r="Y1318" t="str">
        <f>_xlfn.IFNA(_xll.BDP(X1318,"INTERVAL_SUM", "MARKET_DATA_OVERRIDE=px_volume", "CALC_INTERVAL=5D"), "")</f>
        <v>#N/A N/A</v>
      </c>
      <c r="Z1318" cm="1">
        <f t="array" ref="Z1318">_xll.BDP(B1318, "CF_ACT_CASH_PAID_FOR_INT_DEBT")</f>
        <v>83.4</v>
      </c>
      <c r="AA1318" t="str" cm="1">
        <f t="array" ref="AA1318">_xll.BDP(B1318, "TYPE_OF_BOND")</f>
        <v>#N/A Field Not Applicable</v>
      </c>
    </row>
    <row r="1319" spans="1:27" x14ac:dyDescent="0.25">
      <c r="A1319">
        <v>1317</v>
      </c>
      <c r="B1319" t="s">
        <v>3643</v>
      </c>
      <c r="C1319" s="4" t="s">
        <v>3638</v>
      </c>
      <c r="D1319" s="4">
        <v>30000000</v>
      </c>
      <c r="E1319" t="s">
        <v>331</v>
      </c>
      <c r="F1319" s="1"/>
      <c r="G1319">
        <v>10</v>
      </c>
      <c r="H1319" t="s">
        <v>9</v>
      </c>
      <c r="L1319" t="s">
        <v>1168</v>
      </c>
      <c r="M1319" t="s">
        <v>10</v>
      </c>
      <c r="N1319" t="s">
        <v>333</v>
      </c>
      <c r="O1319" t="s">
        <v>3170</v>
      </c>
      <c r="P1319" t="s">
        <v>2639</v>
      </c>
      <c r="Q1319" t="s">
        <v>3142</v>
      </c>
      <c r="R1319" t="s">
        <v>3644</v>
      </c>
      <c r="S1319">
        <v>3249.8553124999999</v>
      </c>
      <c r="T1319">
        <v>75</v>
      </c>
      <c r="U1319" t="s">
        <v>1176</v>
      </c>
      <c r="W1319" t="s">
        <v>3640</v>
      </c>
      <c r="X1319" t="str">
        <f t="shared" si="20"/>
        <v>EP059710 Pfd</v>
      </c>
      <c r="Y1319">
        <f>_xlfn.IFNA(_xll.BDP(X1319,"INTERVAL_SUM", "MARKET_DATA_OVERRIDE=px_volume", "CALC_INTERVAL=5D"), "")</f>
        <v>15054</v>
      </c>
      <c r="Z1319" cm="1">
        <f t="array" ref="Z1319">_xll.BDP(B1319, "CF_ACT_CASH_PAID_FOR_INT_DEBT")</f>
        <v>83.4</v>
      </c>
      <c r="AA1319" t="str" cm="1">
        <f t="array" ref="AA1319">_xll.BDP(B1319, "TYPE_OF_BOND")</f>
        <v>#N/A Field Not Applicable</v>
      </c>
    </row>
    <row r="1320" spans="1:27" x14ac:dyDescent="0.25">
      <c r="A1320">
        <v>1318</v>
      </c>
      <c r="B1320" t="s">
        <v>2095</v>
      </c>
      <c r="C1320" s="4" t="s">
        <v>2096</v>
      </c>
      <c r="D1320" s="4">
        <v>340646000</v>
      </c>
      <c r="E1320" t="s">
        <v>17</v>
      </c>
      <c r="F1320" s="1">
        <v>46692</v>
      </c>
      <c r="G1320">
        <v>8.75</v>
      </c>
      <c r="H1320" t="s">
        <v>9</v>
      </c>
      <c r="L1320" t="s">
        <v>1168</v>
      </c>
      <c r="M1320" t="s">
        <v>10</v>
      </c>
      <c r="N1320" t="s">
        <v>537</v>
      </c>
      <c r="O1320" t="s">
        <v>3160</v>
      </c>
      <c r="P1320" t="s">
        <v>2664</v>
      </c>
      <c r="Q1320" t="s">
        <v>3161</v>
      </c>
      <c r="R1320" t="s">
        <v>2097</v>
      </c>
      <c r="S1320">
        <v>3784661.20418724</v>
      </c>
      <c r="T1320">
        <v>25</v>
      </c>
      <c r="U1320" t="s">
        <v>1169</v>
      </c>
      <c r="W1320" t="s">
        <v>2098</v>
      </c>
      <c r="X1320" t="str">
        <f t="shared" si="20"/>
        <v>YX718377@TRAC Corp</v>
      </c>
      <c r="Y1320">
        <f>_xlfn.IFNA(_xll.BDP(X1320,"INTERVAL_SUM", "MARKET_DATA_OVERRIDE=px_volume", "CALC_INTERVAL=5D"), "")</f>
        <v>7859</v>
      </c>
      <c r="Z1320" cm="1">
        <f t="array" ref="Z1320">_xll.BDP(B1320, "CF_ACT_CASH_PAID_FOR_INT_DEBT")</f>
        <v>301.46300000000002</v>
      </c>
      <c r="AA1320" t="str" cm="1">
        <f t="array" ref="AA1320">_xll.BDP(B1320, "TYPE_OF_BOND")</f>
        <v>#N/A Field Not Applicable</v>
      </c>
    </row>
    <row r="1321" spans="1:27" x14ac:dyDescent="0.25">
      <c r="A1321">
        <v>1319</v>
      </c>
      <c r="B1321" t="s">
        <v>2099</v>
      </c>
      <c r="C1321" s="4" t="s">
        <v>2096</v>
      </c>
      <c r="D1321" s="4">
        <v>499400000</v>
      </c>
      <c r="E1321" t="s">
        <v>17</v>
      </c>
      <c r="F1321" s="1">
        <v>46844</v>
      </c>
      <c r="G1321">
        <v>6.125</v>
      </c>
      <c r="H1321" t="s">
        <v>9</v>
      </c>
      <c r="L1321" t="s">
        <v>1168</v>
      </c>
      <c r="M1321" t="s">
        <v>10</v>
      </c>
      <c r="N1321" t="s">
        <v>537</v>
      </c>
      <c r="O1321" t="s">
        <v>3160</v>
      </c>
      <c r="P1321" t="s">
        <v>2664</v>
      </c>
      <c r="Q1321" t="s">
        <v>3161</v>
      </c>
      <c r="R1321" t="s">
        <v>2100</v>
      </c>
      <c r="S1321">
        <v>5213480.5755558396</v>
      </c>
      <c r="T1321">
        <v>22</v>
      </c>
      <c r="U1321" t="s">
        <v>1169</v>
      </c>
      <c r="W1321" t="s">
        <v>2098</v>
      </c>
      <c r="X1321" t="str">
        <f t="shared" si="20"/>
        <v>BO739332@TRAC Corp</v>
      </c>
      <c r="Y1321">
        <f>_xlfn.IFNA(_xll.BDP(X1321,"INTERVAL_SUM", "MARKET_DATA_OVERRIDE=px_volume", "CALC_INTERVAL=5D"), "")</f>
        <v>1563</v>
      </c>
      <c r="Z1321" cm="1">
        <f t="array" ref="Z1321">_xll.BDP(B1321, "CF_ACT_CASH_PAID_FOR_INT_DEBT")</f>
        <v>301.46300000000002</v>
      </c>
      <c r="AA1321" t="str" cm="1">
        <f t="array" ref="AA1321">_xll.BDP(B1321, "TYPE_OF_BOND")</f>
        <v>#N/A Field Not Applicable</v>
      </c>
    </row>
    <row r="1322" spans="1:27" x14ac:dyDescent="0.25">
      <c r="A1322">
        <v>1320</v>
      </c>
      <c r="B1322" t="s">
        <v>2580</v>
      </c>
      <c r="C1322" s="4" t="s">
        <v>2578</v>
      </c>
      <c r="D1322" s="4">
        <v>799315000</v>
      </c>
      <c r="E1322" t="s">
        <v>11</v>
      </c>
      <c r="F1322" s="1">
        <v>47011</v>
      </c>
      <c r="G1322">
        <v>8</v>
      </c>
      <c r="H1322" t="s">
        <v>9</v>
      </c>
      <c r="L1322" t="s">
        <v>1168</v>
      </c>
      <c r="M1322" t="s">
        <v>10</v>
      </c>
      <c r="N1322" t="s">
        <v>1149</v>
      </c>
      <c r="O1322" t="s">
        <v>3206</v>
      </c>
      <c r="P1322" t="s">
        <v>2693</v>
      </c>
      <c r="Q1322" t="s">
        <v>3269</v>
      </c>
      <c r="R1322" t="s">
        <v>2581</v>
      </c>
      <c r="S1322">
        <v>9739523.6950625498</v>
      </c>
      <c r="T1322">
        <v>49</v>
      </c>
      <c r="U1322" t="s">
        <v>1169</v>
      </c>
      <c r="W1322" t="s">
        <v>2579</v>
      </c>
      <c r="X1322" t="str">
        <f t="shared" si="20"/>
        <v>ZI871984@TRAC Corp</v>
      </c>
      <c r="Y1322">
        <f>_xlfn.IFNA(_xll.BDP(X1322,"INTERVAL_SUM", "MARKET_DATA_OVERRIDE=px_volume", "CALC_INTERVAL=5D"), "")</f>
        <v>9261</v>
      </c>
      <c r="Z1322" cm="1">
        <f t="array" ref="Z1322">_xll.BDP(B1322, "CF_ACT_CASH_PAID_FOR_INT_DEBT")</f>
        <v>149.03899999999999</v>
      </c>
      <c r="AA1322" t="str" cm="1">
        <f t="array" ref="AA1322">_xll.BDP(B1322, "TYPE_OF_BOND")</f>
        <v>#N/A Field Not Applicable</v>
      </c>
    </row>
    <row r="1323" spans="1:27" x14ac:dyDescent="0.25">
      <c r="A1323">
        <v>1321</v>
      </c>
      <c r="B1323" t="s">
        <v>2582</v>
      </c>
      <c r="C1323" s="4" t="s">
        <v>2578</v>
      </c>
      <c r="D1323" s="4">
        <v>475000000</v>
      </c>
      <c r="E1323" t="s">
        <v>17</v>
      </c>
      <c r="F1323" s="1">
        <v>48014</v>
      </c>
      <c r="G1323">
        <v>11</v>
      </c>
      <c r="H1323" t="s">
        <v>9</v>
      </c>
      <c r="L1323" t="s">
        <v>1168</v>
      </c>
      <c r="M1323" t="s">
        <v>10</v>
      </c>
      <c r="N1323" t="s">
        <v>1149</v>
      </c>
      <c r="O1323" t="s">
        <v>3206</v>
      </c>
      <c r="P1323" t="s">
        <v>2693</v>
      </c>
      <c r="Q1323" t="s">
        <v>3269</v>
      </c>
      <c r="R1323" t="s">
        <v>2583</v>
      </c>
      <c r="S1323">
        <v>3476533.2680217498</v>
      </c>
      <c r="T1323">
        <v>28</v>
      </c>
      <c r="U1323" t="s">
        <v>1169</v>
      </c>
      <c r="W1323" t="s">
        <v>2579</v>
      </c>
      <c r="X1323" t="str">
        <f t="shared" si="20"/>
        <v>DL418390@TRAC Corp</v>
      </c>
      <c r="Y1323">
        <f>_xlfn.IFNA(_xll.BDP(X1323,"INTERVAL_SUM", "MARKET_DATA_OVERRIDE=px_volume", "CALC_INTERVAL=5D"), "")</f>
        <v>19785</v>
      </c>
      <c r="Z1323" cm="1">
        <f t="array" ref="Z1323">_xll.BDP(B1323, "CF_ACT_CASH_PAID_FOR_INT_DEBT")</f>
        <v>149.03899999999999</v>
      </c>
      <c r="AA1323" t="str" cm="1">
        <f t="array" ref="AA1323">_xll.BDP(B1323, "TYPE_OF_BOND")</f>
        <v>#N/A Field Not Applicable</v>
      </c>
    </row>
    <row r="1324" spans="1:27" x14ac:dyDescent="0.25">
      <c r="A1324">
        <v>1322</v>
      </c>
      <c r="B1324" t="s">
        <v>2584</v>
      </c>
      <c r="C1324" s="4" t="s">
        <v>2578</v>
      </c>
      <c r="D1324" s="4">
        <v>442125000</v>
      </c>
      <c r="E1324" t="s">
        <v>11</v>
      </c>
      <c r="F1324" s="1">
        <v>47401</v>
      </c>
      <c r="G1324">
        <v>7.1753</v>
      </c>
      <c r="H1324" t="s">
        <v>13</v>
      </c>
      <c r="I1324" t="s">
        <v>2631</v>
      </c>
      <c r="J1324">
        <v>350</v>
      </c>
      <c r="L1324" t="s">
        <v>1168</v>
      </c>
      <c r="M1324" t="s">
        <v>10</v>
      </c>
      <c r="N1324" t="s">
        <v>1149</v>
      </c>
      <c r="O1324" t="s">
        <v>3206</v>
      </c>
      <c r="P1324" t="s">
        <v>2693</v>
      </c>
      <c r="Q1324" t="s">
        <v>3269</v>
      </c>
      <c r="R1324" t="s">
        <v>2585</v>
      </c>
      <c r="S1324">
        <v>2000000</v>
      </c>
      <c r="T1324">
        <v>17</v>
      </c>
      <c r="V1324" t="s">
        <v>227</v>
      </c>
      <c r="W1324" t="s">
        <v>2579</v>
      </c>
      <c r="X1324" t="str">
        <f t="shared" si="20"/>
        <v>BL469307@TRAC Corp</v>
      </c>
      <c r="Y1324" t="str">
        <f>_xlfn.IFNA(_xll.BDP(X1324,"INTERVAL_SUM", "MARKET_DATA_OVERRIDE=px_volume", "CALC_INTERVAL=5D"), "")</f>
        <v>#N/A N/A</v>
      </c>
      <c r="Z1324" cm="1">
        <f t="array" ref="Z1324">_xll.BDP(B1324, "CF_ACT_CASH_PAID_FOR_INT_DEBT")</f>
        <v>149.03899999999999</v>
      </c>
      <c r="AA1324" t="str" cm="1">
        <f t="array" ref="AA1324">_xll.BDP(B1324, "TYPE_OF_BOND")</f>
        <v>#N/A Field Not Applicable</v>
      </c>
    </row>
    <row r="1325" spans="1:27" x14ac:dyDescent="0.25">
      <c r="A1325">
        <v>1323</v>
      </c>
      <c r="B1325" t="s">
        <v>2586</v>
      </c>
      <c r="C1325" s="4" t="s">
        <v>2578</v>
      </c>
      <c r="D1325" s="4">
        <v>270000000</v>
      </c>
      <c r="E1325" t="s">
        <v>11</v>
      </c>
      <c r="F1325" s="1">
        <v>47105</v>
      </c>
      <c r="G1325">
        <v>5.6641000000000004</v>
      </c>
      <c r="H1325" t="s">
        <v>13</v>
      </c>
      <c r="I1325" t="s">
        <v>2631</v>
      </c>
      <c r="J1325">
        <v>200</v>
      </c>
      <c r="L1325" t="s">
        <v>1168</v>
      </c>
      <c r="M1325" t="s">
        <v>10</v>
      </c>
      <c r="N1325" t="s">
        <v>1149</v>
      </c>
      <c r="O1325" t="s">
        <v>3206</v>
      </c>
      <c r="P1325" t="s">
        <v>2693</v>
      </c>
      <c r="Q1325" t="s">
        <v>3269</v>
      </c>
      <c r="R1325" t="s">
        <v>2587</v>
      </c>
      <c r="V1325" t="s">
        <v>226</v>
      </c>
      <c r="W1325" t="s">
        <v>2579</v>
      </c>
      <c r="X1325" t="str">
        <f t="shared" si="20"/>
        <v>BL130761@TRAC Corp</v>
      </c>
      <c r="Y1325" t="str">
        <f>_xlfn.IFNA(_xll.BDP(X1325,"INTERVAL_SUM", "MARKET_DATA_OVERRIDE=px_volume", "CALC_INTERVAL=5D"), "")</f>
        <v>#N/A N/A</v>
      </c>
      <c r="Z1325" cm="1">
        <f t="array" ref="Z1325">_xll.BDP(B1325, "CF_ACT_CASH_PAID_FOR_INT_DEBT")</f>
        <v>149.03899999999999</v>
      </c>
      <c r="AA1325" t="str" cm="1">
        <f t="array" ref="AA1325">_xll.BDP(B1325, "TYPE_OF_BOND")</f>
        <v>#N/A Field Not Applicable</v>
      </c>
    </row>
    <row r="1326" spans="1:27" x14ac:dyDescent="0.25">
      <c r="A1326">
        <v>1324</v>
      </c>
      <c r="B1326" t="s">
        <v>2572</v>
      </c>
      <c r="C1326" s="4" t="s">
        <v>2573</v>
      </c>
      <c r="D1326" s="4">
        <v>469704000</v>
      </c>
      <c r="E1326" t="s">
        <v>12</v>
      </c>
      <c r="F1326" s="1">
        <v>47141</v>
      </c>
      <c r="G1326">
        <v>10.98372</v>
      </c>
      <c r="H1326" t="s">
        <v>13</v>
      </c>
      <c r="I1326" t="s">
        <v>2635</v>
      </c>
      <c r="L1326" t="s">
        <v>1168</v>
      </c>
      <c r="M1326" t="s">
        <v>10</v>
      </c>
      <c r="N1326" t="s">
        <v>313</v>
      </c>
      <c r="O1326" t="s">
        <v>3260</v>
      </c>
      <c r="P1326" t="s">
        <v>2701</v>
      </c>
      <c r="Q1326" t="s">
        <v>3261</v>
      </c>
      <c r="R1326" t="s">
        <v>2574</v>
      </c>
      <c r="S1326">
        <v>4091877.5826008301</v>
      </c>
      <c r="T1326">
        <v>18</v>
      </c>
      <c r="U1326" t="s">
        <v>1169</v>
      </c>
      <c r="W1326" t="s">
        <v>2575</v>
      </c>
      <c r="X1326" t="str">
        <f t="shared" si="20"/>
        <v>ZF036808@TRAC Corp</v>
      </c>
      <c r="Y1326" t="str">
        <f>_xlfn.IFNA(_xll.BDP(X1326,"INTERVAL_SUM", "MARKET_DATA_OVERRIDE=px_volume", "CALC_INTERVAL=5D"), "")</f>
        <v>#N/A N/A</v>
      </c>
      <c r="Z1326" cm="1">
        <f t="array" ref="Z1326">_xll.BDP(B1326, "CF_ACT_CASH_PAID_FOR_INT_DEBT")</f>
        <v>125.5</v>
      </c>
      <c r="AA1326" t="str" cm="1">
        <f t="array" ref="AA1326">_xll.BDP(B1326, "TYPE_OF_BOND")</f>
        <v>#N/A Field Not Applicable</v>
      </c>
    </row>
    <row r="1327" spans="1:27" x14ac:dyDescent="0.25">
      <c r="A1327">
        <v>1325</v>
      </c>
      <c r="B1327" t="s">
        <v>2576</v>
      </c>
      <c r="C1327" s="4" t="s">
        <v>2573</v>
      </c>
      <c r="D1327" s="4">
        <v>307500000</v>
      </c>
      <c r="E1327" t="s">
        <v>11</v>
      </c>
      <c r="F1327" s="1">
        <v>47144</v>
      </c>
      <c r="G1327">
        <v>11.043900000000001</v>
      </c>
      <c r="H1327" t="s">
        <v>13</v>
      </c>
      <c r="I1327" t="s">
        <v>2631</v>
      </c>
      <c r="J1327">
        <v>725</v>
      </c>
      <c r="L1327" t="s">
        <v>1168</v>
      </c>
      <c r="M1327" t="s">
        <v>10</v>
      </c>
      <c r="N1327" t="s">
        <v>313</v>
      </c>
      <c r="O1327" t="s">
        <v>3260</v>
      </c>
      <c r="P1327" t="s">
        <v>2701</v>
      </c>
      <c r="Q1327" t="s">
        <v>3261</v>
      </c>
      <c r="R1327" t="s">
        <v>2577</v>
      </c>
      <c r="S1327">
        <v>3208019.1605223799</v>
      </c>
      <c r="T1327">
        <v>12</v>
      </c>
      <c r="V1327" t="s">
        <v>227</v>
      </c>
      <c r="W1327" t="s">
        <v>2575</v>
      </c>
      <c r="X1327" t="str">
        <f t="shared" si="20"/>
        <v>BL453737@TRAC Corp</v>
      </c>
      <c r="Y1327" t="str">
        <f>_xlfn.IFNA(_xll.BDP(X1327,"INTERVAL_SUM", "MARKET_DATA_OVERRIDE=px_volume", "CALC_INTERVAL=5D"), "")</f>
        <v>#N/A N/A</v>
      </c>
      <c r="Z1327" cm="1">
        <f t="array" ref="Z1327">_xll.BDP(B1327, "CF_ACT_CASH_PAID_FOR_INT_DEBT")</f>
        <v>125.5</v>
      </c>
      <c r="AA1327" t="str" cm="1">
        <f t="array" ref="AA1327">_xll.BDP(B1327, "TYPE_OF_BOND")</f>
        <v>#N/A Field Not Applicable</v>
      </c>
    </row>
    <row r="1328" spans="1:27" x14ac:dyDescent="0.25">
      <c r="A1328">
        <v>1326</v>
      </c>
      <c r="B1328" t="s">
        <v>2588</v>
      </c>
      <c r="C1328" s="4" t="s">
        <v>2589</v>
      </c>
      <c r="D1328" s="4">
        <v>4020000</v>
      </c>
      <c r="E1328" t="s">
        <v>17</v>
      </c>
      <c r="F1328" s="1">
        <v>46798</v>
      </c>
      <c r="G1328">
        <v>9.375</v>
      </c>
      <c r="H1328" t="s">
        <v>9</v>
      </c>
      <c r="L1328" t="s">
        <v>1168</v>
      </c>
      <c r="M1328" t="s">
        <v>10</v>
      </c>
      <c r="N1328" t="s">
        <v>460</v>
      </c>
      <c r="O1328" t="s">
        <v>2655</v>
      </c>
      <c r="P1328" t="s">
        <v>2655</v>
      </c>
      <c r="Q1328" t="s">
        <v>3139</v>
      </c>
      <c r="R1328" t="s">
        <v>2590</v>
      </c>
      <c r="S1328">
        <v>-9997</v>
      </c>
      <c r="U1328" t="s">
        <v>1169</v>
      </c>
      <c r="W1328" t="s">
        <v>2591</v>
      </c>
      <c r="X1328" t="str">
        <f t="shared" si="20"/>
        <v>ZP755285@TRAC Corp</v>
      </c>
      <c r="Y1328" t="str">
        <f>_xlfn.IFNA(_xll.BDP(X1328,"INTERVAL_SUM", "MARKET_DATA_OVERRIDE=px_volume", "CALC_INTERVAL=5D"), "")</f>
        <v>#N/A N/A</v>
      </c>
      <c r="Z1328" cm="1">
        <f t="array" ref="Z1328">_xll.BDP(B1328, "CF_ACT_CASH_PAID_FOR_INT_DEBT")</f>
        <v>14.4</v>
      </c>
      <c r="AA1328" t="str" cm="1">
        <f t="array" ref="AA1328">_xll.BDP(B1328, "TYPE_OF_BOND")</f>
        <v>#N/A Field Not Applicable</v>
      </c>
    </row>
    <row r="1329" spans="1:27" x14ac:dyDescent="0.25">
      <c r="A1329">
        <v>1327</v>
      </c>
      <c r="B1329" t="s">
        <v>2592</v>
      </c>
      <c r="C1329" s="4" t="s">
        <v>2589</v>
      </c>
      <c r="D1329" s="4">
        <v>460792360</v>
      </c>
      <c r="E1329" t="s">
        <v>17</v>
      </c>
      <c r="F1329" s="1">
        <v>47284</v>
      </c>
      <c r="G1329">
        <v>11.5</v>
      </c>
      <c r="H1329" t="s">
        <v>9</v>
      </c>
      <c r="L1329" t="s">
        <v>1168</v>
      </c>
      <c r="M1329" t="s">
        <v>10</v>
      </c>
      <c r="N1329" t="s">
        <v>460</v>
      </c>
      <c r="O1329" t="s">
        <v>2655</v>
      </c>
      <c r="P1329" t="s">
        <v>2655</v>
      </c>
      <c r="Q1329" t="s">
        <v>3139</v>
      </c>
      <c r="R1329" t="s">
        <v>2593</v>
      </c>
      <c r="S1329">
        <v>1767666.43039766</v>
      </c>
      <c r="T1329">
        <v>18</v>
      </c>
      <c r="U1329" t="s">
        <v>1169</v>
      </c>
      <c r="W1329" t="s">
        <v>2591</v>
      </c>
      <c r="X1329" t="str">
        <f t="shared" si="20"/>
        <v>YS289835@TRAC Corp</v>
      </c>
      <c r="Y1329">
        <f>_xlfn.IFNA(_xll.BDP(X1329,"INTERVAL_SUM", "MARKET_DATA_OVERRIDE=px_volume", "CALC_INTERVAL=5D"), "")</f>
        <v>537</v>
      </c>
      <c r="Z1329" cm="1">
        <f t="array" ref="Z1329">_xll.BDP(B1329, "CF_ACT_CASH_PAID_FOR_INT_DEBT")</f>
        <v>14.4</v>
      </c>
      <c r="AA1329" t="str" cm="1">
        <f t="array" ref="AA1329">_xll.BDP(B1329, "TYPE_OF_BOND")</f>
        <v>#N/A Field Not Applicable</v>
      </c>
    </row>
    <row r="1330" spans="1:27" x14ac:dyDescent="0.25">
      <c r="A1330">
        <v>1328</v>
      </c>
      <c r="B1330" t="s">
        <v>2594</v>
      </c>
      <c r="C1330" s="4" t="s">
        <v>2589</v>
      </c>
      <c r="D1330" s="4">
        <v>413700000</v>
      </c>
      <c r="E1330" t="s">
        <v>11</v>
      </c>
      <c r="F1330" s="1">
        <v>47207</v>
      </c>
      <c r="G1330">
        <v>7.9295</v>
      </c>
      <c r="H1330" t="s">
        <v>13</v>
      </c>
      <c r="I1330" t="s">
        <v>2631</v>
      </c>
      <c r="J1330">
        <v>425</v>
      </c>
      <c r="L1330" t="s">
        <v>1168</v>
      </c>
      <c r="M1330" t="s">
        <v>10</v>
      </c>
      <c r="N1330" t="s">
        <v>460</v>
      </c>
      <c r="O1330" t="s">
        <v>2655</v>
      </c>
      <c r="P1330" t="s">
        <v>2655</v>
      </c>
      <c r="Q1330" t="s">
        <v>3139</v>
      </c>
      <c r="R1330" t="s">
        <v>2595</v>
      </c>
      <c r="S1330">
        <v>2000000</v>
      </c>
      <c r="T1330">
        <v>18</v>
      </c>
      <c r="V1330" t="s">
        <v>227</v>
      </c>
      <c r="W1330" t="s">
        <v>2591</v>
      </c>
    </row>
    <row r="1331" spans="1:27" x14ac:dyDescent="0.25">
      <c r="A1331">
        <v>1329</v>
      </c>
      <c r="B1331" t="s">
        <v>2703</v>
      </c>
      <c r="C1331" s="4" t="s">
        <v>2704</v>
      </c>
      <c r="D1331" s="4">
        <v>450000000</v>
      </c>
      <c r="E1331" t="s">
        <v>12</v>
      </c>
      <c r="F1331" s="1">
        <v>47908</v>
      </c>
      <c r="G1331">
        <v>10.25</v>
      </c>
      <c r="H1331" t="s">
        <v>9</v>
      </c>
      <c r="L1331" t="s">
        <v>1168</v>
      </c>
      <c r="M1331" t="s">
        <v>10</v>
      </c>
      <c r="N1331" t="s">
        <v>16</v>
      </c>
      <c r="O1331" t="s">
        <v>3106</v>
      </c>
      <c r="P1331" t="s">
        <v>2629</v>
      </c>
      <c r="Q1331" t="s">
        <v>3107</v>
      </c>
      <c r="R1331" t="s">
        <v>2705</v>
      </c>
      <c r="S1331">
        <v>6716813.6393704498</v>
      </c>
      <c r="T1331">
        <v>26</v>
      </c>
      <c r="U1331" t="s">
        <v>1169</v>
      </c>
      <c r="W1331" t="s">
        <v>2706</v>
      </c>
    </row>
    <row r="1332" spans="1:27" x14ac:dyDescent="0.25">
      <c r="A1332">
        <v>1330</v>
      </c>
      <c r="B1332" t="s">
        <v>2707</v>
      </c>
      <c r="C1332" s="4" t="s">
        <v>2704</v>
      </c>
      <c r="D1332" s="4">
        <v>40000000</v>
      </c>
      <c r="E1332" t="s">
        <v>11</v>
      </c>
      <c r="F1332" s="1">
        <v>47533</v>
      </c>
      <c r="G1332">
        <v>6.6795</v>
      </c>
      <c r="H1332" t="s">
        <v>13</v>
      </c>
      <c r="I1332" t="s">
        <v>2631</v>
      </c>
      <c r="J1332">
        <v>300</v>
      </c>
      <c r="L1332" t="s">
        <v>1168</v>
      </c>
      <c r="M1332" t="s">
        <v>10</v>
      </c>
      <c r="N1332" t="s">
        <v>16</v>
      </c>
      <c r="O1332" t="s">
        <v>3106</v>
      </c>
      <c r="P1332" t="s">
        <v>2629</v>
      </c>
      <c r="Q1332" t="s">
        <v>3107</v>
      </c>
      <c r="R1332" t="s">
        <v>2708</v>
      </c>
      <c r="V1332" t="s">
        <v>226</v>
      </c>
      <c r="W1332" t="s">
        <v>2706</v>
      </c>
    </row>
    <row r="1333" spans="1:27" x14ac:dyDescent="0.25">
      <c r="A1333">
        <v>1331</v>
      </c>
      <c r="B1333" t="s">
        <v>3708</v>
      </c>
      <c r="C1333" s="4" t="s">
        <v>3709</v>
      </c>
      <c r="D1333" s="4">
        <v>500000000</v>
      </c>
      <c r="E1333" t="s">
        <v>12</v>
      </c>
      <c r="F1333" s="1">
        <v>47908</v>
      </c>
      <c r="G1333">
        <v>7.875</v>
      </c>
      <c r="H1333" t="s">
        <v>9</v>
      </c>
      <c r="L1333" t="s">
        <v>1168</v>
      </c>
      <c r="M1333" t="s">
        <v>10</v>
      </c>
      <c r="N1333" t="s">
        <v>1149</v>
      </c>
      <c r="O1333" t="s">
        <v>3206</v>
      </c>
      <c r="P1333" t="s">
        <v>2693</v>
      </c>
      <c r="Q1333" t="s">
        <v>3270</v>
      </c>
      <c r="R1333" t="s">
        <v>3710</v>
      </c>
      <c r="S1333">
        <v>4485813.7685704101</v>
      </c>
      <c r="T1333">
        <v>35</v>
      </c>
      <c r="U1333" t="s">
        <v>1169</v>
      </c>
      <c r="W1333" t="s">
        <v>3711</v>
      </c>
    </row>
    <row r="1334" spans="1:27" x14ac:dyDescent="0.25">
      <c r="A1334">
        <v>1332</v>
      </c>
      <c r="B1334" t="s">
        <v>3712</v>
      </c>
      <c r="C1334" s="4" t="s">
        <v>3709</v>
      </c>
      <c r="D1334" s="4">
        <v>450000000</v>
      </c>
      <c r="E1334" t="s">
        <v>17</v>
      </c>
      <c r="F1334" s="1">
        <v>48472</v>
      </c>
      <c r="G1334">
        <v>9.625</v>
      </c>
      <c r="H1334" t="s">
        <v>9</v>
      </c>
      <c r="L1334" t="s">
        <v>1168</v>
      </c>
      <c r="M1334" t="s">
        <v>10</v>
      </c>
      <c r="N1334" t="s">
        <v>1149</v>
      </c>
      <c r="O1334" t="s">
        <v>3206</v>
      </c>
      <c r="P1334" t="s">
        <v>2693</v>
      </c>
      <c r="Q1334" t="s">
        <v>3270</v>
      </c>
      <c r="R1334" t="s">
        <v>3713</v>
      </c>
      <c r="S1334">
        <v>5213100.5920069003</v>
      </c>
      <c r="T1334">
        <v>26</v>
      </c>
      <c r="U1334" t="s">
        <v>1169</v>
      </c>
      <c r="W1334" t="s">
        <v>3711</v>
      </c>
    </row>
    <row r="1335" spans="1:27" x14ac:dyDescent="0.25">
      <c r="A1335">
        <v>1333</v>
      </c>
      <c r="B1335" t="s">
        <v>3714</v>
      </c>
      <c r="C1335" s="4" t="s">
        <v>3709</v>
      </c>
      <c r="D1335" s="4">
        <v>1195600000</v>
      </c>
      <c r="E1335" t="s">
        <v>11</v>
      </c>
      <c r="F1335" s="1">
        <v>47891</v>
      </c>
      <c r="G1335">
        <v>6.4141000000000004</v>
      </c>
      <c r="H1335" t="s">
        <v>13</v>
      </c>
      <c r="I1335" t="s">
        <v>2631</v>
      </c>
      <c r="J1335">
        <v>275</v>
      </c>
      <c r="L1335" t="s">
        <v>1168</v>
      </c>
      <c r="M1335" t="s">
        <v>10</v>
      </c>
      <c r="N1335" t="s">
        <v>1149</v>
      </c>
      <c r="O1335" t="s">
        <v>3206</v>
      </c>
      <c r="P1335" t="s">
        <v>2693</v>
      </c>
      <c r="Q1335" t="s">
        <v>3270</v>
      </c>
      <c r="R1335" t="s">
        <v>3715</v>
      </c>
      <c r="S1335">
        <v>3000000</v>
      </c>
      <c r="T1335">
        <v>30</v>
      </c>
      <c r="V1335" t="s">
        <v>227</v>
      </c>
      <c r="W1335" t="s">
        <v>3711</v>
      </c>
    </row>
    <row r="1336" spans="1:27" x14ac:dyDescent="0.25">
      <c r="A1336">
        <v>1334</v>
      </c>
      <c r="B1336" t="s">
        <v>2271</v>
      </c>
      <c r="C1336" s="4" t="s">
        <v>2272</v>
      </c>
      <c r="D1336" s="4">
        <v>375000000</v>
      </c>
      <c r="E1336" t="s">
        <v>1161</v>
      </c>
      <c r="G1336">
        <v>9.5079999999999991</v>
      </c>
      <c r="H1336" t="s">
        <v>1162</v>
      </c>
      <c r="I1336" t="s">
        <v>2697</v>
      </c>
      <c r="L1336" t="s">
        <v>1168</v>
      </c>
      <c r="M1336" t="s">
        <v>10</v>
      </c>
      <c r="N1336" t="s">
        <v>537</v>
      </c>
      <c r="O1336" t="s">
        <v>3272</v>
      </c>
      <c r="P1336" t="s">
        <v>2702</v>
      </c>
      <c r="Q1336" t="s">
        <v>3273</v>
      </c>
      <c r="R1336" t="s">
        <v>2273</v>
      </c>
      <c r="S1336">
        <v>9786323.3798628598</v>
      </c>
      <c r="T1336">
        <v>18</v>
      </c>
      <c r="U1336" t="s">
        <v>1169</v>
      </c>
      <c r="W1336" t="s">
        <v>2274</v>
      </c>
    </row>
    <row r="1337" spans="1:27" x14ac:dyDescent="0.25">
      <c r="A1337">
        <v>1335</v>
      </c>
      <c r="B1337" t="s">
        <v>2275</v>
      </c>
      <c r="C1337" s="4" t="s">
        <v>2272</v>
      </c>
      <c r="D1337" s="4">
        <v>750000000</v>
      </c>
      <c r="E1337" t="s">
        <v>17</v>
      </c>
      <c r="F1337" s="1">
        <v>49247</v>
      </c>
      <c r="G1337">
        <v>7.2</v>
      </c>
      <c r="H1337" t="s">
        <v>9</v>
      </c>
      <c r="L1337" t="s">
        <v>1168</v>
      </c>
      <c r="M1337" t="s">
        <v>10</v>
      </c>
      <c r="N1337" t="s">
        <v>537</v>
      </c>
      <c r="O1337" t="s">
        <v>3272</v>
      </c>
      <c r="P1337" t="s">
        <v>2702</v>
      </c>
      <c r="Q1337" t="s">
        <v>3273</v>
      </c>
      <c r="R1337" t="s">
        <v>2276</v>
      </c>
      <c r="S1337">
        <v>9758935.6314597707</v>
      </c>
      <c r="T1337">
        <v>35</v>
      </c>
      <c r="U1337" t="s">
        <v>1169</v>
      </c>
      <c r="W1337" t="s">
        <v>2274</v>
      </c>
    </row>
    <row r="1338" spans="1:27" x14ac:dyDescent="0.25">
      <c r="A1338">
        <v>1336</v>
      </c>
      <c r="B1338" t="s">
        <v>2277</v>
      </c>
      <c r="C1338" s="4" t="s">
        <v>2272</v>
      </c>
      <c r="D1338" s="4">
        <v>500000000</v>
      </c>
      <c r="E1338" t="s">
        <v>17</v>
      </c>
      <c r="F1338" s="1">
        <v>47022</v>
      </c>
      <c r="G1338">
        <v>5.9</v>
      </c>
      <c r="H1338" t="s">
        <v>9</v>
      </c>
      <c r="L1338" t="s">
        <v>1168</v>
      </c>
      <c r="M1338" t="s">
        <v>10</v>
      </c>
      <c r="N1338" t="s">
        <v>537</v>
      </c>
      <c r="O1338" t="s">
        <v>3272</v>
      </c>
      <c r="P1338" t="s">
        <v>2702</v>
      </c>
      <c r="Q1338" t="s">
        <v>3273</v>
      </c>
      <c r="R1338" t="s">
        <v>2278</v>
      </c>
      <c r="S1338">
        <v>15111875.664189501</v>
      </c>
      <c r="T1338">
        <v>45</v>
      </c>
      <c r="U1338" t="s">
        <v>1169</v>
      </c>
      <c r="W1338" t="s">
        <v>2274</v>
      </c>
    </row>
    <row r="1339" spans="1:27" x14ac:dyDescent="0.25">
      <c r="A1339">
        <v>1337</v>
      </c>
      <c r="B1339" t="s">
        <v>2279</v>
      </c>
      <c r="C1339" s="4" t="s">
        <v>2272</v>
      </c>
      <c r="D1339" s="4">
        <v>100000000</v>
      </c>
      <c r="E1339" t="s">
        <v>8</v>
      </c>
      <c r="F1339" s="1">
        <v>48853</v>
      </c>
      <c r="G1339">
        <v>7.45</v>
      </c>
      <c r="H1339" t="s">
        <v>9</v>
      </c>
      <c r="L1339" t="s">
        <v>1168</v>
      </c>
      <c r="M1339" t="s">
        <v>10</v>
      </c>
      <c r="N1339" t="s">
        <v>537</v>
      </c>
      <c r="O1339" t="s">
        <v>3272</v>
      </c>
      <c r="P1339" t="s">
        <v>2702</v>
      </c>
      <c r="Q1339" t="s">
        <v>3273</v>
      </c>
      <c r="R1339" t="s">
        <v>2280</v>
      </c>
      <c r="S1339">
        <v>4470761.5316801202</v>
      </c>
      <c r="T1339">
        <v>8</v>
      </c>
      <c r="W1339" t="s">
        <v>2274</v>
      </c>
    </row>
    <row r="1340" spans="1:27" x14ac:dyDescent="0.25">
      <c r="A1340">
        <v>1338</v>
      </c>
      <c r="B1340" t="s">
        <v>2281</v>
      </c>
      <c r="C1340" s="4" t="s">
        <v>2272</v>
      </c>
      <c r="D1340" s="4">
        <v>425000000</v>
      </c>
      <c r="E1340" t="s">
        <v>1161</v>
      </c>
      <c r="G1340">
        <v>6.5</v>
      </c>
      <c r="H1340" t="s">
        <v>1162</v>
      </c>
      <c r="I1340" t="s">
        <v>2697</v>
      </c>
      <c r="L1340" t="s">
        <v>1168</v>
      </c>
      <c r="M1340" t="s">
        <v>10</v>
      </c>
      <c r="N1340" t="s">
        <v>537</v>
      </c>
      <c r="O1340" t="s">
        <v>3272</v>
      </c>
      <c r="P1340" t="s">
        <v>2702</v>
      </c>
      <c r="Q1340" t="s">
        <v>3273</v>
      </c>
      <c r="R1340" t="s">
        <v>2282</v>
      </c>
      <c r="S1340">
        <v>9060082.9998168293</v>
      </c>
      <c r="T1340">
        <v>19</v>
      </c>
      <c r="U1340" t="s">
        <v>1169</v>
      </c>
      <c r="W1340" t="s">
        <v>2274</v>
      </c>
    </row>
    <row r="1341" spans="1:27" x14ac:dyDescent="0.25">
      <c r="A1341">
        <v>1339</v>
      </c>
      <c r="B1341" t="s">
        <v>2283</v>
      </c>
      <c r="C1341" s="4" t="s">
        <v>2272</v>
      </c>
      <c r="D1341" s="4">
        <v>600000000</v>
      </c>
      <c r="E1341" t="s">
        <v>17</v>
      </c>
      <c r="F1341" s="1">
        <v>47897</v>
      </c>
      <c r="G1341">
        <v>5</v>
      </c>
      <c r="H1341" t="s">
        <v>9</v>
      </c>
      <c r="L1341" t="s">
        <v>1168</v>
      </c>
      <c r="M1341" t="s">
        <v>10</v>
      </c>
      <c r="N1341" t="s">
        <v>537</v>
      </c>
      <c r="O1341" t="s">
        <v>3272</v>
      </c>
      <c r="P1341" t="s">
        <v>2702</v>
      </c>
      <c r="Q1341" t="s">
        <v>3273</v>
      </c>
      <c r="R1341" t="s">
        <v>2284</v>
      </c>
      <c r="S1341">
        <v>14164243.678416099</v>
      </c>
      <c r="T1341">
        <v>37</v>
      </c>
      <c r="U1341" t="s">
        <v>1169</v>
      </c>
      <c r="W1341" t="s">
        <v>2274</v>
      </c>
    </row>
    <row r="1342" spans="1:27" x14ac:dyDescent="0.25">
      <c r="A1342">
        <v>1340</v>
      </c>
      <c r="B1342" t="s">
        <v>3645</v>
      </c>
      <c r="C1342" s="4" t="s">
        <v>3646</v>
      </c>
      <c r="D1342" s="4">
        <v>300000000</v>
      </c>
      <c r="E1342" t="s">
        <v>11</v>
      </c>
      <c r="F1342" s="1">
        <v>47208</v>
      </c>
      <c r="G1342">
        <v>9</v>
      </c>
      <c r="H1342" t="s">
        <v>9</v>
      </c>
      <c r="L1342" t="s">
        <v>1168</v>
      </c>
      <c r="M1342" t="s">
        <v>10</v>
      </c>
      <c r="N1342" t="s">
        <v>537</v>
      </c>
      <c r="O1342" t="s">
        <v>3152</v>
      </c>
      <c r="P1342" t="s">
        <v>2661</v>
      </c>
      <c r="Q1342" t="s">
        <v>3647</v>
      </c>
      <c r="R1342" t="s">
        <v>3648</v>
      </c>
      <c r="S1342">
        <v>6906405.0534532396</v>
      </c>
      <c r="T1342">
        <v>41</v>
      </c>
      <c r="W1342" t="s">
        <v>3649</v>
      </c>
    </row>
    <row r="1343" spans="1:27" x14ac:dyDescent="0.25">
      <c r="A1343">
        <v>1341</v>
      </c>
      <c r="B1343" t="s">
        <v>3650</v>
      </c>
      <c r="C1343" s="4" t="s">
        <v>3646</v>
      </c>
      <c r="D1343" s="4">
        <v>14439000</v>
      </c>
      <c r="E1343" t="s">
        <v>11</v>
      </c>
      <c r="F1343" s="1">
        <v>47514</v>
      </c>
      <c r="G1343">
        <v>8</v>
      </c>
      <c r="H1343" t="s">
        <v>34</v>
      </c>
      <c r="L1343" t="s">
        <v>1168</v>
      </c>
      <c r="M1343" t="s">
        <v>10</v>
      </c>
      <c r="N1343" t="s">
        <v>537</v>
      </c>
      <c r="O1343" t="s">
        <v>3152</v>
      </c>
      <c r="P1343" t="s">
        <v>2661</v>
      </c>
      <c r="Q1343" t="s">
        <v>3647</v>
      </c>
      <c r="R1343" t="s">
        <v>3651</v>
      </c>
      <c r="S1343">
        <v>-9997</v>
      </c>
      <c r="U1343" t="s">
        <v>1169</v>
      </c>
      <c r="W1343" t="s">
        <v>3649</v>
      </c>
    </row>
    <row r="1344" spans="1:27" x14ac:dyDescent="0.25">
      <c r="A1344">
        <v>1342</v>
      </c>
      <c r="B1344" t="s">
        <v>3652</v>
      </c>
      <c r="C1344" s="4" t="s">
        <v>3646</v>
      </c>
      <c r="D1344" s="4">
        <v>420000000</v>
      </c>
      <c r="E1344" t="s">
        <v>11</v>
      </c>
      <c r="F1344" s="1">
        <v>47938</v>
      </c>
      <c r="G1344">
        <v>10</v>
      </c>
      <c r="H1344" t="s">
        <v>9</v>
      </c>
      <c r="L1344" t="s">
        <v>1168</v>
      </c>
      <c r="M1344" t="s">
        <v>10</v>
      </c>
      <c r="N1344" t="s">
        <v>537</v>
      </c>
      <c r="O1344" t="s">
        <v>3152</v>
      </c>
      <c r="P1344" t="s">
        <v>2661</v>
      </c>
      <c r="Q1344" t="s">
        <v>3647</v>
      </c>
      <c r="R1344" t="s">
        <v>3653</v>
      </c>
      <c r="S1344">
        <v>16015386.9475473</v>
      </c>
      <c r="T1344">
        <v>36</v>
      </c>
      <c r="U1344" t="s">
        <v>1170</v>
      </c>
      <c r="W1344" t="s">
        <v>3649</v>
      </c>
    </row>
    <row r="1345" spans="1:23" x14ac:dyDescent="0.25">
      <c r="A1345">
        <v>1343</v>
      </c>
      <c r="B1345" t="s">
        <v>3654</v>
      </c>
      <c r="C1345" s="4" t="s">
        <v>3646</v>
      </c>
      <c r="D1345" s="4">
        <v>100000000</v>
      </c>
      <c r="E1345" t="s">
        <v>11</v>
      </c>
      <c r="F1345" s="1">
        <v>46416</v>
      </c>
      <c r="G1345">
        <v>7.2439</v>
      </c>
      <c r="H1345" t="s">
        <v>13</v>
      </c>
      <c r="I1345" t="s">
        <v>2631</v>
      </c>
      <c r="J1345">
        <v>350</v>
      </c>
      <c r="L1345" t="s">
        <v>1168</v>
      </c>
      <c r="M1345" t="s">
        <v>10</v>
      </c>
      <c r="N1345" t="s">
        <v>537</v>
      </c>
      <c r="O1345" t="s">
        <v>3152</v>
      </c>
      <c r="P1345" t="s">
        <v>2661</v>
      </c>
      <c r="Q1345" t="s">
        <v>3647</v>
      </c>
      <c r="R1345" t="s">
        <v>3655</v>
      </c>
      <c r="S1345">
        <v>5000000</v>
      </c>
      <c r="T1345">
        <v>4</v>
      </c>
      <c r="V1345" t="s">
        <v>227</v>
      </c>
      <c r="W1345" t="s">
        <v>3649</v>
      </c>
    </row>
    <row r="1346" spans="1:23" x14ac:dyDescent="0.25">
      <c r="A1346">
        <v>1344</v>
      </c>
      <c r="B1346" t="s">
        <v>3656</v>
      </c>
      <c r="C1346" s="4" t="s">
        <v>3646</v>
      </c>
      <c r="D1346" s="4">
        <v>325000000</v>
      </c>
      <c r="E1346" t="s">
        <v>11</v>
      </c>
      <c r="F1346" s="1">
        <v>46416</v>
      </c>
      <c r="G1346">
        <v>7.2439</v>
      </c>
      <c r="H1346" t="s">
        <v>13</v>
      </c>
      <c r="I1346" t="s">
        <v>2631</v>
      </c>
      <c r="J1346">
        <v>350</v>
      </c>
      <c r="L1346" t="s">
        <v>1168</v>
      </c>
      <c r="M1346" t="s">
        <v>10</v>
      </c>
      <c r="N1346" t="s">
        <v>537</v>
      </c>
      <c r="O1346" t="s">
        <v>3152</v>
      </c>
      <c r="P1346" t="s">
        <v>2661</v>
      </c>
      <c r="Q1346" t="s">
        <v>3647</v>
      </c>
      <c r="R1346" t="s">
        <v>3657</v>
      </c>
      <c r="V1346" t="s">
        <v>226</v>
      </c>
      <c r="W1346" t="s">
        <v>3649</v>
      </c>
    </row>
    <row r="1347" spans="1:23" x14ac:dyDescent="0.25">
      <c r="A1347">
        <v>1345</v>
      </c>
      <c r="B1347" t="s">
        <v>2596</v>
      </c>
      <c r="C1347" s="4" t="s">
        <v>2597</v>
      </c>
      <c r="D1347" s="4">
        <v>402500000</v>
      </c>
      <c r="E1347" t="s">
        <v>17</v>
      </c>
      <c r="F1347" s="1">
        <v>47453</v>
      </c>
      <c r="G1347">
        <v>3.5</v>
      </c>
      <c r="H1347" t="s">
        <v>9</v>
      </c>
      <c r="L1347" t="s">
        <v>1168</v>
      </c>
      <c r="M1347" t="s">
        <v>10</v>
      </c>
      <c r="N1347" t="s">
        <v>15</v>
      </c>
      <c r="O1347" t="s">
        <v>3110</v>
      </c>
      <c r="P1347" t="s">
        <v>2637</v>
      </c>
      <c r="Q1347" t="s">
        <v>3111</v>
      </c>
      <c r="R1347" t="s">
        <v>2598</v>
      </c>
      <c r="S1347">
        <v>4210421.5102589801</v>
      </c>
      <c r="T1347">
        <v>17</v>
      </c>
      <c r="W1347" t="s">
        <v>2599</v>
      </c>
    </row>
    <row r="1348" spans="1:23" x14ac:dyDescent="0.25">
      <c r="A1348">
        <v>1346</v>
      </c>
      <c r="B1348" t="s">
        <v>2600</v>
      </c>
      <c r="C1348" s="4" t="s">
        <v>2597</v>
      </c>
      <c r="D1348" s="4">
        <v>166750000</v>
      </c>
      <c r="E1348" t="s">
        <v>17</v>
      </c>
      <c r="F1348" s="1">
        <v>48075</v>
      </c>
      <c r="G1348">
        <v>4.5</v>
      </c>
      <c r="H1348" t="s">
        <v>9</v>
      </c>
      <c r="L1348" t="s">
        <v>1168</v>
      </c>
      <c r="M1348" t="s">
        <v>10</v>
      </c>
      <c r="N1348" t="s">
        <v>15</v>
      </c>
      <c r="O1348" t="s">
        <v>3110</v>
      </c>
      <c r="P1348" t="s">
        <v>2637</v>
      </c>
      <c r="Q1348" t="s">
        <v>3111</v>
      </c>
      <c r="R1348" t="s">
        <v>2601</v>
      </c>
      <c r="S1348">
        <v>1988931.8563870699</v>
      </c>
      <c r="T1348">
        <v>11</v>
      </c>
      <c r="W1348" t="s">
        <v>2599</v>
      </c>
    </row>
    <row r="1349" spans="1:23" x14ac:dyDescent="0.25">
      <c r="A1349">
        <v>1347</v>
      </c>
      <c r="B1349" t="s">
        <v>2602</v>
      </c>
      <c r="C1349" s="4" t="s">
        <v>2597</v>
      </c>
      <c r="D1349" s="4">
        <v>175000000</v>
      </c>
      <c r="E1349" t="s">
        <v>33</v>
      </c>
      <c r="F1349" s="1">
        <v>47458</v>
      </c>
      <c r="G1349">
        <v>9.8173999999999992</v>
      </c>
      <c r="H1349" t="s">
        <v>13</v>
      </c>
      <c r="I1349" t="s">
        <v>2631</v>
      </c>
      <c r="J1349">
        <v>600</v>
      </c>
      <c r="L1349" t="s">
        <v>1168</v>
      </c>
      <c r="M1349" t="s">
        <v>10</v>
      </c>
      <c r="N1349" t="s">
        <v>14</v>
      </c>
      <c r="O1349" t="s">
        <v>3274</v>
      </c>
      <c r="P1349" t="s">
        <v>2650</v>
      </c>
      <c r="Q1349" t="s">
        <v>3147</v>
      </c>
      <c r="R1349" t="s">
        <v>2603</v>
      </c>
      <c r="S1349">
        <v>2889866.4317568499</v>
      </c>
      <c r="T1349">
        <v>6</v>
      </c>
      <c r="V1349" t="s">
        <v>227</v>
      </c>
      <c r="W1349" t="s">
        <v>2599</v>
      </c>
    </row>
    <row r="1350" spans="1:23" x14ac:dyDescent="0.25">
      <c r="A1350">
        <v>1348</v>
      </c>
      <c r="B1350" t="s">
        <v>2604</v>
      </c>
      <c r="C1350" s="4" t="s">
        <v>2597</v>
      </c>
      <c r="D1350" s="4">
        <v>75000000</v>
      </c>
      <c r="E1350" t="s">
        <v>11</v>
      </c>
      <c r="F1350" s="1">
        <v>47458</v>
      </c>
      <c r="G1350">
        <v>9.3140999999999998</v>
      </c>
      <c r="H1350" t="s">
        <v>13</v>
      </c>
      <c r="I1350" t="s">
        <v>2631</v>
      </c>
      <c r="J1350">
        <v>550</v>
      </c>
      <c r="L1350" t="s">
        <v>1168</v>
      </c>
      <c r="M1350" t="s">
        <v>10</v>
      </c>
      <c r="N1350" t="s">
        <v>14</v>
      </c>
      <c r="O1350" t="s">
        <v>3274</v>
      </c>
      <c r="P1350" t="s">
        <v>2650</v>
      </c>
      <c r="Q1350" t="s">
        <v>3147</v>
      </c>
      <c r="R1350" t="s">
        <v>2605</v>
      </c>
      <c r="S1350">
        <v>2546507.9517583</v>
      </c>
      <c r="T1350">
        <v>7</v>
      </c>
      <c r="V1350" t="s">
        <v>327</v>
      </c>
      <c r="W1350" t="s">
        <v>2599</v>
      </c>
    </row>
    <row r="1351" spans="1:23" x14ac:dyDescent="0.25">
      <c r="A1351">
        <v>1349</v>
      </c>
      <c r="B1351" t="s">
        <v>2606</v>
      </c>
      <c r="C1351" s="4" t="s">
        <v>2597</v>
      </c>
      <c r="D1351" s="4">
        <v>42200000</v>
      </c>
      <c r="E1351" t="s">
        <v>11</v>
      </c>
      <c r="F1351" s="1">
        <v>47458</v>
      </c>
      <c r="G1351">
        <v>9.3140999999999998</v>
      </c>
      <c r="H1351" t="s">
        <v>13</v>
      </c>
      <c r="I1351" t="s">
        <v>2631</v>
      </c>
      <c r="J1351">
        <v>550</v>
      </c>
      <c r="L1351" t="s">
        <v>1168</v>
      </c>
      <c r="M1351" t="s">
        <v>10</v>
      </c>
      <c r="N1351" t="s">
        <v>14</v>
      </c>
      <c r="O1351" t="s">
        <v>3274</v>
      </c>
      <c r="P1351" t="s">
        <v>2650</v>
      </c>
      <c r="Q1351" t="s">
        <v>3147</v>
      </c>
      <c r="R1351" t="s">
        <v>2607</v>
      </c>
      <c r="V1351" t="s">
        <v>327</v>
      </c>
      <c r="W1351" t="s">
        <v>2599</v>
      </c>
    </row>
    <row r="1352" spans="1:23" x14ac:dyDescent="0.25">
      <c r="A1352">
        <v>1350</v>
      </c>
      <c r="B1352" t="s">
        <v>2608</v>
      </c>
      <c r="C1352" s="4" t="s">
        <v>2597</v>
      </c>
      <c r="D1352" s="4">
        <v>72500000</v>
      </c>
      <c r="E1352" t="s">
        <v>11</v>
      </c>
      <c r="F1352" s="1">
        <v>47458</v>
      </c>
      <c r="G1352">
        <v>7.8132000000000001</v>
      </c>
      <c r="H1352" t="s">
        <v>13</v>
      </c>
      <c r="I1352" t="s">
        <v>2635</v>
      </c>
      <c r="J1352">
        <v>400</v>
      </c>
      <c r="L1352" t="s">
        <v>1168</v>
      </c>
      <c r="M1352" t="s">
        <v>10</v>
      </c>
      <c r="N1352" t="s">
        <v>14</v>
      </c>
      <c r="O1352" t="s">
        <v>3274</v>
      </c>
      <c r="P1352" t="s">
        <v>2650</v>
      </c>
      <c r="Q1352" t="s">
        <v>3147</v>
      </c>
      <c r="R1352" t="s">
        <v>2609</v>
      </c>
      <c r="V1352" t="s">
        <v>945</v>
      </c>
      <c r="W1352" t="s">
        <v>2599</v>
      </c>
    </row>
    <row r="1353" spans="1:23" x14ac:dyDescent="0.25">
      <c r="A1353">
        <v>1351</v>
      </c>
      <c r="B1353" t="s">
        <v>2709</v>
      </c>
      <c r="C1353" s="4" t="s">
        <v>2710</v>
      </c>
      <c r="D1353" s="4">
        <v>400000000</v>
      </c>
      <c r="E1353" t="s">
        <v>17</v>
      </c>
      <c r="F1353" s="1">
        <v>46980</v>
      </c>
      <c r="G1353">
        <v>3.875</v>
      </c>
      <c r="H1353" t="s">
        <v>9</v>
      </c>
      <c r="L1353" t="s">
        <v>1168</v>
      </c>
      <c r="M1353" t="s">
        <v>10</v>
      </c>
      <c r="N1353" t="s">
        <v>16</v>
      </c>
      <c r="O1353" t="s">
        <v>3222</v>
      </c>
      <c r="P1353" t="s">
        <v>2632</v>
      </c>
      <c r="Q1353" t="s">
        <v>3223</v>
      </c>
      <c r="R1353" t="s">
        <v>2711</v>
      </c>
      <c r="S1353">
        <v>6304788.7178910002</v>
      </c>
      <c r="T1353">
        <v>22</v>
      </c>
      <c r="U1353" t="s">
        <v>1169</v>
      </c>
      <c r="W1353" t="s">
        <v>2712</v>
      </c>
    </row>
    <row r="1354" spans="1:23" x14ac:dyDescent="0.25">
      <c r="A1354">
        <v>1352</v>
      </c>
      <c r="B1354" t="s">
        <v>2317</v>
      </c>
      <c r="C1354" s="4" t="s">
        <v>2318</v>
      </c>
      <c r="D1354" s="4">
        <v>350000000</v>
      </c>
      <c r="E1354" t="s">
        <v>17</v>
      </c>
      <c r="F1354" s="1">
        <v>48458</v>
      </c>
      <c r="G1354">
        <v>7</v>
      </c>
      <c r="H1354" t="s">
        <v>9</v>
      </c>
      <c r="L1354" t="s">
        <v>1168</v>
      </c>
      <c r="M1354" t="s">
        <v>10</v>
      </c>
      <c r="N1354" t="s">
        <v>36</v>
      </c>
      <c r="O1354" t="s">
        <v>3154</v>
      </c>
      <c r="P1354" t="s">
        <v>2645</v>
      </c>
      <c r="Q1354" t="s">
        <v>3151</v>
      </c>
      <c r="R1354" t="s">
        <v>2319</v>
      </c>
      <c r="S1354">
        <v>7792431.8921243995</v>
      </c>
      <c r="T1354">
        <v>9</v>
      </c>
      <c r="U1354" t="s">
        <v>1169</v>
      </c>
      <c r="W1354" t="s">
        <v>2320</v>
      </c>
    </row>
    <row r="1355" spans="1:23" x14ac:dyDescent="0.25">
      <c r="A1355">
        <v>1353</v>
      </c>
      <c r="B1355" t="s">
        <v>2321</v>
      </c>
      <c r="C1355" s="4" t="s">
        <v>2318</v>
      </c>
      <c r="D1355" s="4">
        <v>400000000</v>
      </c>
      <c r="E1355" t="s">
        <v>17</v>
      </c>
      <c r="F1355" s="1">
        <v>46736</v>
      </c>
      <c r="G1355">
        <v>4.875</v>
      </c>
      <c r="H1355" t="s">
        <v>9</v>
      </c>
      <c r="L1355" t="s">
        <v>1168</v>
      </c>
      <c r="M1355" t="s">
        <v>10</v>
      </c>
      <c r="N1355" t="s">
        <v>36</v>
      </c>
      <c r="O1355" t="s">
        <v>3154</v>
      </c>
      <c r="P1355" t="s">
        <v>2645</v>
      </c>
      <c r="Q1355" t="s">
        <v>3151</v>
      </c>
      <c r="R1355" t="s">
        <v>2322</v>
      </c>
      <c r="S1355">
        <v>12216481.085718499</v>
      </c>
      <c r="T1355">
        <v>19</v>
      </c>
      <c r="U1355" t="s">
        <v>1169</v>
      </c>
      <c r="W1355" t="s">
        <v>2320</v>
      </c>
    </row>
    <row r="1356" spans="1:23" x14ac:dyDescent="0.25">
      <c r="A1356">
        <v>1354</v>
      </c>
      <c r="B1356" t="s">
        <v>2323</v>
      </c>
      <c r="C1356" s="4" t="s">
        <v>2318</v>
      </c>
      <c r="D1356" s="4">
        <v>372843750</v>
      </c>
      <c r="E1356" t="s">
        <v>11</v>
      </c>
      <c r="F1356" s="1">
        <v>46962</v>
      </c>
      <c r="G1356">
        <v>5.7938999999999998</v>
      </c>
      <c r="H1356" t="s">
        <v>13</v>
      </c>
      <c r="I1356" t="s">
        <v>2631</v>
      </c>
      <c r="J1356">
        <v>200</v>
      </c>
      <c r="L1356" t="s">
        <v>1168</v>
      </c>
      <c r="M1356" t="s">
        <v>10</v>
      </c>
      <c r="N1356" t="s">
        <v>36</v>
      </c>
      <c r="O1356" t="s">
        <v>3154</v>
      </c>
      <c r="P1356" t="s">
        <v>2645</v>
      </c>
      <c r="Q1356" t="s">
        <v>3151</v>
      </c>
      <c r="R1356" t="s">
        <v>2324</v>
      </c>
      <c r="S1356">
        <v>2000000</v>
      </c>
      <c r="T1356">
        <v>13</v>
      </c>
      <c r="V1356" t="s">
        <v>227</v>
      </c>
      <c r="W1356" t="s">
        <v>2320</v>
      </c>
    </row>
    <row r="1357" spans="1:23" x14ac:dyDescent="0.25">
      <c r="A1357">
        <v>1355</v>
      </c>
      <c r="B1357" t="s">
        <v>2325</v>
      </c>
      <c r="C1357" s="4" t="s">
        <v>2318</v>
      </c>
      <c r="D1357" s="4">
        <v>40000000</v>
      </c>
      <c r="E1357" t="s">
        <v>11</v>
      </c>
      <c r="F1357" s="1">
        <v>46839</v>
      </c>
      <c r="G1357">
        <v>4.9939</v>
      </c>
      <c r="H1357" t="s">
        <v>13</v>
      </c>
      <c r="I1357" t="s">
        <v>2631</v>
      </c>
      <c r="J1357">
        <v>125</v>
      </c>
      <c r="L1357" t="s">
        <v>1168</v>
      </c>
      <c r="M1357" t="s">
        <v>10</v>
      </c>
      <c r="N1357" t="s">
        <v>36</v>
      </c>
      <c r="O1357" t="s">
        <v>3154</v>
      </c>
      <c r="P1357" t="s">
        <v>2645</v>
      </c>
      <c r="Q1357" t="s">
        <v>3151</v>
      </c>
      <c r="R1357" t="s">
        <v>2326</v>
      </c>
      <c r="V1357" t="s">
        <v>945</v>
      </c>
      <c r="W1357" t="s">
        <v>2320</v>
      </c>
    </row>
    <row r="1358" spans="1:23" x14ac:dyDescent="0.25">
      <c r="A1358">
        <v>1356</v>
      </c>
      <c r="B1358" t="s">
        <v>2382</v>
      </c>
      <c r="C1358" s="4" t="s">
        <v>2383</v>
      </c>
      <c r="D1358" s="4">
        <v>250000000</v>
      </c>
      <c r="E1358" t="s">
        <v>17</v>
      </c>
      <c r="F1358" s="1">
        <v>47423</v>
      </c>
      <c r="G1358">
        <v>12.25</v>
      </c>
      <c r="H1358" t="s">
        <v>9</v>
      </c>
      <c r="L1358" t="s">
        <v>1168</v>
      </c>
      <c r="M1358" t="s">
        <v>10</v>
      </c>
      <c r="N1358" t="s">
        <v>537</v>
      </c>
      <c r="O1358" t="s">
        <v>3160</v>
      </c>
      <c r="P1358" t="s">
        <v>2664</v>
      </c>
      <c r="Q1358" t="s">
        <v>3276</v>
      </c>
      <c r="R1358" t="s">
        <v>2384</v>
      </c>
      <c r="S1358">
        <v>2081408.0643963399</v>
      </c>
      <c r="T1358">
        <v>23</v>
      </c>
      <c r="U1358" t="s">
        <v>1169</v>
      </c>
      <c r="W1358" t="s">
        <v>2385</v>
      </c>
    </row>
    <row r="1359" spans="1:23" x14ac:dyDescent="0.25">
      <c r="A1359">
        <v>1357</v>
      </c>
      <c r="B1359" t="s">
        <v>2386</v>
      </c>
      <c r="C1359" s="4" t="s">
        <v>2383</v>
      </c>
      <c r="D1359" s="4">
        <v>400000000</v>
      </c>
      <c r="E1359" t="s">
        <v>17</v>
      </c>
      <c r="F1359" s="1">
        <v>47423</v>
      </c>
      <c r="G1359">
        <v>6.375</v>
      </c>
      <c r="H1359" t="s">
        <v>9</v>
      </c>
      <c r="L1359" t="s">
        <v>1168</v>
      </c>
      <c r="M1359" t="s">
        <v>10</v>
      </c>
      <c r="N1359" t="s">
        <v>537</v>
      </c>
      <c r="O1359" t="s">
        <v>3160</v>
      </c>
      <c r="P1359" t="s">
        <v>2664</v>
      </c>
      <c r="Q1359" t="s">
        <v>3276</v>
      </c>
      <c r="R1359" t="s">
        <v>2387</v>
      </c>
      <c r="S1359">
        <v>5848911.11049682</v>
      </c>
      <c r="T1359">
        <v>23</v>
      </c>
      <c r="U1359" t="s">
        <v>1169</v>
      </c>
      <c r="W1359" t="s">
        <v>2385</v>
      </c>
    </row>
    <row r="1360" spans="1:23" x14ac:dyDescent="0.25">
      <c r="A1360">
        <v>1358</v>
      </c>
      <c r="B1360" t="s">
        <v>2610</v>
      </c>
      <c r="C1360" s="4" t="s">
        <v>2611</v>
      </c>
      <c r="D1360" s="4">
        <v>400000000</v>
      </c>
      <c r="E1360" t="s">
        <v>17</v>
      </c>
      <c r="F1360" s="1">
        <v>47102</v>
      </c>
      <c r="G1360">
        <v>10</v>
      </c>
      <c r="H1360" t="s">
        <v>9</v>
      </c>
      <c r="L1360" t="s">
        <v>1168</v>
      </c>
      <c r="M1360" t="s">
        <v>10</v>
      </c>
      <c r="N1360" t="s">
        <v>460</v>
      </c>
      <c r="O1360" t="s">
        <v>3137</v>
      </c>
      <c r="P1360" t="s">
        <v>2660</v>
      </c>
      <c r="Q1360" t="s">
        <v>3138</v>
      </c>
      <c r="R1360" t="s">
        <v>2612</v>
      </c>
      <c r="S1360">
        <v>2945436.3762645698</v>
      </c>
      <c r="T1360">
        <v>20</v>
      </c>
      <c r="U1360" t="s">
        <v>1169</v>
      </c>
      <c r="W1360" t="s">
        <v>2613</v>
      </c>
    </row>
    <row r="1361" spans="1:23" x14ac:dyDescent="0.25">
      <c r="A1361">
        <v>1359</v>
      </c>
      <c r="B1361" t="s">
        <v>2614</v>
      </c>
      <c r="C1361" s="4" t="s">
        <v>2611</v>
      </c>
      <c r="D1361" s="4">
        <v>30000000</v>
      </c>
      <c r="E1361" t="s">
        <v>11</v>
      </c>
      <c r="F1361" s="1">
        <v>46574</v>
      </c>
      <c r="H1361" t="s">
        <v>13</v>
      </c>
      <c r="L1361" t="s">
        <v>1168</v>
      </c>
      <c r="M1361" t="s">
        <v>10</v>
      </c>
      <c r="N1361" t="s">
        <v>460</v>
      </c>
      <c r="O1361" t="s">
        <v>3137</v>
      </c>
      <c r="P1361" t="s">
        <v>2660</v>
      </c>
      <c r="Q1361" t="s">
        <v>3138</v>
      </c>
      <c r="R1361" t="s">
        <v>2615</v>
      </c>
      <c r="V1361" t="s">
        <v>945</v>
      </c>
      <c r="W1361" t="s">
        <v>2613</v>
      </c>
    </row>
    <row r="1362" spans="1:23" x14ac:dyDescent="0.25">
      <c r="A1362">
        <v>1360</v>
      </c>
      <c r="B1362" t="s">
        <v>2616</v>
      </c>
      <c r="C1362" s="4" t="s">
        <v>2611</v>
      </c>
      <c r="D1362" s="4">
        <v>1440000000</v>
      </c>
      <c r="E1362" t="s">
        <v>11</v>
      </c>
      <c r="F1362" s="1">
        <v>46932</v>
      </c>
      <c r="G1362">
        <v>8.5124999999999993</v>
      </c>
      <c r="H1362" t="s">
        <v>13</v>
      </c>
      <c r="I1362" t="s">
        <v>2635</v>
      </c>
      <c r="J1362">
        <v>475</v>
      </c>
      <c r="L1362" t="s">
        <v>1168</v>
      </c>
      <c r="M1362" t="s">
        <v>10</v>
      </c>
      <c r="N1362" t="s">
        <v>460</v>
      </c>
      <c r="O1362" t="s">
        <v>3137</v>
      </c>
      <c r="P1362" t="s">
        <v>2660</v>
      </c>
      <c r="Q1362" t="s">
        <v>3138</v>
      </c>
      <c r="R1362" t="s">
        <v>2617</v>
      </c>
      <c r="S1362">
        <v>3000000</v>
      </c>
      <c r="T1362">
        <v>22</v>
      </c>
      <c r="V1362" t="s">
        <v>227</v>
      </c>
      <c r="W1362" t="s">
        <v>2613</v>
      </c>
    </row>
    <row r="1363" spans="1:23" x14ac:dyDescent="0.25">
      <c r="A1363">
        <v>1361</v>
      </c>
      <c r="B1363" t="s">
        <v>2618</v>
      </c>
      <c r="C1363" s="4" t="s">
        <v>2619</v>
      </c>
      <c r="D1363" s="4">
        <v>400000000</v>
      </c>
      <c r="E1363" t="s">
        <v>12</v>
      </c>
      <c r="F1363" s="1">
        <v>47976</v>
      </c>
      <c r="G1363">
        <v>9.75</v>
      </c>
      <c r="H1363" t="s">
        <v>9</v>
      </c>
      <c r="L1363" t="s">
        <v>1168</v>
      </c>
      <c r="M1363" t="s">
        <v>19</v>
      </c>
      <c r="N1363" t="s">
        <v>333</v>
      </c>
      <c r="O1363" t="s">
        <v>3210</v>
      </c>
      <c r="P1363" t="s">
        <v>2643</v>
      </c>
      <c r="Q1363" t="s">
        <v>3275</v>
      </c>
      <c r="R1363" t="s">
        <v>2620</v>
      </c>
      <c r="S1363">
        <v>18665821.894270498</v>
      </c>
      <c r="T1363">
        <v>44</v>
      </c>
      <c r="W1363" t="s">
        <v>2621</v>
      </c>
    </row>
    <row r="1364" spans="1:23" x14ac:dyDescent="0.25">
      <c r="A1364">
        <v>1362</v>
      </c>
      <c r="B1364" t="s">
        <v>2622</v>
      </c>
      <c r="C1364" s="4" t="s">
        <v>2619</v>
      </c>
      <c r="D1364" s="4">
        <v>117000000</v>
      </c>
      <c r="E1364" t="s">
        <v>17</v>
      </c>
      <c r="F1364" s="1">
        <v>46692</v>
      </c>
      <c r="H1364" t="s">
        <v>13</v>
      </c>
      <c r="L1364" t="s">
        <v>1175</v>
      </c>
      <c r="M1364" t="s">
        <v>19</v>
      </c>
      <c r="N1364" t="s">
        <v>333</v>
      </c>
      <c r="O1364" t="s">
        <v>3210</v>
      </c>
      <c r="P1364" t="s">
        <v>2643</v>
      </c>
      <c r="Q1364" t="s">
        <v>3275</v>
      </c>
      <c r="R1364" t="s">
        <v>2623</v>
      </c>
      <c r="V1364" t="s">
        <v>227</v>
      </c>
      <c r="W1364" t="s">
        <v>2621</v>
      </c>
    </row>
    <row r="1365" spans="1:23" x14ac:dyDescent="0.25">
      <c r="A1365">
        <v>1363</v>
      </c>
      <c r="B1365" t="s">
        <v>2624</v>
      </c>
      <c r="C1365" s="4" t="s">
        <v>2619</v>
      </c>
      <c r="D1365" s="4">
        <v>330800000</v>
      </c>
      <c r="E1365" t="s">
        <v>17</v>
      </c>
      <c r="F1365" s="1">
        <v>46692</v>
      </c>
      <c r="H1365" t="s">
        <v>13</v>
      </c>
      <c r="L1365" t="s">
        <v>1175</v>
      </c>
      <c r="M1365" t="s">
        <v>19</v>
      </c>
      <c r="N1365" t="s">
        <v>333</v>
      </c>
      <c r="O1365" t="s">
        <v>3210</v>
      </c>
      <c r="P1365" t="s">
        <v>2643</v>
      </c>
      <c r="Q1365" t="s">
        <v>3275</v>
      </c>
      <c r="R1365" t="s">
        <v>2623</v>
      </c>
      <c r="V1365" t="s">
        <v>227</v>
      </c>
      <c r="W1365" t="s">
        <v>2621</v>
      </c>
    </row>
    <row r="1366" spans="1:23" x14ac:dyDescent="0.25">
      <c r="A1366">
        <v>1364</v>
      </c>
      <c r="B1366" t="s">
        <v>3865</v>
      </c>
      <c r="C1366" s="4" t="s">
        <v>3866</v>
      </c>
      <c r="D1366" s="4">
        <v>172500000</v>
      </c>
      <c r="E1366" t="s">
        <v>17</v>
      </c>
      <c r="F1366" s="1">
        <v>46874</v>
      </c>
      <c r="G1366">
        <v>3</v>
      </c>
      <c r="H1366" t="s">
        <v>9</v>
      </c>
      <c r="L1366" t="s">
        <v>1168</v>
      </c>
      <c r="M1366" t="s">
        <v>10</v>
      </c>
      <c r="N1366" t="s">
        <v>15</v>
      </c>
      <c r="O1366" t="s">
        <v>3145</v>
      </c>
      <c r="P1366" t="s">
        <v>3867</v>
      </c>
      <c r="Q1366" t="s">
        <v>3868</v>
      </c>
      <c r="R1366" t="s">
        <v>3869</v>
      </c>
      <c r="S1366">
        <v>3657393.6815496399</v>
      </c>
      <c r="T1366">
        <v>16</v>
      </c>
      <c r="W1366" t="s">
        <v>3870</v>
      </c>
    </row>
    <row r="1367" spans="1:23" x14ac:dyDescent="0.25">
      <c r="A1367">
        <v>1365</v>
      </c>
      <c r="B1367" t="s">
        <v>3871</v>
      </c>
      <c r="C1367" s="4" t="s">
        <v>3866</v>
      </c>
      <c r="D1367" s="4">
        <v>360000000</v>
      </c>
      <c r="E1367" t="s">
        <v>17</v>
      </c>
      <c r="F1367" s="1">
        <v>47741</v>
      </c>
      <c r="G1367">
        <v>4.75</v>
      </c>
      <c r="H1367" t="s">
        <v>9</v>
      </c>
      <c r="L1367" t="s">
        <v>1168</v>
      </c>
      <c r="M1367" t="s">
        <v>10</v>
      </c>
      <c r="N1367" t="s">
        <v>15</v>
      </c>
      <c r="O1367" t="s">
        <v>3145</v>
      </c>
      <c r="P1367" t="s">
        <v>3867</v>
      </c>
      <c r="Q1367" t="s">
        <v>3868</v>
      </c>
      <c r="R1367" t="s">
        <v>3872</v>
      </c>
      <c r="S1367">
        <v>1911779.79932616</v>
      </c>
      <c r="T1367">
        <v>10</v>
      </c>
      <c r="W1367" t="s">
        <v>3870</v>
      </c>
    </row>
    <row r="1368" spans="1:23" x14ac:dyDescent="0.25">
      <c r="A1368">
        <v>1366</v>
      </c>
      <c r="B1368" t="s">
        <v>3873</v>
      </c>
      <c r="C1368" s="4" t="s">
        <v>3874</v>
      </c>
      <c r="D1368" s="4">
        <v>14000000000</v>
      </c>
      <c r="E1368" t="s">
        <v>12</v>
      </c>
      <c r="F1368" s="1">
        <v>49473</v>
      </c>
      <c r="G1368">
        <v>4.952</v>
      </c>
      <c r="H1368" t="s">
        <v>13</v>
      </c>
      <c r="I1368" t="s">
        <v>2636</v>
      </c>
      <c r="L1368" t="s">
        <v>1171</v>
      </c>
      <c r="M1368" t="s">
        <v>10</v>
      </c>
      <c r="N1368" t="s">
        <v>537</v>
      </c>
      <c r="O1368" t="s">
        <v>3129</v>
      </c>
      <c r="P1368" t="s">
        <v>2664</v>
      </c>
      <c r="Q1368" t="s">
        <v>3875</v>
      </c>
      <c r="R1368" t="s">
        <v>3876</v>
      </c>
      <c r="S1368">
        <v>-9997</v>
      </c>
      <c r="W1368" t="s">
        <v>3874</v>
      </c>
    </row>
    <row r="1369" spans="1:23" x14ac:dyDescent="0.25">
      <c r="A1369">
        <v>1367</v>
      </c>
      <c r="B1369" t="s">
        <v>3877</v>
      </c>
      <c r="C1369" s="4" t="s">
        <v>3878</v>
      </c>
      <c r="D1369" s="4">
        <v>410000000</v>
      </c>
      <c r="E1369" t="s">
        <v>11</v>
      </c>
      <c r="F1369" s="1">
        <v>48421</v>
      </c>
      <c r="H1369" t="s">
        <v>13</v>
      </c>
      <c r="L1369" t="s">
        <v>1171</v>
      </c>
      <c r="M1369" t="s">
        <v>3879</v>
      </c>
      <c r="N1369" t="s">
        <v>537</v>
      </c>
      <c r="O1369" t="s">
        <v>3152</v>
      </c>
      <c r="P1369" t="s">
        <v>3152</v>
      </c>
      <c r="Q1369" t="s">
        <v>3880</v>
      </c>
      <c r="R1369" t="s">
        <v>3881</v>
      </c>
      <c r="V1369" t="s">
        <v>227</v>
      </c>
      <c r="W1369" t="s">
        <v>3878</v>
      </c>
    </row>
    <row r="1370" spans="1:23" x14ac:dyDescent="0.25">
      <c r="A1370">
        <v>1368</v>
      </c>
      <c r="B1370" t="s">
        <v>3882</v>
      </c>
      <c r="C1370" s="4" t="s">
        <v>3878</v>
      </c>
      <c r="D1370" s="4">
        <v>2625000000</v>
      </c>
      <c r="E1370" t="s">
        <v>11</v>
      </c>
      <c r="F1370" s="1">
        <v>48421</v>
      </c>
      <c r="H1370" t="s">
        <v>13</v>
      </c>
      <c r="L1370" t="s">
        <v>3883</v>
      </c>
      <c r="M1370" t="s">
        <v>3879</v>
      </c>
      <c r="N1370" t="s">
        <v>537</v>
      </c>
      <c r="O1370" t="s">
        <v>3152</v>
      </c>
      <c r="P1370" t="s">
        <v>3152</v>
      </c>
      <c r="Q1370" t="s">
        <v>3880</v>
      </c>
      <c r="R1370" t="s">
        <v>3884</v>
      </c>
      <c r="V1370" t="s">
        <v>227</v>
      </c>
      <c r="W1370" t="s">
        <v>3878</v>
      </c>
    </row>
    <row r="1371" spans="1:23" x14ac:dyDescent="0.25">
      <c r="A1371">
        <v>1369</v>
      </c>
      <c r="B1371" t="s">
        <v>3885</v>
      </c>
      <c r="C1371" s="4" t="s">
        <v>3878</v>
      </c>
      <c r="D1371" s="4">
        <v>475000000</v>
      </c>
      <c r="E1371" t="s">
        <v>11</v>
      </c>
      <c r="F1371" s="1">
        <v>48421</v>
      </c>
      <c r="H1371" t="s">
        <v>13</v>
      </c>
      <c r="L1371" t="s">
        <v>3886</v>
      </c>
      <c r="M1371" t="s">
        <v>3879</v>
      </c>
      <c r="N1371" t="s">
        <v>537</v>
      </c>
      <c r="O1371" t="s">
        <v>3152</v>
      </c>
      <c r="P1371" t="s">
        <v>3152</v>
      </c>
      <c r="Q1371" t="s">
        <v>3880</v>
      </c>
      <c r="R1371" t="s">
        <v>3887</v>
      </c>
      <c r="V1371" t="s">
        <v>227</v>
      </c>
      <c r="W1371" t="s">
        <v>3878</v>
      </c>
    </row>
    <row r="1372" spans="1:23" x14ac:dyDescent="0.25">
      <c r="A1372">
        <v>1370</v>
      </c>
      <c r="B1372" t="s">
        <v>3888</v>
      </c>
      <c r="C1372" s="4" t="s">
        <v>3889</v>
      </c>
      <c r="D1372" s="4">
        <v>76000000</v>
      </c>
      <c r="E1372" t="s">
        <v>11</v>
      </c>
      <c r="F1372" s="1">
        <v>46496</v>
      </c>
      <c r="H1372" t="s">
        <v>13</v>
      </c>
      <c r="L1372" t="s">
        <v>1168</v>
      </c>
      <c r="M1372" t="s">
        <v>10</v>
      </c>
      <c r="N1372" t="s">
        <v>16</v>
      </c>
      <c r="O1372" t="s">
        <v>3108</v>
      </c>
      <c r="P1372" t="s">
        <v>2644</v>
      </c>
      <c r="Q1372" t="s">
        <v>3183</v>
      </c>
      <c r="R1372" t="s">
        <v>3890</v>
      </c>
      <c r="V1372" t="s">
        <v>227</v>
      </c>
      <c r="W1372" t="s">
        <v>3889</v>
      </c>
    </row>
    <row r="1373" spans="1:23" x14ac:dyDescent="0.25">
      <c r="A1373">
        <v>1371</v>
      </c>
      <c r="B1373" t="s">
        <v>3891</v>
      </c>
      <c r="C1373" s="4" t="s">
        <v>3892</v>
      </c>
      <c r="D1373" s="4">
        <v>219995047.09099999</v>
      </c>
      <c r="E1373" t="s">
        <v>33</v>
      </c>
      <c r="F1373" s="1">
        <v>47771</v>
      </c>
      <c r="G1373">
        <v>7</v>
      </c>
      <c r="H1373" t="s">
        <v>64</v>
      </c>
      <c r="K1373">
        <v>9.5</v>
      </c>
      <c r="L1373" t="s">
        <v>1168</v>
      </c>
      <c r="M1373" t="s">
        <v>10</v>
      </c>
      <c r="N1373" t="s">
        <v>1149</v>
      </c>
      <c r="O1373" t="s">
        <v>3206</v>
      </c>
      <c r="P1373" t="s">
        <v>2693</v>
      </c>
      <c r="Q1373" t="s">
        <v>3269</v>
      </c>
      <c r="R1373" t="s">
        <v>3893</v>
      </c>
      <c r="S1373">
        <v>4279662.30415403</v>
      </c>
      <c r="T1373">
        <v>5</v>
      </c>
      <c r="W1373" t="s">
        <v>3894</v>
      </c>
    </row>
    <row r="1374" spans="1:23" x14ac:dyDescent="0.25">
      <c r="A1374">
        <v>1372</v>
      </c>
      <c r="B1374" t="s">
        <v>3895</v>
      </c>
      <c r="C1374" s="4" t="s">
        <v>3892</v>
      </c>
      <c r="D1374" s="4">
        <v>29459000</v>
      </c>
      <c r="E1374" t="s">
        <v>17</v>
      </c>
      <c r="F1374" s="1">
        <v>46461</v>
      </c>
      <c r="G1374">
        <v>0</v>
      </c>
      <c r="H1374" t="s">
        <v>1818</v>
      </c>
      <c r="L1374" t="s">
        <v>1168</v>
      </c>
      <c r="M1374" t="s">
        <v>10</v>
      </c>
      <c r="N1374" t="s">
        <v>1149</v>
      </c>
      <c r="O1374" t="s">
        <v>3206</v>
      </c>
      <c r="P1374" t="s">
        <v>2693</v>
      </c>
      <c r="Q1374" t="s">
        <v>3269</v>
      </c>
      <c r="R1374" t="s">
        <v>3896</v>
      </c>
      <c r="S1374">
        <v>1836202.6237009501</v>
      </c>
      <c r="T1374">
        <v>4</v>
      </c>
      <c r="W1374" t="s">
        <v>3894</v>
      </c>
    </row>
    <row r="1375" spans="1:23" x14ac:dyDescent="0.25">
      <c r="A1375">
        <v>1373</v>
      </c>
      <c r="B1375" t="s">
        <v>3897</v>
      </c>
      <c r="C1375" s="4" t="s">
        <v>3892</v>
      </c>
      <c r="D1375" s="4">
        <v>107663000</v>
      </c>
      <c r="E1375" t="s">
        <v>11</v>
      </c>
      <c r="F1375" s="1">
        <v>47521</v>
      </c>
      <c r="H1375" t="s">
        <v>9</v>
      </c>
      <c r="I1375" t="s">
        <v>3898</v>
      </c>
      <c r="L1375" t="s">
        <v>1168</v>
      </c>
      <c r="M1375" t="s">
        <v>10</v>
      </c>
      <c r="N1375" t="s">
        <v>1149</v>
      </c>
      <c r="O1375" t="s">
        <v>3206</v>
      </c>
      <c r="P1375" t="s">
        <v>2693</v>
      </c>
      <c r="Q1375" t="s">
        <v>3269</v>
      </c>
      <c r="R1375" t="s">
        <v>3899</v>
      </c>
      <c r="V1375" t="s">
        <v>3840</v>
      </c>
      <c r="W1375" t="s">
        <v>3894</v>
      </c>
    </row>
  </sheetData>
  <autoFilter ref="A1:AA1329" xr:uid="{AF3004E2-EE22-4D9B-AE2D-BB4396B2D1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39CA-A0E7-4454-890E-71E32D3FEB7B}">
  <dimension ref="A1:J4123"/>
  <sheetViews>
    <sheetView workbookViewId="0"/>
  </sheetViews>
  <sheetFormatPr defaultRowHeight="15" x14ac:dyDescent="0.25"/>
  <cols>
    <col min="1" max="1" width="12.7109375" style="2" bestFit="1" customWidth="1"/>
    <col min="2" max="2" width="22" bestFit="1" customWidth="1"/>
    <col min="3" max="3" width="9.7109375" bestFit="1" customWidth="1"/>
    <col min="4" max="4" width="22" bestFit="1" customWidth="1"/>
    <col min="5" max="5" width="24.28515625" bestFit="1" customWidth="1"/>
    <col min="7" max="7" width="24.28515625" bestFit="1" customWidth="1"/>
  </cols>
  <sheetData>
    <row r="1" spans="1:10" x14ac:dyDescent="0.25">
      <c r="A1"/>
      <c r="B1" t="s">
        <v>0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79</v>
      </c>
      <c r="I1" t="s">
        <v>113</v>
      </c>
      <c r="J1" t="s">
        <v>34</v>
      </c>
    </row>
    <row r="2" spans="1:10" x14ac:dyDescent="0.25">
      <c r="A2">
        <v>0</v>
      </c>
      <c r="B2" t="s">
        <v>3323</v>
      </c>
      <c r="C2" s="1">
        <v>46220</v>
      </c>
      <c r="D2">
        <v>97.442909999999998</v>
      </c>
      <c r="E2">
        <v>691.29113917999996</v>
      </c>
      <c r="F2">
        <v>692.82401315000004</v>
      </c>
      <c r="G2">
        <v>691.29113917999996</v>
      </c>
      <c r="H2">
        <v>11.040543220905301</v>
      </c>
      <c r="J2" t="b">
        <v>0</v>
      </c>
    </row>
    <row r="3" spans="1:10" x14ac:dyDescent="0.25">
      <c r="A3">
        <v>1</v>
      </c>
      <c r="B3" t="s">
        <v>3326</v>
      </c>
      <c r="C3" s="1">
        <v>46220</v>
      </c>
      <c r="D3">
        <v>92.609369999999998</v>
      </c>
      <c r="E3">
        <v>888.71834145000003</v>
      </c>
      <c r="F3">
        <v>890.51062514</v>
      </c>
      <c r="G3">
        <v>888.71834145000003</v>
      </c>
      <c r="H3">
        <v>13.0755037389886</v>
      </c>
      <c r="J3" t="b">
        <v>0</v>
      </c>
    </row>
    <row r="4" spans="1:10" x14ac:dyDescent="0.25">
      <c r="A4">
        <v>2</v>
      </c>
      <c r="B4" t="s">
        <v>3329</v>
      </c>
      <c r="C4" s="1">
        <v>46220</v>
      </c>
      <c r="D4">
        <v>90</v>
      </c>
      <c r="F4">
        <v>558.2977214</v>
      </c>
      <c r="H4">
        <v>9.6038927494663806</v>
      </c>
      <c r="J4" t="b">
        <v>0</v>
      </c>
    </row>
    <row r="5" spans="1:10" x14ac:dyDescent="0.25">
      <c r="A5">
        <v>3</v>
      </c>
      <c r="B5" t="s">
        <v>44</v>
      </c>
      <c r="C5" s="1">
        <v>46220</v>
      </c>
      <c r="D5">
        <v>62.459694999999897</v>
      </c>
      <c r="E5">
        <v>3886.7650711900001</v>
      </c>
      <c r="F5">
        <v>3888.8498335200002</v>
      </c>
      <c r="G5">
        <v>3886.7650711900001</v>
      </c>
      <c r="H5">
        <v>43.036772805172802</v>
      </c>
      <c r="J5" t="b">
        <v>0</v>
      </c>
    </row>
    <row r="6" spans="1:10" x14ac:dyDescent="0.25">
      <c r="A6">
        <v>4</v>
      </c>
      <c r="B6" t="s">
        <v>37</v>
      </c>
      <c r="C6" s="1">
        <v>46220</v>
      </c>
      <c r="D6">
        <v>60.882154999999997</v>
      </c>
      <c r="E6">
        <v>3279.1079682899999</v>
      </c>
      <c r="F6">
        <v>3286.8151407599998</v>
      </c>
      <c r="G6">
        <v>3279.1079682899999</v>
      </c>
      <c r="H6">
        <v>36.905742130190298</v>
      </c>
      <c r="J6" t="b">
        <v>0</v>
      </c>
    </row>
    <row r="7" spans="1:10" x14ac:dyDescent="0.25">
      <c r="A7">
        <v>5</v>
      </c>
      <c r="B7" t="s">
        <v>42</v>
      </c>
      <c r="C7" s="1">
        <v>46220</v>
      </c>
      <c r="D7">
        <v>65.136979999999994</v>
      </c>
      <c r="E7">
        <v>6984.9513094599997</v>
      </c>
      <c r="F7">
        <v>6987.8644604299998</v>
      </c>
      <c r="G7">
        <v>6984.9513094599997</v>
      </c>
      <c r="H7">
        <v>75.600353039632694</v>
      </c>
      <c r="J7" t="b">
        <v>0</v>
      </c>
    </row>
    <row r="8" spans="1:10" x14ac:dyDescent="0.25">
      <c r="A8">
        <v>6</v>
      </c>
      <c r="B8" t="s">
        <v>60</v>
      </c>
      <c r="C8" s="1">
        <v>46220</v>
      </c>
      <c r="D8">
        <v>22.190424999999902</v>
      </c>
      <c r="E8">
        <v>3983.9949466799999</v>
      </c>
      <c r="F8">
        <v>3985.4290249400001</v>
      </c>
      <c r="G8">
        <v>3983.9949466799999</v>
      </c>
      <c r="H8">
        <v>44.301049944762099</v>
      </c>
      <c r="J8" t="b">
        <v>0</v>
      </c>
    </row>
    <row r="9" spans="1:10" x14ac:dyDescent="0.25">
      <c r="A9">
        <v>7</v>
      </c>
      <c r="B9" t="s">
        <v>40</v>
      </c>
      <c r="C9" s="1">
        <v>46220</v>
      </c>
      <c r="D9">
        <v>59.920870000000001</v>
      </c>
      <c r="E9">
        <v>1187.5905031699999</v>
      </c>
      <c r="F9">
        <v>1189.1958810399999</v>
      </c>
      <c r="G9">
        <v>1187.5905031699999</v>
      </c>
      <c r="H9">
        <v>16.029566978953198</v>
      </c>
      <c r="J9" t="b">
        <v>0</v>
      </c>
    </row>
    <row r="10" spans="1:10" x14ac:dyDescent="0.25">
      <c r="A10">
        <v>8</v>
      </c>
      <c r="B10" t="s">
        <v>52</v>
      </c>
      <c r="C10" s="1">
        <v>46220</v>
      </c>
      <c r="D10">
        <v>60.098224999999999</v>
      </c>
      <c r="E10">
        <v>1201.95711211</v>
      </c>
      <c r="F10">
        <v>1203.9195706200001</v>
      </c>
      <c r="G10">
        <v>1201.95711211</v>
      </c>
      <c r="H10">
        <v>16.060056593962202</v>
      </c>
      <c r="J10" t="b">
        <v>0</v>
      </c>
    </row>
    <row r="11" spans="1:10" x14ac:dyDescent="0.25">
      <c r="A11">
        <v>9</v>
      </c>
      <c r="B11" t="s">
        <v>58</v>
      </c>
      <c r="C11" s="1">
        <v>46220</v>
      </c>
      <c r="D11">
        <v>22.72391</v>
      </c>
      <c r="E11">
        <v>4582.29296325</v>
      </c>
      <c r="F11">
        <v>4584.0283266400002</v>
      </c>
      <c r="G11">
        <v>4582.29296325</v>
      </c>
      <c r="H11">
        <v>49.909501674914502</v>
      </c>
      <c r="J11" t="b">
        <v>0</v>
      </c>
    </row>
    <row r="12" spans="1:10" x14ac:dyDescent="0.25">
      <c r="A12">
        <v>10</v>
      </c>
      <c r="B12" t="s">
        <v>56</v>
      </c>
      <c r="C12" s="1">
        <v>46220</v>
      </c>
      <c r="D12">
        <v>60.047139999999999</v>
      </c>
      <c r="E12">
        <v>1361.9046110500001</v>
      </c>
      <c r="F12">
        <v>1363.6662523</v>
      </c>
      <c r="G12">
        <v>1361.9046110500001</v>
      </c>
      <c r="H12">
        <v>17.645916673296799</v>
      </c>
      <c r="J12" t="b">
        <v>0</v>
      </c>
    </row>
    <row r="13" spans="1:10" x14ac:dyDescent="0.25">
      <c r="A13">
        <v>11</v>
      </c>
      <c r="B13" t="s">
        <v>46</v>
      </c>
      <c r="C13" s="1">
        <v>46220</v>
      </c>
      <c r="D13">
        <v>22.478660000000001</v>
      </c>
      <c r="E13">
        <v>5948.1514296699997</v>
      </c>
      <c r="F13">
        <v>5950.24311072</v>
      </c>
      <c r="G13">
        <v>5948.1514296699997</v>
      </c>
      <c r="H13">
        <v>63.5965365197602</v>
      </c>
      <c r="J13" t="b">
        <v>0</v>
      </c>
    </row>
    <row r="14" spans="1:10" x14ac:dyDescent="0.25">
      <c r="A14">
        <v>12</v>
      </c>
      <c r="B14" t="s">
        <v>50</v>
      </c>
      <c r="C14" s="1">
        <v>46220</v>
      </c>
      <c r="D14">
        <v>59.756754999999998</v>
      </c>
      <c r="E14">
        <v>2637.9530709400001</v>
      </c>
      <c r="F14">
        <v>2640.7420413499999</v>
      </c>
      <c r="G14">
        <v>2637.9530709400001</v>
      </c>
      <c r="H14">
        <v>30.381442811728299</v>
      </c>
      <c r="J14" t="b">
        <v>0</v>
      </c>
    </row>
    <row r="15" spans="1:10" x14ac:dyDescent="0.25">
      <c r="A15">
        <v>13</v>
      </c>
      <c r="B15" t="s">
        <v>54</v>
      </c>
      <c r="C15" s="1">
        <v>46220</v>
      </c>
      <c r="D15">
        <v>26.537624999999998</v>
      </c>
      <c r="E15">
        <v>11024.86047019</v>
      </c>
      <c r="F15">
        <v>11027.51380529</v>
      </c>
      <c r="G15">
        <v>11024.86047019</v>
      </c>
      <c r="H15">
        <v>114.858873848988</v>
      </c>
      <c r="J15" t="b">
        <v>0</v>
      </c>
    </row>
    <row r="16" spans="1:10" x14ac:dyDescent="0.25">
      <c r="A16">
        <v>14</v>
      </c>
      <c r="B16" t="s">
        <v>120</v>
      </c>
      <c r="C16" s="1">
        <v>46220</v>
      </c>
      <c r="J16" t="b">
        <v>0</v>
      </c>
    </row>
    <row r="17" spans="1:10" x14ac:dyDescent="0.25">
      <c r="A17">
        <v>15</v>
      </c>
      <c r="B17" t="s">
        <v>48</v>
      </c>
      <c r="C17" s="1">
        <v>46220</v>
      </c>
      <c r="D17">
        <v>60.643380000000001</v>
      </c>
      <c r="E17">
        <v>3884.9891203400002</v>
      </c>
      <c r="F17">
        <v>3889.1767842899999</v>
      </c>
      <c r="G17">
        <v>3884.9891203400002</v>
      </c>
      <c r="H17">
        <v>43.112909799093501</v>
      </c>
      <c r="J17" t="b">
        <v>0</v>
      </c>
    </row>
    <row r="18" spans="1:10" x14ac:dyDescent="0.25">
      <c r="A18">
        <v>16</v>
      </c>
      <c r="B18" t="s">
        <v>122</v>
      </c>
      <c r="C18" s="1">
        <v>46220</v>
      </c>
      <c r="D18">
        <v>101.5</v>
      </c>
      <c r="J18" t="b">
        <v>0</v>
      </c>
    </row>
    <row r="19" spans="1:10" x14ac:dyDescent="0.25">
      <c r="A19">
        <v>17</v>
      </c>
      <c r="B19" t="s">
        <v>124</v>
      </c>
      <c r="C19" s="1">
        <v>46220</v>
      </c>
      <c r="D19">
        <v>98.125</v>
      </c>
      <c r="F19">
        <v>508.19064150999998</v>
      </c>
      <c r="H19">
        <v>8.4348922941107194</v>
      </c>
      <c r="J19" t="b">
        <v>0</v>
      </c>
    </row>
    <row r="20" spans="1:10" x14ac:dyDescent="0.25">
      <c r="A20">
        <v>18</v>
      </c>
      <c r="B20" t="s">
        <v>62</v>
      </c>
      <c r="C20" s="1">
        <v>46220</v>
      </c>
      <c r="D20">
        <v>68.5</v>
      </c>
      <c r="F20">
        <v>6183.2221052100003</v>
      </c>
      <c r="H20">
        <v>65.382817746999706</v>
      </c>
      <c r="J20" t="b">
        <v>0</v>
      </c>
    </row>
    <row r="21" spans="1:10" x14ac:dyDescent="0.25">
      <c r="A21">
        <v>19</v>
      </c>
      <c r="B21" t="s">
        <v>126</v>
      </c>
      <c r="C21" s="1">
        <v>46220</v>
      </c>
      <c r="D21">
        <v>65.5</v>
      </c>
      <c r="J21" t="b">
        <v>0</v>
      </c>
    </row>
    <row r="22" spans="1:10" x14ac:dyDescent="0.25">
      <c r="A22">
        <v>20</v>
      </c>
      <c r="B22" t="s">
        <v>3334</v>
      </c>
      <c r="C22" s="1">
        <v>46220</v>
      </c>
      <c r="D22">
        <v>96.731560000000002</v>
      </c>
      <c r="E22">
        <v>599.11569631999998</v>
      </c>
      <c r="F22">
        <v>601.09804307000002</v>
      </c>
      <c r="G22">
        <v>599.11569631999998</v>
      </c>
      <c r="H22">
        <v>10.274104244039201</v>
      </c>
      <c r="J22" t="b">
        <v>0</v>
      </c>
    </row>
    <row r="23" spans="1:10" x14ac:dyDescent="0.25">
      <c r="A23">
        <v>21</v>
      </c>
      <c r="B23" t="s">
        <v>3338</v>
      </c>
      <c r="C23" s="1">
        <v>46220</v>
      </c>
      <c r="D23">
        <v>94.604394999999997</v>
      </c>
      <c r="E23">
        <v>630.70113836999997</v>
      </c>
      <c r="F23">
        <v>632.76236014000006</v>
      </c>
      <c r="G23">
        <v>630.70113836999997</v>
      </c>
      <c r="H23">
        <v>10.577486605273601</v>
      </c>
      <c r="J23" t="b">
        <v>0</v>
      </c>
    </row>
    <row r="24" spans="1:10" x14ac:dyDescent="0.25">
      <c r="A24">
        <v>22</v>
      </c>
      <c r="B24" t="s">
        <v>3340</v>
      </c>
      <c r="C24" s="1">
        <v>46220</v>
      </c>
      <c r="J24" t="b">
        <v>0</v>
      </c>
    </row>
    <row r="25" spans="1:10" x14ac:dyDescent="0.25">
      <c r="A25">
        <v>23</v>
      </c>
      <c r="B25" t="s">
        <v>3342</v>
      </c>
      <c r="C25" s="1">
        <v>46220</v>
      </c>
      <c r="D25">
        <v>93.886001586914006</v>
      </c>
      <c r="E25">
        <v>661.26270181999996</v>
      </c>
      <c r="F25">
        <v>657.92346096000006</v>
      </c>
      <c r="G25">
        <v>661.26270181999996</v>
      </c>
      <c r="H25">
        <v>9.8844285959674192</v>
      </c>
      <c r="J25" t="b">
        <v>0</v>
      </c>
    </row>
    <row r="26" spans="1:10" x14ac:dyDescent="0.25">
      <c r="A26">
        <v>24</v>
      </c>
      <c r="B26" t="s">
        <v>3345</v>
      </c>
      <c r="C26" s="1">
        <v>46220</v>
      </c>
      <c r="D26">
        <v>93.382170000000002</v>
      </c>
      <c r="E26">
        <v>692.87917988000004</v>
      </c>
      <c r="F26">
        <v>694.11052486999995</v>
      </c>
      <c r="G26">
        <v>692.87917988000004</v>
      </c>
      <c r="H26">
        <v>11.209744526948199</v>
      </c>
      <c r="J26" t="b">
        <v>0</v>
      </c>
    </row>
    <row r="27" spans="1:10" x14ac:dyDescent="0.25">
      <c r="A27">
        <v>25</v>
      </c>
      <c r="B27" t="s">
        <v>3347</v>
      </c>
      <c r="C27" s="1">
        <v>46220</v>
      </c>
      <c r="D27">
        <v>90.239097595214801</v>
      </c>
      <c r="E27">
        <v>-69.305156629999999</v>
      </c>
      <c r="F27">
        <v>-67.427856439999999</v>
      </c>
      <c r="G27">
        <v>-69.305156629999999</v>
      </c>
      <c r="H27">
        <v>3.4403783119059699</v>
      </c>
      <c r="I27">
        <v>167942</v>
      </c>
      <c r="J27" t="b">
        <v>0</v>
      </c>
    </row>
    <row r="28" spans="1:10" x14ac:dyDescent="0.25">
      <c r="A28">
        <v>26</v>
      </c>
      <c r="B28" t="s">
        <v>3349</v>
      </c>
      <c r="C28" s="1">
        <v>46220</v>
      </c>
      <c r="D28">
        <v>94.908349999999999</v>
      </c>
      <c r="E28">
        <v>677.84915147000004</v>
      </c>
      <c r="F28">
        <v>679.36858231999997</v>
      </c>
      <c r="G28">
        <v>677.84915147000004</v>
      </c>
      <c r="H28">
        <v>11.0323857755213</v>
      </c>
      <c r="J28" t="b">
        <v>0</v>
      </c>
    </row>
    <row r="29" spans="1:10" x14ac:dyDescent="0.25">
      <c r="A29">
        <v>27</v>
      </c>
      <c r="B29" t="s">
        <v>3351</v>
      </c>
      <c r="C29" s="1">
        <v>46220</v>
      </c>
      <c r="D29">
        <v>96.413299560546804</v>
      </c>
      <c r="E29">
        <v>-184.06911539999999</v>
      </c>
      <c r="F29">
        <v>-182.39776638999999</v>
      </c>
      <c r="G29">
        <v>-184.06911539999999</v>
      </c>
      <c r="H29">
        <v>2.3273279109414902</v>
      </c>
      <c r="I29">
        <v>103460</v>
      </c>
      <c r="J29" t="b">
        <v>0</v>
      </c>
    </row>
    <row r="30" spans="1:10" x14ac:dyDescent="0.25">
      <c r="A30">
        <v>28</v>
      </c>
      <c r="B30" t="s">
        <v>3353</v>
      </c>
      <c r="C30" s="1">
        <v>46220</v>
      </c>
      <c r="D30">
        <v>100</v>
      </c>
      <c r="F30">
        <v>365.47025427</v>
      </c>
      <c r="H30">
        <v>7.7053187862698698</v>
      </c>
      <c r="J30" t="b">
        <v>0</v>
      </c>
    </row>
    <row r="31" spans="1:10" x14ac:dyDescent="0.25">
      <c r="A31">
        <v>29</v>
      </c>
      <c r="B31" t="s">
        <v>3355</v>
      </c>
      <c r="C31" s="1">
        <v>46220</v>
      </c>
      <c r="D31">
        <v>101</v>
      </c>
      <c r="F31">
        <v>293.70152084</v>
      </c>
      <c r="H31">
        <v>6.9894544986068698</v>
      </c>
      <c r="J31" t="b">
        <v>0</v>
      </c>
    </row>
    <row r="32" spans="1:10" x14ac:dyDescent="0.25">
      <c r="A32">
        <v>30</v>
      </c>
      <c r="B32" t="s">
        <v>3357</v>
      </c>
      <c r="C32" s="1">
        <v>46220</v>
      </c>
      <c r="D32">
        <v>101.625</v>
      </c>
      <c r="F32">
        <v>533.38801974</v>
      </c>
      <c r="H32">
        <v>9.4224407421337304</v>
      </c>
      <c r="J32" t="b">
        <v>0</v>
      </c>
    </row>
    <row r="33" spans="1:10" x14ac:dyDescent="0.25">
      <c r="A33">
        <v>31</v>
      </c>
      <c r="B33" t="s">
        <v>3358</v>
      </c>
      <c r="C33" s="1">
        <v>46220</v>
      </c>
      <c r="J33" t="b">
        <v>0</v>
      </c>
    </row>
    <row r="34" spans="1:10" x14ac:dyDescent="0.25">
      <c r="A34">
        <v>32</v>
      </c>
      <c r="B34" t="s">
        <v>3360</v>
      </c>
      <c r="C34" s="1">
        <v>46220</v>
      </c>
      <c r="J34" t="b">
        <v>0</v>
      </c>
    </row>
    <row r="35" spans="1:10" x14ac:dyDescent="0.25">
      <c r="A35">
        <v>33</v>
      </c>
      <c r="B35" t="s">
        <v>3362</v>
      </c>
      <c r="C35" s="1">
        <v>46220</v>
      </c>
      <c r="J35" t="b">
        <v>0</v>
      </c>
    </row>
    <row r="36" spans="1:10" x14ac:dyDescent="0.25">
      <c r="A36">
        <v>34</v>
      </c>
      <c r="B36" t="s">
        <v>128</v>
      </c>
      <c r="C36" s="1">
        <v>46220</v>
      </c>
      <c r="D36">
        <v>104.87569999999999</v>
      </c>
      <c r="E36">
        <v>191.75116528000001</v>
      </c>
      <c r="F36">
        <v>193.75003325</v>
      </c>
      <c r="G36">
        <v>191.75116528000001</v>
      </c>
      <c r="H36">
        <v>5.9608295546705703</v>
      </c>
      <c r="J36" t="b">
        <v>0</v>
      </c>
    </row>
    <row r="37" spans="1:10" x14ac:dyDescent="0.25">
      <c r="A37">
        <v>35</v>
      </c>
      <c r="B37" t="s">
        <v>118</v>
      </c>
      <c r="C37" s="1">
        <v>46220</v>
      </c>
      <c r="D37">
        <v>68.5</v>
      </c>
      <c r="F37">
        <v>2602.6868096600001</v>
      </c>
      <c r="H37">
        <v>30.0230557286196</v>
      </c>
      <c r="J37" t="b">
        <v>0</v>
      </c>
    </row>
    <row r="38" spans="1:10" x14ac:dyDescent="0.25">
      <c r="A38">
        <v>36</v>
      </c>
      <c r="B38" t="s">
        <v>130</v>
      </c>
      <c r="C38" s="1">
        <v>46220</v>
      </c>
      <c r="D38">
        <v>68</v>
      </c>
      <c r="J38" t="b">
        <v>0</v>
      </c>
    </row>
    <row r="39" spans="1:10" x14ac:dyDescent="0.25">
      <c r="A39">
        <v>37</v>
      </c>
      <c r="B39" t="s">
        <v>114</v>
      </c>
      <c r="C39" s="1">
        <v>46220</v>
      </c>
      <c r="D39">
        <v>91.25</v>
      </c>
      <c r="F39">
        <v>1020.49030604</v>
      </c>
      <c r="H39">
        <v>14.163107667256901</v>
      </c>
      <c r="J39" t="b">
        <v>0</v>
      </c>
    </row>
    <row r="40" spans="1:10" x14ac:dyDescent="0.25">
      <c r="A40">
        <v>38</v>
      </c>
      <c r="B40" t="s">
        <v>91</v>
      </c>
      <c r="C40" s="1">
        <v>46220</v>
      </c>
      <c r="D40">
        <v>84.841470000000001</v>
      </c>
      <c r="E40">
        <v>878.78645647999997</v>
      </c>
      <c r="F40">
        <v>881.13680735000003</v>
      </c>
      <c r="G40">
        <v>878.78645647999997</v>
      </c>
      <c r="H40">
        <v>12.849281328201901</v>
      </c>
      <c r="J40" t="b">
        <v>0</v>
      </c>
    </row>
    <row r="41" spans="1:10" x14ac:dyDescent="0.25">
      <c r="A41">
        <v>39</v>
      </c>
      <c r="B41" t="s">
        <v>95</v>
      </c>
      <c r="C41" s="1">
        <v>46220</v>
      </c>
      <c r="D41">
        <v>90.75</v>
      </c>
      <c r="F41">
        <v>698.87270984999998</v>
      </c>
      <c r="H41">
        <v>10.889536851917301</v>
      </c>
      <c r="J41" t="b">
        <v>0</v>
      </c>
    </row>
    <row r="42" spans="1:10" x14ac:dyDescent="0.25">
      <c r="A42">
        <v>40</v>
      </c>
      <c r="B42" t="s">
        <v>174</v>
      </c>
      <c r="C42" s="1">
        <v>46220</v>
      </c>
      <c r="D42">
        <v>92.5</v>
      </c>
      <c r="F42">
        <v>662.50530261999995</v>
      </c>
      <c r="H42">
        <v>9.6141594491554798</v>
      </c>
      <c r="J42" t="b">
        <v>0</v>
      </c>
    </row>
    <row r="43" spans="1:10" x14ac:dyDescent="0.25">
      <c r="A43">
        <v>41</v>
      </c>
      <c r="B43" t="s">
        <v>228</v>
      </c>
      <c r="C43" s="1">
        <v>46220</v>
      </c>
      <c r="D43">
        <v>97.998589999999993</v>
      </c>
      <c r="E43">
        <v>570.20765122</v>
      </c>
      <c r="F43">
        <v>572.36666154</v>
      </c>
      <c r="G43">
        <v>570.20765122</v>
      </c>
      <c r="H43">
        <v>9.7562197376614694</v>
      </c>
      <c r="J43" t="b">
        <v>0</v>
      </c>
    </row>
    <row r="44" spans="1:10" x14ac:dyDescent="0.25">
      <c r="A44">
        <v>42</v>
      </c>
      <c r="B44" t="s">
        <v>232</v>
      </c>
      <c r="C44" s="1">
        <v>46220</v>
      </c>
      <c r="D44">
        <v>95.012104999999906</v>
      </c>
      <c r="E44">
        <v>529.47505679000005</v>
      </c>
      <c r="F44">
        <v>530.82048955000005</v>
      </c>
      <c r="G44">
        <v>529.47505679000005</v>
      </c>
      <c r="H44">
        <v>9.3783946167592394</v>
      </c>
      <c r="J44" t="b">
        <v>0</v>
      </c>
    </row>
    <row r="45" spans="1:10" x14ac:dyDescent="0.25">
      <c r="A45">
        <v>43</v>
      </c>
      <c r="B45" t="s">
        <v>234</v>
      </c>
      <c r="C45" s="1">
        <v>46220</v>
      </c>
      <c r="D45">
        <v>86.827870000000004</v>
      </c>
      <c r="E45">
        <v>509.70622499000001</v>
      </c>
      <c r="F45">
        <v>510.82889505000003</v>
      </c>
      <c r="G45">
        <v>509.70622499000001</v>
      </c>
      <c r="H45">
        <v>9.2195429170028795</v>
      </c>
      <c r="J45" t="b">
        <v>0</v>
      </c>
    </row>
    <row r="46" spans="1:10" x14ac:dyDescent="0.25">
      <c r="A46">
        <v>44</v>
      </c>
      <c r="B46" t="s">
        <v>236</v>
      </c>
      <c r="C46" s="1">
        <v>46220</v>
      </c>
      <c r="J46" t="b">
        <v>0</v>
      </c>
    </row>
    <row r="47" spans="1:10" x14ac:dyDescent="0.25">
      <c r="A47">
        <v>45</v>
      </c>
      <c r="B47" t="s">
        <v>238</v>
      </c>
      <c r="C47" s="1">
        <v>46220</v>
      </c>
      <c r="D47">
        <v>97.836039999999997</v>
      </c>
      <c r="E47">
        <v>335.35795202000003</v>
      </c>
      <c r="F47">
        <v>337.73448710000002</v>
      </c>
      <c r="G47">
        <v>335.35795202000003</v>
      </c>
      <c r="H47">
        <v>7.4555082385824596</v>
      </c>
      <c r="J47" t="b">
        <v>0</v>
      </c>
    </row>
    <row r="48" spans="1:10" x14ac:dyDescent="0.25">
      <c r="A48">
        <v>46</v>
      </c>
      <c r="B48" t="s">
        <v>240</v>
      </c>
      <c r="C48" s="1">
        <v>46220</v>
      </c>
      <c r="D48">
        <v>97.504720000000006</v>
      </c>
      <c r="E48">
        <v>350.23831752000001</v>
      </c>
      <c r="F48">
        <v>353.85162818999999</v>
      </c>
      <c r="G48">
        <v>350.23831752000001</v>
      </c>
      <c r="H48">
        <v>7.52634262512003</v>
      </c>
      <c r="J48" t="b">
        <v>0</v>
      </c>
    </row>
    <row r="49" spans="1:10" x14ac:dyDescent="0.25">
      <c r="A49">
        <v>47</v>
      </c>
      <c r="B49" t="s">
        <v>3664</v>
      </c>
      <c r="C49" s="1">
        <v>46220</v>
      </c>
      <c r="J49" t="b">
        <v>0</v>
      </c>
    </row>
    <row r="50" spans="1:10" x14ac:dyDescent="0.25">
      <c r="A50">
        <v>48</v>
      </c>
      <c r="B50" t="s">
        <v>3666</v>
      </c>
      <c r="C50" s="1">
        <v>46220</v>
      </c>
      <c r="J50" t="b">
        <v>0</v>
      </c>
    </row>
    <row r="51" spans="1:10" x14ac:dyDescent="0.25">
      <c r="A51">
        <v>49</v>
      </c>
      <c r="B51" t="s">
        <v>242</v>
      </c>
      <c r="C51" s="1">
        <v>46220</v>
      </c>
      <c r="J51" t="b">
        <v>0</v>
      </c>
    </row>
    <row r="52" spans="1:10" x14ac:dyDescent="0.25">
      <c r="A52">
        <v>50</v>
      </c>
      <c r="B52" t="s">
        <v>244</v>
      </c>
      <c r="C52" s="1">
        <v>46220</v>
      </c>
      <c r="D52">
        <v>94.25</v>
      </c>
      <c r="F52">
        <v>375.0638103</v>
      </c>
      <c r="H52">
        <v>6.5381391658537096</v>
      </c>
      <c r="J52" t="b">
        <v>0</v>
      </c>
    </row>
    <row r="53" spans="1:10" x14ac:dyDescent="0.25">
      <c r="A53">
        <v>51</v>
      </c>
      <c r="B53" t="s">
        <v>246</v>
      </c>
      <c r="C53" s="1">
        <v>46220</v>
      </c>
      <c r="J53" t="b">
        <v>0</v>
      </c>
    </row>
    <row r="54" spans="1:10" x14ac:dyDescent="0.25">
      <c r="A54">
        <v>52</v>
      </c>
      <c r="B54" t="s">
        <v>248</v>
      </c>
      <c r="C54" s="1">
        <v>46220</v>
      </c>
      <c r="D54">
        <v>91</v>
      </c>
      <c r="F54">
        <v>561.13645908000001</v>
      </c>
      <c r="H54">
        <v>9.5932815225214707</v>
      </c>
      <c r="J54" t="b">
        <v>0</v>
      </c>
    </row>
    <row r="55" spans="1:10" x14ac:dyDescent="0.25">
      <c r="A55">
        <v>53</v>
      </c>
      <c r="B55" t="s">
        <v>250</v>
      </c>
      <c r="C55" s="1">
        <v>46220</v>
      </c>
      <c r="D55">
        <v>89.25</v>
      </c>
      <c r="F55">
        <v>544.29832314999999</v>
      </c>
      <c r="H55">
        <v>9.4543593272441395</v>
      </c>
      <c r="J55" t="b">
        <v>0</v>
      </c>
    </row>
    <row r="56" spans="1:10" x14ac:dyDescent="0.25">
      <c r="A56">
        <v>54</v>
      </c>
      <c r="B56" t="s">
        <v>252</v>
      </c>
      <c r="C56" s="1">
        <v>46220</v>
      </c>
      <c r="J56" t="b">
        <v>0</v>
      </c>
    </row>
    <row r="57" spans="1:10" x14ac:dyDescent="0.25">
      <c r="A57">
        <v>55</v>
      </c>
      <c r="B57" t="s">
        <v>254</v>
      </c>
      <c r="C57" s="1">
        <v>46220</v>
      </c>
      <c r="D57">
        <v>101.0625</v>
      </c>
      <c r="F57">
        <v>1249.5717839900001</v>
      </c>
      <c r="H57">
        <v>16.435130243013301</v>
      </c>
      <c r="J57" t="b">
        <v>0</v>
      </c>
    </row>
    <row r="58" spans="1:10" x14ac:dyDescent="0.25">
      <c r="A58">
        <v>56</v>
      </c>
      <c r="B58" t="s">
        <v>257</v>
      </c>
      <c r="C58" s="1">
        <v>46220</v>
      </c>
      <c r="J58" t="b">
        <v>0</v>
      </c>
    </row>
    <row r="59" spans="1:10" x14ac:dyDescent="0.25">
      <c r="A59">
        <v>57</v>
      </c>
      <c r="B59" t="s">
        <v>259</v>
      </c>
      <c r="C59" s="1">
        <v>46220</v>
      </c>
      <c r="J59" t="b">
        <v>0</v>
      </c>
    </row>
    <row r="60" spans="1:10" x14ac:dyDescent="0.25">
      <c r="A60">
        <v>58</v>
      </c>
      <c r="B60" t="s">
        <v>344</v>
      </c>
      <c r="C60" s="1">
        <v>46220</v>
      </c>
      <c r="D60">
        <v>99.244114999999994</v>
      </c>
      <c r="E60">
        <v>671.48987598999997</v>
      </c>
      <c r="F60">
        <v>673.13389702999996</v>
      </c>
      <c r="G60">
        <v>671.48987598999997</v>
      </c>
      <c r="H60">
        <v>10.759153272862701</v>
      </c>
      <c r="J60" t="b">
        <v>0</v>
      </c>
    </row>
    <row r="61" spans="1:10" x14ac:dyDescent="0.25">
      <c r="A61">
        <v>59</v>
      </c>
      <c r="B61" t="s">
        <v>348</v>
      </c>
      <c r="C61" s="1">
        <v>46220</v>
      </c>
      <c r="D61">
        <v>27.371565</v>
      </c>
      <c r="E61">
        <v>2953.4305333299999</v>
      </c>
      <c r="F61">
        <v>2948.57803638</v>
      </c>
      <c r="G61">
        <v>2953.4305333299999</v>
      </c>
      <c r="H61">
        <v>34.164539130600602</v>
      </c>
      <c r="J61" t="b">
        <v>0</v>
      </c>
    </row>
    <row r="62" spans="1:10" x14ac:dyDescent="0.25">
      <c r="A62">
        <v>60</v>
      </c>
      <c r="B62" t="s">
        <v>350</v>
      </c>
      <c r="C62" s="1">
        <v>46220</v>
      </c>
      <c r="D62">
        <v>17.5</v>
      </c>
      <c r="F62">
        <v>5496.8711866499998</v>
      </c>
      <c r="H62">
        <v>58.927694940939503</v>
      </c>
      <c r="J62" t="b">
        <v>0</v>
      </c>
    </row>
    <row r="63" spans="1:10" x14ac:dyDescent="0.25">
      <c r="A63">
        <v>61</v>
      </c>
      <c r="B63" t="s">
        <v>352</v>
      </c>
      <c r="C63" s="1">
        <v>46220</v>
      </c>
      <c r="D63">
        <v>93.375</v>
      </c>
      <c r="F63">
        <v>652.80027634999999</v>
      </c>
      <c r="H63">
        <v>9.7637580702169409</v>
      </c>
      <c r="J63" t="b">
        <v>0</v>
      </c>
    </row>
    <row r="64" spans="1:10" x14ac:dyDescent="0.25">
      <c r="A64">
        <v>62</v>
      </c>
      <c r="B64" t="s">
        <v>354</v>
      </c>
      <c r="C64" s="1">
        <v>46220</v>
      </c>
      <c r="D64">
        <v>70.5</v>
      </c>
      <c r="F64">
        <v>1411.19897795</v>
      </c>
      <c r="H64">
        <v>18.073036638088499</v>
      </c>
      <c r="J64" t="b">
        <v>0</v>
      </c>
    </row>
    <row r="65" spans="1:10" x14ac:dyDescent="0.25">
      <c r="A65">
        <v>63</v>
      </c>
      <c r="B65" t="s">
        <v>176</v>
      </c>
      <c r="C65" s="1">
        <v>46220</v>
      </c>
      <c r="D65">
        <v>103.19674999999999</v>
      </c>
      <c r="E65">
        <v>297.86296125000001</v>
      </c>
      <c r="F65">
        <v>300.51197128000001</v>
      </c>
      <c r="G65">
        <v>297.86296125000001</v>
      </c>
      <c r="H65">
        <v>7.5933482772550498</v>
      </c>
      <c r="J65" t="b">
        <v>0</v>
      </c>
    </row>
    <row r="66" spans="1:10" x14ac:dyDescent="0.25">
      <c r="A66">
        <v>64</v>
      </c>
      <c r="B66" t="s">
        <v>178</v>
      </c>
      <c r="C66" s="1">
        <v>46220</v>
      </c>
      <c r="D66">
        <v>102.309997558593</v>
      </c>
      <c r="E66">
        <v>372.39257543999997</v>
      </c>
      <c r="F66">
        <v>370.84933712999998</v>
      </c>
      <c r="G66">
        <v>372.39257543999997</v>
      </c>
      <c r="H66">
        <v>7.0715442939905397</v>
      </c>
      <c r="J66" t="b">
        <v>0</v>
      </c>
    </row>
    <row r="67" spans="1:10" x14ac:dyDescent="0.25">
      <c r="A67">
        <v>65</v>
      </c>
      <c r="B67" t="s">
        <v>180</v>
      </c>
      <c r="C67" s="1">
        <v>46220</v>
      </c>
      <c r="D67">
        <v>100.26220000000001</v>
      </c>
      <c r="E67">
        <v>564.84490145999996</v>
      </c>
      <c r="F67">
        <v>566.63923981000005</v>
      </c>
      <c r="G67">
        <v>564.84490145999996</v>
      </c>
      <c r="H67">
        <v>9.7063410355006194</v>
      </c>
      <c r="J67" t="b">
        <v>0</v>
      </c>
    </row>
    <row r="68" spans="1:10" x14ac:dyDescent="0.25">
      <c r="A68">
        <v>66</v>
      </c>
      <c r="B68" t="s">
        <v>182</v>
      </c>
      <c r="C68" s="1">
        <v>46220</v>
      </c>
      <c r="D68">
        <v>102.90074999999899</v>
      </c>
      <c r="E68">
        <v>360.15194212</v>
      </c>
      <c r="F68">
        <v>362.49102921000002</v>
      </c>
      <c r="G68">
        <v>360.15194212</v>
      </c>
      <c r="H68">
        <v>7.8767384895886696</v>
      </c>
      <c r="J68" t="b">
        <v>0</v>
      </c>
    </row>
    <row r="69" spans="1:10" x14ac:dyDescent="0.25">
      <c r="A69">
        <v>67</v>
      </c>
      <c r="B69" t="s">
        <v>184</v>
      </c>
      <c r="C69" s="1">
        <v>46220</v>
      </c>
      <c r="D69">
        <v>93.969001770019503</v>
      </c>
      <c r="E69">
        <v>730.83696954000004</v>
      </c>
      <c r="F69">
        <v>728.29486499999996</v>
      </c>
      <c r="G69">
        <v>730.83696954000004</v>
      </c>
      <c r="H69">
        <v>10.584771717114601</v>
      </c>
      <c r="J69" t="b">
        <v>0</v>
      </c>
    </row>
    <row r="70" spans="1:10" x14ac:dyDescent="0.25">
      <c r="A70">
        <v>68</v>
      </c>
      <c r="B70" t="s">
        <v>186</v>
      </c>
      <c r="C70" s="1">
        <v>46220</v>
      </c>
      <c r="D70">
        <v>93.509789999999995</v>
      </c>
      <c r="E70">
        <v>756.80513238000003</v>
      </c>
      <c r="F70">
        <v>759.05332871999997</v>
      </c>
      <c r="G70">
        <v>756.80513238000003</v>
      </c>
      <c r="H70">
        <v>11.5922122127806</v>
      </c>
      <c r="J70" t="b">
        <v>0</v>
      </c>
    </row>
    <row r="71" spans="1:10" x14ac:dyDescent="0.25">
      <c r="A71">
        <v>69</v>
      </c>
      <c r="B71" t="s">
        <v>188</v>
      </c>
      <c r="C71" s="1">
        <v>46220</v>
      </c>
      <c r="D71">
        <v>94.493674999999996</v>
      </c>
      <c r="E71">
        <v>442.95477141999999</v>
      </c>
      <c r="F71">
        <v>445.68678676000002</v>
      </c>
      <c r="G71">
        <v>442.95477141999999</v>
      </c>
      <c r="H71">
        <v>8.6427827858498993</v>
      </c>
      <c r="J71" t="b">
        <v>0</v>
      </c>
    </row>
    <row r="72" spans="1:10" x14ac:dyDescent="0.25">
      <c r="A72">
        <v>70</v>
      </c>
      <c r="B72" t="s">
        <v>190</v>
      </c>
      <c r="C72" s="1">
        <v>46220</v>
      </c>
      <c r="D72">
        <v>93.8583</v>
      </c>
      <c r="E72">
        <v>736.70516396999994</v>
      </c>
      <c r="F72">
        <v>738.71738363999998</v>
      </c>
      <c r="G72">
        <v>736.70516396999994</v>
      </c>
      <c r="H72">
        <v>11.386025614018401</v>
      </c>
      <c r="J72" t="b">
        <v>0</v>
      </c>
    </row>
    <row r="73" spans="1:10" x14ac:dyDescent="0.25">
      <c r="A73">
        <v>71</v>
      </c>
      <c r="B73" t="s">
        <v>192</v>
      </c>
      <c r="C73" s="1">
        <v>46220</v>
      </c>
      <c r="D73">
        <v>93.980230000000006</v>
      </c>
      <c r="E73">
        <v>433.52995229999999</v>
      </c>
      <c r="F73">
        <v>436.26829258999999</v>
      </c>
      <c r="G73">
        <v>433.52995229999999</v>
      </c>
      <c r="H73">
        <v>8.4487941338642596</v>
      </c>
      <c r="J73" t="b">
        <v>0</v>
      </c>
    </row>
    <row r="74" spans="1:10" x14ac:dyDescent="0.25">
      <c r="A74">
        <v>72</v>
      </c>
      <c r="B74" t="s">
        <v>194</v>
      </c>
      <c r="C74" s="1">
        <v>46220</v>
      </c>
      <c r="D74">
        <v>94.851464999999905</v>
      </c>
      <c r="E74">
        <v>736.66915856000003</v>
      </c>
      <c r="F74">
        <v>738.56675476999999</v>
      </c>
      <c r="G74">
        <v>736.66915856000003</v>
      </c>
      <c r="H74">
        <v>11.7230037857084</v>
      </c>
      <c r="J74" t="b">
        <v>0</v>
      </c>
    </row>
    <row r="75" spans="1:10" x14ac:dyDescent="0.25">
      <c r="A75">
        <v>73</v>
      </c>
      <c r="B75" t="s">
        <v>196</v>
      </c>
      <c r="C75" s="1">
        <v>46220</v>
      </c>
      <c r="D75">
        <v>94.897295</v>
      </c>
      <c r="E75">
        <v>489.19135018999998</v>
      </c>
      <c r="F75">
        <v>491.66208998000002</v>
      </c>
      <c r="G75">
        <v>489.19135018999998</v>
      </c>
      <c r="H75">
        <v>8.9912168522371498</v>
      </c>
      <c r="J75" t="b">
        <v>0</v>
      </c>
    </row>
    <row r="76" spans="1:10" x14ac:dyDescent="0.25">
      <c r="A76">
        <v>74</v>
      </c>
      <c r="B76" t="s">
        <v>198</v>
      </c>
      <c r="C76" s="1">
        <v>46220</v>
      </c>
      <c r="D76">
        <v>81.119003295898395</v>
      </c>
      <c r="E76">
        <v>794.11186760999999</v>
      </c>
      <c r="F76">
        <v>790.82254116000001</v>
      </c>
      <c r="G76">
        <v>794.11186760999999</v>
      </c>
      <c r="H76">
        <v>11.297806185606801</v>
      </c>
      <c r="J76" t="b">
        <v>0</v>
      </c>
    </row>
    <row r="77" spans="1:10" x14ac:dyDescent="0.25">
      <c r="A77">
        <v>75</v>
      </c>
      <c r="B77" t="s">
        <v>200</v>
      </c>
      <c r="C77" s="1">
        <v>46220</v>
      </c>
      <c r="D77">
        <v>85.083000183105398</v>
      </c>
      <c r="E77">
        <v>775.99597489999996</v>
      </c>
      <c r="F77">
        <v>773.42921330000001</v>
      </c>
      <c r="G77">
        <v>775.99597489999996</v>
      </c>
      <c r="H77">
        <v>11.2986699253527</v>
      </c>
      <c r="J77" t="b">
        <v>0</v>
      </c>
    </row>
    <row r="78" spans="1:10" x14ac:dyDescent="0.25">
      <c r="A78">
        <v>76</v>
      </c>
      <c r="B78" t="s">
        <v>83</v>
      </c>
      <c r="C78" s="1">
        <v>46220</v>
      </c>
      <c r="D78">
        <v>77.854884999999996</v>
      </c>
      <c r="E78">
        <v>918.08441844000004</v>
      </c>
      <c r="F78">
        <v>919.49125858000002</v>
      </c>
      <c r="G78">
        <v>918.08441844000004</v>
      </c>
      <c r="H78">
        <v>13.295671985533099</v>
      </c>
      <c r="J78" t="b">
        <v>0</v>
      </c>
    </row>
    <row r="79" spans="1:10" x14ac:dyDescent="0.25">
      <c r="A79">
        <v>77</v>
      </c>
      <c r="B79" t="s">
        <v>202</v>
      </c>
      <c r="C79" s="1">
        <v>46220</v>
      </c>
      <c r="D79">
        <v>98.590049999999906</v>
      </c>
      <c r="E79">
        <v>232.45323905000001</v>
      </c>
      <c r="F79">
        <v>235.17095252999999</v>
      </c>
      <c r="G79">
        <v>232.45323905000001</v>
      </c>
      <c r="H79">
        <v>6.8627010055880202</v>
      </c>
      <c r="J79" t="b">
        <v>0</v>
      </c>
    </row>
    <row r="80" spans="1:10" x14ac:dyDescent="0.25">
      <c r="A80">
        <v>78</v>
      </c>
      <c r="B80" t="s">
        <v>204</v>
      </c>
      <c r="C80" s="1">
        <v>46220</v>
      </c>
      <c r="D80">
        <v>100.09885</v>
      </c>
      <c r="E80">
        <v>472.74040912999999</v>
      </c>
      <c r="F80">
        <v>475.16685537000001</v>
      </c>
      <c r="G80">
        <v>472.74040912999999</v>
      </c>
      <c r="H80">
        <v>8.8079586661992497</v>
      </c>
      <c r="J80" t="b">
        <v>0</v>
      </c>
    </row>
    <row r="81" spans="1:10" x14ac:dyDescent="0.25">
      <c r="A81">
        <v>79</v>
      </c>
      <c r="B81" t="s">
        <v>206</v>
      </c>
      <c r="C81" s="1">
        <v>46220</v>
      </c>
      <c r="D81">
        <v>98.43956</v>
      </c>
      <c r="E81">
        <v>244.15098642000001</v>
      </c>
      <c r="F81">
        <v>246.87736860000001</v>
      </c>
      <c r="G81">
        <v>244.15098642000001</v>
      </c>
      <c r="H81">
        <v>6.4827407014798704</v>
      </c>
      <c r="J81" t="b">
        <v>0</v>
      </c>
    </row>
    <row r="82" spans="1:10" x14ac:dyDescent="0.25">
      <c r="A82">
        <v>80</v>
      </c>
      <c r="B82" t="s">
        <v>208</v>
      </c>
      <c r="C82" s="1">
        <v>46220</v>
      </c>
      <c r="D82">
        <v>77.5</v>
      </c>
      <c r="F82">
        <v>881.46585016999995</v>
      </c>
      <c r="H82">
        <v>11.5304473321884</v>
      </c>
      <c r="J82" t="b">
        <v>0</v>
      </c>
    </row>
    <row r="83" spans="1:10" x14ac:dyDescent="0.25">
      <c r="A83">
        <v>81</v>
      </c>
      <c r="B83" t="s">
        <v>85</v>
      </c>
      <c r="C83" s="1">
        <v>46220</v>
      </c>
      <c r="D83">
        <v>79.75</v>
      </c>
      <c r="F83">
        <v>837.04735005999999</v>
      </c>
      <c r="H83">
        <v>12.1672174427658</v>
      </c>
      <c r="J83" t="b">
        <v>0</v>
      </c>
    </row>
    <row r="84" spans="1:10" x14ac:dyDescent="0.25">
      <c r="A84">
        <v>82</v>
      </c>
      <c r="B84" t="s">
        <v>131</v>
      </c>
      <c r="C84" s="1">
        <v>46220</v>
      </c>
      <c r="D84">
        <v>97.503770000000003</v>
      </c>
      <c r="E84">
        <v>244.97154504</v>
      </c>
      <c r="F84">
        <v>246.77647081000001</v>
      </c>
      <c r="G84">
        <v>244.97154504</v>
      </c>
      <c r="H84">
        <v>6.9592488721928802</v>
      </c>
      <c r="J84" t="b">
        <v>0</v>
      </c>
    </row>
    <row r="85" spans="1:10" x14ac:dyDescent="0.25">
      <c r="A85">
        <v>83</v>
      </c>
      <c r="B85" t="s">
        <v>97</v>
      </c>
      <c r="C85" s="1">
        <v>46220</v>
      </c>
      <c r="D85">
        <v>56.965184999999998</v>
      </c>
      <c r="E85">
        <v>2735.5869511599999</v>
      </c>
      <c r="F85">
        <v>2737.5711669699999</v>
      </c>
      <c r="G85">
        <v>2735.5869511599999</v>
      </c>
      <c r="H85">
        <v>31.574339722138699</v>
      </c>
      <c r="J85" t="b">
        <v>0</v>
      </c>
    </row>
    <row r="86" spans="1:10" x14ac:dyDescent="0.25">
      <c r="A86">
        <v>84</v>
      </c>
      <c r="B86" t="s">
        <v>101</v>
      </c>
      <c r="C86" s="1">
        <v>46220</v>
      </c>
      <c r="D86">
        <v>54.064295000000001</v>
      </c>
      <c r="E86">
        <v>2967.9727960599998</v>
      </c>
      <c r="F86">
        <v>2969.9564670899999</v>
      </c>
      <c r="G86">
        <v>2967.9727960599998</v>
      </c>
      <c r="H86">
        <v>33.066042890441103</v>
      </c>
      <c r="J86" t="b">
        <v>0</v>
      </c>
    </row>
    <row r="87" spans="1:10" x14ac:dyDescent="0.25">
      <c r="A87">
        <v>85</v>
      </c>
      <c r="B87" t="s">
        <v>133</v>
      </c>
      <c r="C87" s="1">
        <v>46220</v>
      </c>
      <c r="D87">
        <v>93.057450000000003</v>
      </c>
      <c r="E87">
        <v>641.24585594999996</v>
      </c>
      <c r="F87">
        <v>643.62956764</v>
      </c>
      <c r="G87">
        <v>641.24585594999996</v>
      </c>
      <c r="H87">
        <v>10.872619102352999</v>
      </c>
      <c r="J87" t="b">
        <v>0</v>
      </c>
    </row>
    <row r="88" spans="1:10" x14ac:dyDescent="0.25">
      <c r="A88">
        <v>86</v>
      </c>
      <c r="B88" t="s">
        <v>103</v>
      </c>
      <c r="C88" s="1">
        <v>46220</v>
      </c>
      <c r="D88">
        <v>52</v>
      </c>
      <c r="F88">
        <v>2956.97859208</v>
      </c>
      <c r="H88">
        <v>33.466968779898103</v>
      </c>
      <c r="J88" t="b">
        <v>0</v>
      </c>
    </row>
    <row r="89" spans="1:10" x14ac:dyDescent="0.25">
      <c r="A89">
        <v>87</v>
      </c>
      <c r="B89" t="s">
        <v>162</v>
      </c>
      <c r="C89" s="1">
        <v>46220</v>
      </c>
      <c r="D89">
        <v>76.396010000000004</v>
      </c>
      <c r="E89">
        <v>1753.0685987100001</v>
      </c>
      <c r="F89">
        <v>1755.4423883100001</v>
      </c>
      <c r="G89">
        <v>1753.0685987100001</v>
      </c>
      <c r="H89">
        <v>21.630360785309499</v>
      </c>
      <c r="J89" t="b">
        <v>0</v>
      </c>
    </row>
    <row r="90" spans="1:10" x14ac:dyDescent="0.25">
      <c r="A90">
        <v>88</v>
      </c>
      <c r="B90" t="s">
        <v>164</v>
      </c>
      <c r="C90" s="1">
        <v>46220</v>
      </c>
      <c r="D90">
        <v>97.064400000000006</v>
      </c>
      <c r="E90">
        <v>622.78396147000001</v>
      </c>
      <c r="F90">
        <v>620.18244182000001</v>
      </c>
      <c r="G90">
        <v>622.78396147000001</v>
      </c>
      <c r="H90">
        <v>9.1200506122012701</v>
      </c>
      <c r="J90" t="b">
        <v>0</v>
      </c>
    </row>
    <row r="91" spans="1:10" x14ac:dyDescent="0.25">
      <c r="A91">
        <v>89</v>
      </c>
      <c r="B91" t="s">
        <v>105</v>
      </c>
      <c r="C91" s="1">
        <v>46220</v>
      </c>
      <c r="D91">
        <v>81.060644999999994</v>
      </c>
      <c r="F91">
        <v>1228.4946047599999</v>
      </c>
      <c r="H91">
        <v>16.304115490972901</v>
      </c>
      <c r="J91" t="b">
        <v>0</v>
      </c>
    </row>
    <row r="92" spans="1:10" x14ac:dyDescent="0.25">
      <c r="A92">
        <v>90</v>
      </c>
      <c r="B92" t="s">
        <v>166</v>
      </c>
      <c r="C92" s="1">
        <v>46220</v>
      </c>
      <c r="J92" t="b">
        <v>0</v>
      </c>
    </row>
    <row r="93" spans="1:10" x14ac:dyDescent="0.25">
      <c r="A93">
        <v>91</v>
      </c>
      <c r="B93" t="s">
        <v>168</v>
      </c>
      <c r="C93" s="1">
        <v>46220</v>
      </c>
      <c r="D93">
        <v>100</v>
      </c>
      <c r="F93">
        <v>368.96075402000002</v>
      </c>
      <c r="H93">
        <v>7.6691469034662401</v>
      </c>
      <c r="J93" t="b">
        <v>0</v>
      </c>
    </row>
    <row r="94" spans="1:10" x14ac:dyDescent="0.25">
      <c r="A94">
        <v>92</v>
      </c>
      <c r="B94" t="s">
        <v>170</v>
      </c>
      <c r="C94" s="1">
        <v>46220</v>
      </c>
      <c r="D94">
        <v>89.875</v>
      </c>
      <c r="F94">
        <v>860.29211215999999</v>
      </c>
      <c r="H94">
        <v>12.699925851018</v>
      </c>
      <c r="J94" t="b">
        <v>0</v>
      </c>
    </row>
    <row r="95" spans="1:10" x14ac:dyDescent="0.25">
      <c r="A95">
        <v>93</v>
      </c>
      <c r="B95" t="s">
        <v>172</v>
      </c>
      <c r="C95" s="1">
        <v>46220</v>
      </c>
      <c r="D95">
        <v>89.75</v>
      </c>
      <c r="F95">
        <v>3121.1055757300001</v>
      </c>
      <c r="H95">
        <v>22.4632999217201</v>
      </c>
      <c r="J95" t="b">
        <v>0</v>
      </c>
    </row>
    <row r="96" spans="1:10" x14ac:dyDescent="0.25">
      <c r="A96">
        <v>94</v>
      </c>
      <c r="B96" t="s">
        <v>3619</v>
      </c>
      <c r="C96" s="1">
        <v>46220</v>
      </c>
      <c r="D96">
        <v>93.5</v>
      </c>
      <c r="F96">
        <v>464.23936314000002</v>
      </c>
      <c r="H96">
        <v>7.5494079006485997</v>
      </c>
      <c r="J96" t="b">
        <v>0</v>
      </c>
    </row>
    <row r="97" spans="1:10" x14ac:dyDescent="0.25">
      <c r="A97">
        <v>95</v>
      </c>
      <c r="B97" t="s">
        <v>3623</v>
      </c>
      <c r="C97" s="1">
        <v>46220</v>
      </c>
      <c r="D97">
        <v>90.875</v>
      </c>
      <c r="F97">
        <v>528.54002075000005</v>
      </c>
      <c r="H97">
        <v>9.1411850371615895</v>
      </c>
      <c r="J97" t="b">
        <v>0</v>
      </c>
    </row>
    <row r="98" spans="1:10" x14ac:dyDescent="0.25">
      <c r="A98">
        <v>96</v>
      </c>
      <c r="B98" t="s">
        <v>3625</v>
      </c>
      <c r="C98" s="1">
        <v>46220</v>
      </c>
      <c r="D98">
        <v>89.25</v>
      </c>
      <c r="F98">
        <v>937.98956483999996</v>
      </c>
      <c r="H98">
        <v>12.2698077466338</v>
      </c>
      <c r="J98" t="b">
        <v>0</v>
      </c>
    </row>
    <row r="99" spans="1:10" x14ac:dyDescent="0.25">
      <c r="A99">
        <v>97</v>
      </c>
      <c r="B99" t="s">
        <v>216</v>
      </c>
      <c r="C99" s="1">
        <v>46220</v>
      </c>
      <c r="D99">
        <v>90.739935000000003</v>
      </c>
      <c r="E99">
        <v>933.68439874000001</v>
      </c>
      <c r="F99">
        <v>936.52579052999999</v>
      </c>
      <c r="G99">
        <v>933.68439874000001</v>
      </c>
      <c r="H99">
        <v>14.820137796946399</v>
      </c>
      <c r="J99" t="b">
        <v>0</v>
      </c>
    </row>
    <row r="100" spans="1:10" x14ac:dyDescent="0.25">
      <c r="A100">
        <v>98</v>
      </c>
      <c r="B100" t="s">
        <v>89</v>
      </c>
      <c r="C100" s="1">
        <v>46220</v>
      </c>
      <c r="D100">
        <v>78.908000000000001</v>
      </c>
      <c r="E100">
        <v>1761.81825506</v>
      </c>
      <c r="F100">
        <v>1763.9998395600001</v>
      </c>
      <c r="G100">
        <v>1761.81825506</v>
      </c>
      <c r="H100">
        <v>21.963248748951301</v>
      </c>
      <c r="J100" t="b">
        <v>0</v>
      </c>
    </row>
    <row r="101" spans="1:10" x14ac:dyDescent="0.25">
      <c r="A101">
        <v>99</v>
      </c>
      <c r="B101" t="s">
        <v>218</v>
      </c>
      <c r="C101" s="1">
        <v>46220</v>
      </c>
      <c r="D101">
        <v>95.675439999999995</v>
      </c>
      <c r="E101">
        <v>846.30041540000002</v>
      </c>
      <c r="F101">
        <v>848.55125313999997</v>
      </c>
      <c r="G101">
        <v>846.30041540000002</v>
      </c>
      <c r="H101">
        <v>12.5276524193812</v>
      </c>
      <c r="J101" t="b">
        <v>0</v>
      </c>
    </row>
    <row r="102" spans="1:10" x14ac:dyDescent="0.25">
      <c r="A102">
        <v>100</v>
      </c>
      <c r="B102" t="s">
        <v>220</v>
      </c>
      <c r="C102" s="1">
        <v>46220</v>
      </c>
      <c r="J102" t="b">
        <v>0</v>
      </c>
    </row>
    <row r="103" spans="1:10" x14ac:dyDescent="0.25">
      <c r="A103">
        <v>101</v>
      </c>
      <c r="B103" t="s">
        <v>222</v>
      </c>
      <c r="C103" s="1">
        <v>46220</v>
      </c>
      <c r="D103">
        <v>93.25</v>
      </c>
      <c r="F103">
        <v>822.38959394999995</v>
      </c>
      <c r="H103">
        <v>12.1577302498418</v>
      </c>
      <c r="J103" t="b">
        <v>0</v>
      </c>
    </row>
    <row r="104" spans="1:10" x14ac:dyDescent="0.25">
      <c r="A104">
        <v>102</v>
      </c>
      <c r="B104" t="s">
        <v>260</v>
      </c>
      <c r="C104" s="1">
        <v>46220</v>
      </c>
      <c r="D104">
        <v>68</v>
      </c>
      <c r="F104">
        <v>3882.20391728</v>
      </c>
      <c r="H104">
        <v>43.071432053945998</v>
      </c>
      <c r="J104" t="b">
        <v>0</v>
      </c>
    </row>
    <row r="105" spans="1:10" x14ac:dyDescent="0.25">
      <c r="A105">
        <v>103</v>
      </c>
      <c r="B105" t="s">
        <v>264</v>
      </c>
      <c r="C105" s="1">
        <v>46220</v>
      </c>
      <c r="D105">
        <v>62.268664999999999</v>
      </c>
      <c r="F105">
        <v>1520.17769598</v>
      </c>
      <c r="H105">
        <v>20.572230311455598</v>
      </c>
      <c r="J105" t="b">
        <v>0</v>
      </c>
    </row>
    <row r="106" spans="1:10" x14ac:dyDescent="0.25">
      <c r="A106">
        <v>104</v>
      </c>
      <c r="B106" t="s">
        <v>266</v>
      </c>
      <c r="C106" s="1">
        <v>46220</v>
      </c>
      <c r="D106">
        <v>81.731020000000001</v>
      </c>
      <c r="E106">
        <v>693.10639386000003</v>
      </c>
      <c r="F106">
        <v>695.36264800000004</v>
      </c>
      <c r="G106">
        <v>693.10639386000003</v>
      </c>
      <c r="H106">
        <v>10.9576836746661</v>
      </c>
      <c r="J106" t="b">
        <v>0</v>
      </c>
    </row>
    <row r="107" spans="1:10" x14ac:dyDescent="0.25">
      <c r="A107">
        <v>105</v>
      </c>
      <c r="B107" t="s">
        <v>268</v>
      </c>
      <c r="C107" s="1">
        <v>46220</v>
      </c>
      <c r="D107">
        <v>61.004354999999997</v>
      </c>
      <c r="F107">
        <v>1617.65912293</v>
      </c>
      <c r="H107">
        <v>21.532394332086302</v>
      </c>
      <c r="J107" t="b">
        <v>0</v>
      </c>
    </row>
    <row r="108" spans="1:10" x14ac:dyDescent="0.25">
      <c r="A108">
        <v>106</v>
      </c>
      <c r="B108" t="s">
        <v>270</v>
      </c>
      <c r="C108" s="1">
        <v>46220</v>
      </c>
      <c r="D108">
        <v>97.341989999999996</v>
      </c>
      <c r="F108">
        <v>873.45677902</v>
      </c>
      <c r="H108">
        <v>12.882273631795201</v>
      </c>
      <c r="J108" t="b">
        <v>0</v>
      </c>
    </row>
    <row r="109" spans="1:10" x14ac:dyDescent="0.25">
      <c r="A109">
        <v>107</v>
      </c>
      <c r="B109" t="s">
        <v>272</v>
      </c>
      <c r="C109" s="1">
        <v>46220</v>
      </c>
      <c r="J109" t="b">
        <v>0</v>
      </c>
    </row>
    <row r="110" spans="1:10" x14ac:dyDescent="0.25">
      <c r="A110">
        <v>108</v>
      </c>
      <c r="B110" t="s">
        <v>274</v>
      </c>
      <c r="C110" s="1">
        <v>46220</v>
      </c>
      <c r="D110">
        <v>62.237295000000003</v>
      </c>
      <c r="E110">
        <v>2711.5704885499999</v>
      </c>
      <c r="F110">
        <v>2714.06356104</v>
      </c>
      <c r="G110">
        <v>2711.5704885499999</v>
      </c>
      <c r="H110">
        <v>31.328561382172101</v>
      </c>
      <c r="J110" t="b">
        <v>0</v>
      </c>
    </row>
    <row r="111" spans="1:10" x14ac:dyDescent="0.25">
      <c r="A111">
        <v>109</v>
      </c>
      <c r="B111" t="s">
        <v>276</v>
      </c>
      <c r="C111" s="1">
        <v>46220</v>
      </c>
      <c r="J111" t="b">
        <v>0</v>
      </c>
    </row>
    <row r="112" spans="1:10" x14ac:dyDescent="0.25">
      <c r="A112">
        <v>110</v>
      </c>
      <c r="B112" t="s">
        <v>278</v>
      </c>
      <c r="C112" s="1">
        <v>46220</v>
      </c>
      <c r="D112">
        <v>87.5</v>
      </c>
      <c r="F112">
        <v>801.63603609999996</v>
      </c>
      <c r="H112">
        <v>12.0887877091994</v>
      </c>
      <c r="J112" t="b">
        <v>0</v>
      </c>
    </row>
    <row r="113" spans="1:10" x14ac:dyDescent="0.25">
      <c r="A113">
        <v>111</v>
      </c>
      <c r="B113" t="s">
        <v>280</v>
      </c>
      <c r="C113" s="1">
        <v>46220</v>
      </c>
      <c r="D113">
        <v>100.375</v>
      </c>
      <c r="F113">
        <v>347.20405546000001</v>
      </c>
      <c r="H113">
        <v>7.47940485417302</v>
      </c>
      <c r="J113" t="b">
        <v>0</v>
      </c>
    </row>
    <row r="114" spans="1:10" x14ac:dyDescent="0.25">
      <c r="A114">
        <v>112</v>
      </c>
      <c r="B114" t="s">
        <v>281</v>
      </c>
      <c r="C114" s="1">
        <v>46220</v>
      </c>
      <c r="J114" t="b">
        <v>0</v>
      </c>
    </row>
    <row r="115" spans="1:10" x14ac:dyDescent="0.25">
      <c r="A115">
        <v>113</v>
      </c>
      <c r="B115" t="s">
        <v>285</v>
      </c>
      <c r="C115" s="1">
        <v>46220</v>
      </c>
      <c r="D115">
        <v>61</v>
      </c>
      <c r="F115">
        <v>1523.59228891</v>
      </c>
      <c r="H115">
        <v>19.274485576897799</v>
      </c>
      <c r="J115" t="b">
        <v>0</v>
      </c>
    </row>
    <row r="116" spans="1:10" x14ac:dyDescent="0.25">
      <c r="A116">
        <v>114</v>
      </c>
      <c r="B116" t="s">
        <v>286</v>
      </c>
      <c r="C116" s="1">
        <v>46220</v>
      </c>
      <c r="D116">
        <v>77.725499999999997</v>
      </c>
      <c r="F116">
        <v>887.17041185000005</v>
      </c>
      <c r="H116">
        <v>12.8759235609322</v>
      </c>
      <c r="J116" t="b">
        <v>0</v>
      </c>
    </row>
    <row r="117" spans="1:10" x14ac:dyDescent="0.25">
      <c r="A117">
        <v>115</v>
      </c>
      <c r="B117" t="s">
        <v>335</v>
      </c>
      <c r="C117" s="1">
        <v>46220</v>
      </c>
      <c r="D117">
        <v>87.323345000000003</v>
      </c>
      <c r="E117">
        <v>904.61192412000003</v>
      </c>
      <c r="F117">
        <v>906.26713361999998</v>
      </c>
      <c r="G117">
        <v>904.61192412000003</v>
      </c>
      <c r="H117">
        <v>13.171911816988199</v>
      </c>
      <c r="J117" t="b">
        <v>0</v>
      </c>
    </row>
    <row r="118" spans="1:10" x14ac:dyDescent="0.25">
      <c r="A118">
        <v>116</v>
      </c>
      <c r="B118" t="s">
        <v>339</v>
      </c>
      <c r="C118" s="1">
        <v>46220</v>
      </c>
      <c r="D118">
        <v>67.718854999999905</v>
      </c>
      <c r="E118">
        <v>1945.5448664099999</v>
      </c>
      <c r="F118">
        <v>1947.9896770400001</v>
      </c>
      <c r="G118">
        <v>1945.5448664099999</v>
      </c>
      <c r="H118">
        <v>23.8385221177641</v>
      </c>
      <c r="J118" t="b">
        <v>0</v>
      </c>
    </row>
    <row r="119" spans="1:10" x14ac:dyDescent="0.25">
      <c r="A119">
        <v>117</v>
      </c>
      <c r="B119" t="s">
        <v>341</v>
      </c>
      <c r="C119" s="1">
        <v>46220</v>
      </c>
      <c r="D119">
        <v>89.5</v>
      </c>
      <c r="F119">
        <v>788.40128159000005</v>
      </c>
      <c r="H119">
        <v>11.643848214000901</v>
      </c>
      <c r="J119" t="b">
        <v>0</v>
      </c>
    </row>
    <row r="120" spans="1:10" x14ac:dyDescent="0.25">
      <c r="A120">
        <v>118</v>
      </c>
      <c r="B120" t="s">
        <v>343</v>
      </c>
      <c r="C120" s="1">
        <v>46220</v>
      </c>
      <c r="D120">
        <v>83.125</v>
      </c>
      <c r="F120">
        <v>811.83853153999996</v>
      </c>
      <c r="H120">
        <v>12.2318835056428</v>
      </c>
      <c r="J120" t="b">
        <v>0</v>
      </c>
    </row>
    <row r="121" spans="1:10" x14ac:dyDescent="0.25">
      <c r="A121">
        <v>119</v>
      </c>
      <c r="B121" t="s">
        <v>355</v>
      </c>
      <c r="C121" s="1">
        <v>46220</v>
      </c>
      <c r="D121">
        <v>18.507559999999899</v>
      </c>
      <c r="E121">
        <v>10382.23557085</v>
      </c>
      <c r="F121">
        <v>10384.40098323</v>
      </c>
      <c r="G121">
        <v>10382.23557085</v>
      </c>
      <c r="H121">
        <v>113.98477493505</v>
      </c>
      <c r="J121" t="b">
        <v>0</v>
      </c>
    </row>
    <row r="122" spans="1:10" x14ac:dyDescent="0.25">
      <c r="A122">
        <v>120</v>
      </c>
      <c r="B122" t="s">
        <v>359</v>
      </c>
      <c r="C122" s="1">
        <v>46220</v>
      </c>
      <c r="D122">
        <v>58.472720000000002</v>
      </c>
      <c r="E122">
        <v>2728.7299097599998</v>
      </c>
      <c r="F122">
        <v>2730.80650517</v>
      </c>
      <c r="G122">
        <v>2728.7299097599998</v>
      </c>
      <c r="H122">
        <v>31.345993679621301</v>
      </c>
      <c r="J122" t="b">
        <v>0</v>
      </c>
    </row>
    <row r="123" spans="1:10" x14ac:dyDescent="0.25">
      <c r="A123">
        <v>121</v>
      </c>
      <c r="B123" t="s">
        <v>361</v>
      </c>
      <c r="C123" s="1">
        <v>46220</v>
      </c>
      <c r="E123" s="4"/>
      <c r="J123" t="b">
        <v>1</v>
      </c>
    </row>
    <row r="124" spans="1:10" x14ac:dyDescent="0.25">
      <c r="A124">
        <v>122</v>
      </c>
      <c r="B124" t="s">
        <v>363</v>
      </c>
      <c r="C124" s="1">
        <v>46220</v>
      </c>
      <c r="D124">
        <v>58.782679999999999</v>
      </c>
      <c r="E124">
        <v>3623.5668680600002</v>
      </c>
      <c r="F124">
        <v>3625.7640753599999</v>
      </c>
      <c r="G124">
        <v>3623.5668680600002</v>
      </c>
      <c r="H124">
        <v>40.3527770353272</v>
      </c>
      <c r="J124" t="b">
        <v>0</v>
      </c>
    </row>
    <row r="125" spans="1:10" x14ac:dyDescent="0.25">
      <c r="A125">
        <v>123</v>
      </c>
      <c r="B125" t="s">
        <v>365</v>
      </c>
      <c r="C125" s="1">
        <v>46220</v>
      </c>
      <c r="D125">
        <v>47</v>
      </c>
      <c r="F125">
        <v>2325.4649096799999</v>
      </c>
      <c r="H125">
        <v>27.5112885748967</v>
      </c>
      <c r="J125" t="b">
        <v>0</v>
      </c>
    </row>
    <row r="126" spans="1:10" x14ac:dyDescent="0.25">
      <c r="A126">
        <v>124</v>
      </c>
      <c r="B126" t="s">
        <v>367</v>
      </c>
      <c r="C126" s="1">
        <v>46220</v>
      </c>
      <c r="J126" t="b">
        <v>0</v>
      </c>
    </row>
    <row r="127" spans="1:10" x14ac:dyDescent="0.25">
      <c r="A127">
        <v>125</v>
      </c>
      <c r="B127" t="s">
        <v>369</v>
      </c>
      <c r="C127" s="1">
        <v>46220</v>
      </c>
      <c r="D127">
        <v>54</v>
      </c>
      <c r="F127">
        <v>3629.2545683799999</v>
      </c>
      <c r="H127">
        <v>42.361986778405999</v>
      </c>
      <c r="J127" t="b">
        <v>0</v>
      </c>
    </row>
    <row r="128" spans="1:10" x14ac:dyDescent="0.25">
      <c r="A128">
        <v>126</v>
      </c>
      <c r="B128" t="s">
        <v>371</v>
      </c>
      <c r="C128" s="1">
        <v>46220</v>
      </c>
      <c r="D128">
        <v>57.5</v>
      </c>
      <c r="F128">
        <v>3907.19011271</v>
      </c>
      <c r="H128">
        <v>42.8525486640644</v>
      </c>
      <c r="J128" t="b">
        <v>0</v>
      </c>
    </row>
    <row r="129" spans="1:10" x14ac:dyDescent="0.25">
      <c r="A129">
        <v>127</v>
      </c>
      <c r="B129" t="s">
        <v>373</v>
      </c>
      <c r="C129" s="1">
        <v>46220</v>
      </c>
      <c r="J129" t="b">
        <v>0</v>
      </c>
    </row>
    <row r="130" spans="1:10" x14ac:dyDescent="0.25">
      <c r="A130">
        <v>128</v>
      </c>
      <c r="B130" t="s">
        <v>288</v>
      </c>
      <c r="C130" s="1">
        <v>46220</v>
      </c>
      <c r="D130">
        <v>40.241549999999997</v>
      </c>
      <c r="F130">
        <v>4025.1970762199999</v>
      </c>
      <c r="H130">
        <v>44.270343141062597</v>
      </c>
      <c r="J130" t="b">
        <v>0</v>
      </c>
    </row>
    <row r="131" spans="1:10" x14ac:dyDescent="0.25">
      <c r="A131">
        <v>129</v>
      </c>
      <c r="B131" t="s">
        <v>292</v>
      </c>
      <c r="C131" s="1">
        <v>46220</v>
      </c>
      <c r="D131">
        <v>66.940209999999993</v>
      </c>
      <c r="E131">
        <v>2680.06803421</v>
      </c>
      <c r="F131">
        <v>2681.9548848099998</v>
      </c>
      <c r="G131">
        <v>2680.06803421</v>
      </c>
      <c r="H131">
        <v>30.484544974696799</v>
      </c>
      <c r="J131" t="b">
        <v>0</v>
      </c>
    </row>
    <row r="132" spans="1:10" x14ac:dyDescent="0.25">
      <c r="A132">
        <v>130</v>
      </c>
      <c r="B132" t="s">
        <v>294</v>
      </c>
      <c r="C132" s="1">
        <v>46220</v>
      </c>
      <c r="D132">
        <v>29.808765000000001</v>
      </c>
      <c r="E132">
        <v>3972.30902092</v>
      </c>
      <c r="F132">
        <v>3974.0788416199998</v>
      </c>
      <c r="G132">
        <v>3972.30902092</v>
      </c>
      <c r="H132">
        <v>43.846340932205202</v>
      </c>
      <c r="J132" t="b">
        <v>0</v>
      </c>
    </row>
    <row r="133" spans="1:10" x14ac:dyDescent="0.25">
      <c r="A133">
        <v>131</v>
      </c>
      <c r="B133" t="s">
        <v>296</v>
      </c>
      <c r="C133" s="1">
        <v>46220</v>
      </c>
      <c r="J133" t="b">
        <v>1</v>
      </c>
    </row>
    <row r="134" spans="1:10" x14ac:dyDescent="0.25">
      <c r="A134">
        <v>132</v>
      </c>
      <c r="B134" t="s">
        <v>3143</v>
      </c>
      <c r="C134" s="1">
        <v>46220</v>
      </c>
      <c r="D134">
        <v>82.565304999999995</v>
      </c>
      <c r="F134">
        <v>842.07167827000001</v>
      </c>
      <c r="H134">
        <v>12.410345369818801</v>
      </c>
      <c r="J134" t="b">
        <v>0</v>
      </c>
    </row>
    <row r="135" spans="1:10" x14ac:dyDescent="0.25">
      <c r="A135">
        <v>133</v>
      </c>
      <c r="B135" t="s">
        <v>298</v>
      </c>
      <c r="C135" s="1">
        <v>46220</v>
      </c>
      <c r="D135">
        <v>25.427009999999999</v>
      </c>
      <c r="E135">
        <v>5368.6370406599999</v>
      </c>
      <c r="F135">
        <v>5370.6335668199999</v>
      </c>
      <c r="G135">
        <v>5368.6370406599999</v>
      </c>
      <c r="H135">
        <v>58.239076957064</v>
      </c>
      <c r="J135" t="b">
        <v>0</v>
      </c>
    </row>
    <row r="136" spans="1:10" x14ac:dyDescent="0.25">
      <c r="A136">
        <v>134</v>
      </c>
      <c r="B136" t="s">
        <v>300</v>
      </c>
      <c r="C136" s="1">
        <v>46220</v>
      </c>
      <c r="D136">
        <v>85.895439999999994</v>
      </c>
      <c r="E136">
        <v>4370.8193336100003</v>
      </c>
      <c r="F136">
        <v>4247.1914841199996</v>
      </c>
      <c r="G136">
        <v>4370.8193336100003</v>
      </c>
      <c r="H136">
        <v>50.821209817275701</v>
      </c>
      <c r="J136" t="b">
        <v>0</v>
      </c>
    </row>
    <row r="137" spans="1:10" x14ac:dyDescent="0.25">
      <c r="A137">
        <v>135</v>
      </c>
      <c r="B137" t="s">
        <v>302</v>
      </c>
      <c r="C137" s="1">
        <v>46220</v>
      </c>
      <c r="J137" t="b">
        <v>1</v>
      </c>
    </row>
    <row r="138" spans="1:10" x14ac:dyDescent="0.25">
      <c r="A138">
        <v>136</v>
      </c>
      <c r="B138" t="s">
        <v>304</v>
      </c>
      <c r="C138" s="1">
        <v>46220</v>
      </c>
      <c r="D138">
        <v>55.75</v>
      </c>
      <c r="F138">
        <v>3932.0293052900001</v>
      </c>
      <c r="H138">
        <v>42.897727635535098</v>
      </c>
      <c r="J138" t="b">
        <v>0</v>
      </c>
    </row>
    <row r="139" spans="1:10" x14ac:dyDescent="0.25">
      <c r="A139">
        <v>137</v>
      </c>
      <c r="B139" t="s">
        <v>306</v>
      </c>
      <c r="C139" s="1">
        <v>46220</v>
      </c>
      <c r="D139">
        <v>56</v>
      </c>
      <c r="F139">
        <v>3920.7607503300001</v>
      </c>
      <c r="H139">
        <v>42.261395182814702</v>
      </c>
      <c r="J139" t="b">
        <v>0</v>
      </c>
    </row>
    <row r="140" spans="1:10" x14ac:dyDescent="0.25">
      <c r="A140">
        <v>138</v>
      </c>
      <c r="B140" t="s">
        <v>308</v>
      </c>
      <c r="C140" s="1">
        <v>46220</v>
      </c>
      <c r="D140">
        <v>56</v>
      </c>
      <c r="F140">
        <v>3920.6344454499999</v>
      </c>
      <c r="H140">
        <v>41.999581317210101</v>
      </c>
      <c r="J140" t="b">
        <v>0</v>
      </c>
    </row>
    <row r="141" spans="1:10" x14ac:dyDescent="0.25">
      <c r="A141">
        <v>139</v>
      </c>
      <c r="B141" t="s">
        <v>375</v>
      </c>
      <c r="C141" s="1">
        <v>46220</v>
      </c>
      <c r="D141">
        <v>77.5</v>
      </c>
      <c r="F141">
        <v>1032.34913291</v>
      </c>
      <c r="H141">
        <v>14.2600403522968</v>
      </c>
      <c r="J141" t="b">
        <v>0</v>
      </c>
    </row>
    <row r="142" spans="1:10" x14ac:dyDescent="0.25">
      <c r="A142">
        <v>140</v>
      </c>
      <c r="B142" t="s">
        <v>379</v>
      </c>
      <c r="C142" s="1">
        <v>46220</v>
      </c>
      <c r="D142">
        <v>61</v>
      </c>
      <c r="F142">
        <v>1688.7503486999999</v>
      </c>
      <c r="H142">
        <v>19.900458818301502</v>
      </c>
      <c r="J142" t="b">
        <v>0</v>
      </c>
    </row>
    <row r="143" spans="1:10" x14ac:dyDescent="0.25">
      <c r="A143">
        <v>141</v>
      </c>
      <c r="B143" t="s">
        <v>400</v>
      </c>
      <c r="C143" s="1">
        <v>46220</v>
      </c>
      <c r="D143">
        <v>78</v>
      </c>
      <c r="J143" t="b">
        <v>0</v>
      </c>
    </row>
    <row r="144" spans="1:10" x14ac:dyDescent="0.25">
      <c r="A144">
        <v>142</v>
      </c>
      <c r="B144" t="s">
        <v>401</v>
      </c>
      <c r="C144" s="1">
        <v>46220</v>
      </c>
      <c r="D144">
        <v>85.75</v>
      </c>
      <c r="F144">
        <v>1396.5001004600001</v>
      </c>
      <c r="H144">
        <v>18.2243047551387</v>
      </c>
      <c r="J144" t="b">
        <v>0</v>
      </c>
    </row>
    <row r="145" spans="1:10" x14ac:dyDescent="0.25">
      <c r="A145">
        <v>143</v>
      </c>
      <c r="B145" t="s">
        <v>403</v>
      </c>
      <c r="C145" s="1">
        <v>46220</v>
      </c>
      <c r="D145">
        <v>87.75</v>
      </c>
      <c r="F145">
        <v>1145.30242062</v>
      </c>
      <c r="H145">
        <v>14.144774636930901</v>
      </c>
      <c r="J145" t="b">
        <v>0</v>
      </c>
    </row>
    <row r="146" spans="1:10" x14ac:dyDescent="0.25">
      <c r="A146">
        <v>144</v>
      </c>
      <c r="B146" t="s">
        <v>405</v>
      </c>
      <c r="C146" s="1">
        <v>46220</v>
      </c>
      <c r="D146">
        <v>89.375</v>
      </c>
      <c r="F146">
        <v>1035.60947414</v>
      </c>
      <c r="H146">
        <v>14.6882789440424</v>
      </c>
      <c r="J146" t="b">
        <v>0</v>
      </c>
    </row>
    <row r="147" spans="1:10" x14ac:dyDescent="0.25">
      <c r="A147">
        <v>145</v>
      </c>
      <c r="B147" t="s">
        <v>407</v>
      </c>
      <c r="C147" s="1">
        <v>46220</v>
      </c>
      <c r="J147" t="b">
        <v>0</v>
      </c>
    </row>
    <row r="148" spans="1:10" x14ac:dyDescent="0.25">
      <c r="A148">
        <v>146</v>
      </c>
      <c r="B148" t="s">
        <v>409</v>
      </c>
      <c r="C148" s="1">
        <v>46220</v>
      </c>
      <c r="J148" t="b">
        <v>0</v>
      </c>
    </row>
    <row r="149" spans="1:10" x14ac:dyDescent="0.25">
      <c r="A149">
        <v>147</v>
      </c>
      <c r="B149" t="s">
        <v>410</v>
      </c>
      <c r="C149" s="1">
        <v>46220</v>
      </c>
      <c r="J149" t="b">
        <v>0</v>
      </c>
    </row>
    <row r="150" spans="1:10" x14ac:dyDescent="0.25">
      <c r="A150">
        <v>148</v>
      </c>
      <c r="B150" t="s">
        <v>411</v>
      </c>
      <c r="C150" s="1">
        <v>46220</v>
      </c>
      <c r="J150" t="b">
        <v>0</v>
      </c>
    </row>
    <row r="151" spans="1:10" x14ac:dyDescent="0.25">
      <c r="A151">
        <v>149</v>
      </c>
      <c r="B151" t="s">
        <v>1033</v>
      </c>
      <c r="C151" s="1">
        <v>46220</v>
      </c>
      <c r="D151">
        <v>99.217564999999993</v>
      </c>
      <c r="E151">
        <v>238.18337731</v>
      </c>
      <c r="F151">
        <v>239.98690110999999</v>
      </c>
      <c r="G151">
        <v>238.18337731</v>
      </c>
      <c r="H151">
        <v>6.4193189473347596</v>
      </c>
      <c r="J151" t="b">
        <v>0</v>
      </c>
    </row>
    <row r="152" spans="1:10" x14ac:dyDescent="0.25">
      <c r="A152">
        <v>150</v>
      </c>
      <c r="B152" t="s">
        <v>1037</v>
      </c>
      <c r="C152" s="1">
        <v>46220</v>
      </c>
      <c r="D152">
        <v>99.727615</v>
      </c>
      <c r="E152">
        <v>193.56060959999999</v>
      </c>
      <c r="F152">
        <v>197.55003747999999</v>
      </c>
      <c r="G152">
        <v>193.56060959999999</v>
      </c>
      <c r="H152">
        <v>5.9566530609789901</v>
      </c>
      <c r="J152" t="b">
        <v>0</v>
      </c>
    </row>
    <row r="153" spans="1:10" x14ac:dyDescent="0.25">
      <c r="A153">
        <v>151</v>
      </c>
      <c r="B153" t="s">
        <v>1039</v>
      </c>
      <c r="C153" s="1">
        <v>46220</v>
      </c>
      <c r="D153">
        <v>99.141284999999996</v>
      </c>
      <c r="E153">
        <v>631.07844582999996</v>
      </c>
      <c r="F153">
        <v>633.50448905999997</v>
      </c>
      <c r="G153">
        <v>631.07844582999996</v>
      </c>
      <c r="H153">
        <v>10.267098437058999</v>
      </c>
      <c r="J153" t="b">
        <v>0</v>
      </c>
    </row>
    <row r="154" spans="1:10" x14ac:dyDescent="0.25">
      <c r="A154">
        <v>152</v>
      </c>
      <c r="B154" t="s">
        <v>1041</v>
      </c>
      <c r="C154" s="1">
        <v>46220</v>
      </c>
      <c r="D154">
        <v>94.760040000000004</v>
      </c>
      <c r="E154">
        <v>672.42430764000005</v>
      </c>
      <c r="F154">
        <v>674.35930531999998</v>
      </c>
      <c r="G154">
        <v>672.42430764000005</v>
      </c>
      <c r="H154">
        <v>10.7265203855025</v>
      </c>
      <c r="J154" t="b">
        <v>0</v>
      </c>
    </row>
    <row r="155" spans="1:10" x14ac:dyDescent="0.25">
      <c r="A155">
        <v>153</v>
      </c>
      <c r="B155" t="s">
        <v>1043</v>
      </c>
      <c r="C155" s="1">
        <v>46220</v>
      </c>
      <c r="D155">
        <v>94.760040000000004</v>
      </c>
      <c r="E155">
        <v>672.42430764000005</v>
      </c>
      <c r="F155">
        <v>674.35930531999998</v>
      </c>
      <c r="G155">
        <v>672.42430764000005</v>
      </c>
      <c r="H155">
        <v>10.7265203855025</v>
      </c>
      <c r="J155" t="b">
        <v>0</v>
      </c>
    </row>
    <row r="156" spans="1:10" x14ac:dyDescent="0.25">
      <c r="A156">
        <v>154</v>
      </c>
      <c r="B156" t="s">
        <v>1044</v>
      </c>
      <c r="C156" s="1">
        <v>46220</v>
      </c>
      <c r="D156">
        <v>99.141284999999996</v>
      </c>
      <c r="E156">
        <v>631.07844582999996</v>
      </c>
      <c r="F156">
        <v>633.50448905999997</v>
      </c>
      <c r="G156">
        <v>631.07844582999996</v>
      </c>
      <c r="H156">
        <v>10.267098437058999</v>
      </c>
      <c r="J156" t="b">
        <v>0</v>
      </c>
    </row>
    <row r="157" spans="1:10" x14ac:dyDescent="0.25">
      <c r="A157">
        <v>155</v>
      </c>
      <c r="B157" t="s">
        <v>1045</v>
      </c>
      <c r="C157" s="1">
        <v>46220</v>
      </c>
      <c r="D157">
        <v>99.215879999999999</v>
      </c>
      <c r="E157">
        <v>620.49807171999998</v>
      </c>
      <c r="F157">
        <v>622.64196432999995</v>
      </c>
      <c r="G157">
        <v>620.49807171999998</v>
      </c>
      <c r="H157">
        <v>10.3168206159223</v>
      </c>
      <c r="J157" t="b">
        <v>0</v>
      </c>
    </row>
    <row r="158" spans="1:10" x14ac:dyDescent="0.25">
      <c r="A158">
        <v>156</v>
      </c>
      <c r="B158" t="s">
        <v>1047</v>
      </c>
      <c r="C158" s="1">
        <v>46220</v>
      </c>
      <c r="D158">
        <v>101.2458</v>
      </c>
      <c r="E158">
        <v>350.18606800999999</v>
      </c>
      <c r="F158">
        <v>352.16760319000002</v>
      </c>
      <c r="G158">
        <v>350.18606800999999</v>
      </c>
      <c r="H158">
        <v>7.6722876619475899</v>
      </c>
      <c r="J158" t="b">
        <v>0</v>
      </c>
    </row>
    <row r="159" spans="1:10" x14ac:dyDescent="0.25">
      <c r="A159">
        <v>157</v>
      </c>
      <c r="B159" t="s">
        <v>1049</v>
      </c>
      <c r="C159" s="1">
        <v>46220</v>
      </c>
      <c r="D159">
        <v>101.42205</v>
      </c>
      <c r="E159">
        <v>303.39178885000001</v>
      </c>
      <c r="F159">
        <v>305.74416473000002</v>
      </c>
      <c r="G159">
        <v>303.39178885000001</v>
      </c>
      <c r="H159">
        <v>7.1512211984706298</v>
      </c>
      <c r="J159" t="b">
        <v>0</v>
      </c>
    </row>
    <row r="160" spans="1:10" x14ac:dyDescent="0.25">
      <c r="A160">
        <v>158</v>
      </c>
      <c r="B160" t="s">
        <v>1051</v>
      </c>
      <c r="C160" s="1">
        <v>46220</v>
      </c>
      <c r="J160" t="b">
        <v>1</v>
      </c>
    </row>
    <row r="161" spans="1:10" x14ac:dyDescent="0.25">
      <c r="A161">
        <v>159</v>
      </c>
      <c r="B161" t="s">
        <v>1053</v>
      </c>
      <c r="C161" s="1">
        <v>46220</v>
      </c>
      <c r="D161">
        <v>86.502949999999998</v>
      </c>
      <c r="E161">
        <v>658.25817456000004</v>
      </c>
      <c r="F161">
        <v>661.10049571000002</v>
      </c>
      <c r="G161">
        <v>658.25817456000004</v>
      </c>
      <c r="H161">
        <v>10.612408380807199</v>
      </c>
      <c r="J161" t="b">
        <v>0</v>
      </c>
    </row>
    <row r="162" spans="1:10" x14ac:dyDescent="0.25">
      <c r="A162">
        <v>160</v>
      </c>
      <c r="B162" t="s">
        <v>1055</v>
      </c>
      <c r="C162" s="1">
        <v>46220</v>
      </c>
      <c r="D162">
        <v>86.502949999999998</v>
      </c>
      <c r="E162">
        <v>658.25817456000004</v>
      </c>
      <c r="F162">
        <v>661.10049571000002</v>
      </c>
      <c r="G162">
        <v>658.25817456000004</v>
      </c>
      <c r="H162">
        <v>10.612408380807199</v>
      </c>
      <c r="J162" t="b">
        <v>0</v>
      </c>
    </row>
    <row r="163" spans="1:10" x14ac:dyDescent="0.25">
      <c r="A163">
        <v>161</v>
      </c>
      <c r="B163" t="s">
        <v>1056</v>
      </c>
      <c r="C163" s="1">
        <v>46220</v>
      </c>
      <c r="D163">
        <v>99.217564999999993</v>
      </c>
      <c r="E163">
        <v>238.18337731</v>
      </c>
      <c r="F163">
        <v>239.98690110999999</v>
      </c>
      <c r="G163">
        <v>238.18337731</v>
      </c>
      <c r="H163">
        <v>6.4193189473347596</v>
      </c>
      <c r="J163" t="b">
        <v>0</v>
      </c>
    </row>
    <row r="164" spans="1:10" x14ac:dyDescent="0.25">
      <c r="A164">
        <v>162</v>
      </c>
      <c r="B164" t="s">
        <v>29</v>
      </c>
      <c r="C164" s="1">
        <v>46220</v>
      </c>
      <c r="D164">
        <v>75.388549999999995</v>
      </c>
      <c r="E164">
        <v>1442.3426987800001</v>
      </c>
      <c r="F164">
        <v>1444.05470036</v>
      </c>
      <c r="G164">
        <v>1442.3426987800001</v>
      </c>
      <c r="H164">
        <v>18.751509034914001</v>
      </c>
      <c r="J164" t="b">
        <v>0</v>
      </c>
    </row>
    <row r="165" spans="1:10" x14ac:dyDescent="0.25">
      <c r="A165">
        <v>163</v>
      </c>
      <c r="B165" t="s">
        <v>135</v>
      </c>
      <c r="C165" s="1">
        <v>46220</v>
      </c>
      <c r="D165">
        <v>90.117134999999905</v>
      </c>
      <c r="E165">
        <v>1065.64962438</v>
      </c>
      <c r="F165">
        <v>1069.29261165</v>
      </c>
      <c r="G165">
        <v>1065.64962438</v>
      </c>
      <c r="H165">
        <v>15.0546617968968</v>
      </c>
      <c r="J165" t="b">
        <v>0</v>
      </c>
    </row>
    <row r="166" spans="1:10" x14ac:dyDescent="0.25">
      <c r="A166">
        <v>164</v>
      </c>
      <c r="B166" t="s">
        <v>22</v>
      </c>
      <c r="C166" s="1">
        <v>46220</v>
      </c>
      <c r="D166">
        <v>64.669610000000006</v>
      </c>
      <c r="E166">
        <v>1542.3577368000001</v>
      </c>
      <c r="F166">
        <v>1544.4233211200001</v>
      </c>
      <c r="G166">
        <v>1542.3577368000001</v>
      </c>
      <c r="H166">
        <v>19.629938593891001</v>
      </c>
      <c r="J166" t="b">
        <v>0</v>
      </c>
    </row>
    <row r="167" spans="1:10" x14ac:dyDescent="0.25">
      <c r="A167">
        <v>165</v>
      </c>
      <c r="B167" t="s">
        <v>20</v>
      </c>
      <c r="C167" s="1">
        <v>46220</v>
      </c>
      <c r="D167">
        <v>88.674109999999999</v>
      </c>
      <c r="E167">
        <v>939.49766714999998</v>
      </c>
      <c r="F167">
        <v>942.99672753000004</v>
      </c>
      <c r="G167">
        <v>939.49766714999998</v>
      </c>
      <c r="H167">
        <v>13.7528387363429</v>
      </c>
      <c r="J167" t="b">
        <v>0</v>
      </c>
    </row>
    <row r="168" spans="1:10" x14ac:dyDescent="0.25">
      <c r="A168">
        <v>166</v>
      </c>
      <c r="B168" t="s">
        <v>137</v>
      </c>
      <c r="C168" s="1">
        <v>46220</v>
      </c>
      <c r="D168">
        <v>102.83314999999899</v>
      </c>
      <c r="E168">
        <v>93.822701309999999</v>
      </c>
      <c r="F168">
        <v>101.35266909000001</v>
      </c>
      <c r="G168">
        <v>93.822701309999999</v>
      </c>
      <c r="H168">
        <v>7.00538121229234</v>
      </c>
      <c r="J168" t="b">
        <v>0</v>
      </c>
    </row>
    <row r="169" spans="1:10" x14ac:dyDescent="0.25">
      <c r="A169">
        <v>167</v>
      </c>
      <c r="B169" t="s">
        <v>139</v>
      </c>
      <c r="C169" s="1">
        <v>46220</v>
      </c>
      <c r="D169">
        <v>102.1643</v>
      </c>
      <c r="E169">
        <v>524.10395679999999</v>
      </c>
      <c r="F169">
        <v>525.92342655000004</v>
      </c>
      <c r="G169">
        <v>524.10395679999999</v>
      </c>
      <c r="H169">
        <v>9.5057797710668002</v>
      </c>
      <c r="J169" t="b">
        <v>0</v>
      </c>
    </row>
    <row r="170" spans="1:10" x14ac:dyDescent="0.25">
      <c r="A170">
        <v>168</v>
      </c>
      <c r="B170" t="s">
        <v>141</v>
      </c>
      <c r="C170" s="1">
        <v>46220</v>
      </c>
      <c r="D170">
        <v>100.93800354003901</v>
      </c>
      <c r="E170">
        <v>-3958.79</v>
      </c>
      <c r="F170">
        <v>-4174.07</v>
      </c>
      <c r="G170">
        <v>-3958.79</v>
      </c>
      <c r="H170">
        <v>6.1631912281702901</v>
      </c>
      <c r="J170" t="b">
        <v>0</v>
      </c>
    </row>
    <row r="171" spans="1:10" x14ac:dyDescent="0.25">
      <c r="A171">
        <v>169</v>
      </c>
      <c r="B171" t="s">
        <v>143</v>
      </c>
      <c r="C171" s="1">
        <v>46220</v>
      </c>
      <c r="J171" t="b">
        <v>0</v>
      </c>
    </row>
    <row r="172" spans="1:10" x14ac:dyDescent="0.25">
      <c r="A172">
        <v>170</v>
      </c>
      <c r="B172" t="s">
        <v>145</v>
      </c>
      <c r="C172" s="1">
        <v>46220</v>
      </c>
      <c r="D172">
        <v>100.221675</v>
      </c>
      <c r="E172">
        <v>301.37565160999998</v>
      </c>
      <c r="F172">
        <v>303.76057516999998</v>
      </c>
      <c r="G172">
        <v>301.37565160999998</v>
      </c>
      <c r="H172">
        <v>7.0460601844226796</v>
      </c>
      <c r="J172" t="b">
        <v>0</v>
      </c>
    </row>
    <row r="173" spans="1:10" x14ac:dyDescent="0.25">
      <c r="A173">
        <v>171</v>
      </c>
      <c r="B173" t="s">
        <v>147</v>
      </c>
      <c r="C173" s="1">
        <v>46220</v>
      </c>
      <c r="D173">
        <v>102.5761</v>
      </c>
      <c r="E173">
        <v>561.73539390999997</v>
      </c>
      <c r="F173">
        <v>563.89004307000005</v>
      </c>
      <c r="G173">
        <v>561.73539390999997</v>
      </c>
      <c r="H173">
        <v>9.6507786878283692</v>
      </c>
      <c r="J173" t="b">
        <v>0</v>
      </c>
    </row>
    <row r="174" spans="1:10" x14ac:dyDescent="0.25">
      <c r="A174">
        <v>172</v>
      </c>
      <c r="B174" t="s">
        <v>149</v>
      </c>
      <c r="C174" s="1">
        <v>46220</v>
      </c>
      <c r="D174">
        <v>93.741770000000002</v>
      </c>
      <c r="E174">
        <v>1205.30532793</v>
      </c>
      <c r="F174">
        <v>1207.06973103</v>
      </c>
      <c r="G174">
        <v>1205.30532793</v>
      </c>
      <c r="H174">
        <v>16.078970671576201</v>
      </c>
      <c r="J174" t="b">
        <v>0</v>
      </c>
    </row>
    <row r="175" spans="1:10" x14ac:dyDescent="0.25">
      <c r="A175">
        <v>173</v>
      </c>
      <c r="B175" t="s">
        <v>151</v>
      </c>
      <c r="C175" s="1">
        <v>46220</v>
      </c>
      <c r="D175">
        <v>93.390159999999995</v>
      </c>
      <c r="E175">
        <v>470.62937098999998</v>
      </c>
      <c r="F175">
        <v>473.32799027999999</v>
      </c>
      <c r="G175">
        <v>470.62937098999998</v>
      </c>
      <c r="H175">
        <v>8.8425412369728793</v>
      </c>
      <c r="J175" t="b">
        <v>0</v>
      </c>
    </row>
    <row r="176" spans="1:10" x14ac:dyDescent="0.25">
      <c r="A176">
        <v>174</v>
      </c>
      <c r="B176" t="s">
        <v>26</v>
      </c>
      <c r="C176" s="1">
        <v>46220</v>
      </c>
      <c r="D176">
        <v>59.587485000000001</v>
      </c>
      <c r="E176">
        <v>1498.0961370699999</v>
      </c>
      <c r="F176">
        <v>1500.0682745700001</v>
      </c>
      <c r="G176">
        <v>1498.0961370699999</v>
      </c>
      <c r="H176">
        <v>19.023573111529299</v>
      </c>
      <c r="J176" t="b">
        <v>0</v>
      </c>
    </row>
    <row r="177" spans="1:10" x14ac:dyDescent="0.25">
      <c r="A177">
        <v>175</v>
      </c>
      <c r="B177" t="s">
        <v>31</v>
      </c>
      <c r="C177" s="1">
        <v>46220</v>
      </c>
      <c r="D177">
        <v>73.339044999999999</v>
      </c>
      <c r="E177">
        <v>1457.1457425000001</v>
      </c>
      <c r="F177">
        <v>1459.8572224100001</v>
      </c>
      <c r="G177">
        <v>1457.1457425000001</v>
      </c>
      <c r="H177">
        <v>18.837108337093401</v>
      </c>
      <c r="J177" t="b">
        <v>0</v>
      </c>
    </row>
    <row r="178" spans="1:10" x14ac:dyDescent="0.25">
      <c r="A178">
        <v>176</v>
      </c>
      <c r="B178" t="s">
        <v>24</v>
      </c>
      <c r="C178" s="1">
        <v>46220</v>
      </c>
      <c r="D178">
        <v>75.572029999999998</v>
      </c>
      <c r="E178">
        <v>1437.3874201599999</v>
      </c>
      <c r="F178">
        <v>1440.08275495</v>
      </c>
      <c r="G178">
        <v>1437.3874201599999</v>
      </c>
      <c r="H178">
        <v>18.7873995310824</v>
      </c>
      <c r="J178" t="b">
        <v>0</v>
      </c>
    </row>
    <row r="179" spans="1:10" x14ac:dyDescent="0.25">
      <c r="A179">
        <v>177</v>
      </c>
      <c r="B179" t="s">
        <v>153</v>
      </c>
      <c r="C179" s="1">
        <v>46220</v>
      </c>
      <c r="D179">
        <v>99.820580000000007</v>
      </c>
      <c r="E179">
        <v>459.81115431000001</v>
      </c>
      <c r="F179">
        <v>470.97037329</v>
      </c>
      <c r="G179">
        <v>459.81115431000001</v>
      </c>
      <c r="H179">
        <v>9.0815716213242101</v>
      </c>
      <c r="J179" t="b">
        <v>0</v>
      </c>
    </row>
    <row r="180" spans="1:10" x14ac:dyDescent="0.25">
      <c r="A180">
        <v>178</v>
      </c>
      <c r="B180" t="s">
        <v>155</v>
      </c>
      <c r="C180" s="1">
        <v>46220</v>
      </c>
      <c r="D180">
        <v>100.75</v>
      </c>
      <c r="F180">
        <v>315.62308030000003</v>
      </c>
      <c r="H180">
        <v>7.2535878906350204</v>
      </c>
      <c r="J180" t="b">
        <v>0</v>
      </c>
    </row>
    <row r="181" spans="1:10" x14ac:dyDescent="0.25">
      <c r="A181">
        <v>179</v>
      </c>
      <c r="B181" t="s">
        <v>157</v>
      </c>
      <c r="C181" s="1">
        <v>46220</v>
      </c>
      <c r="D181">
        <v>100.75</v>
      </c>
      <c r="J181" t="b">
        <v>0</v>
      </c>
    </row>
    <row r="182" spans="1:10" x14ac:dyDescent="0.25">
      <c r="A182">
        <v>180</v>
      </c>
      <c r="B182" t="s">
        <v>158</v>
      </c>
      <c r="C182" s="1">
        <v>46220</v>
      </c>
      <c r="D182">
        <v>97.375</v>
      </c>
      <c r="F182">
        <v>734.45777765000003</v>
      </c>
      <c r="H182">
        <v>10.7798886484332</v>
      </c>
      <c r="J182" t="b">
        <v>0</v>
      </c>
    </row>
    <row r="183" spans="1:10" x14ac:dyDescent="0.25">
      <c r="A183">
        <v>181</v>
      </c>
      <c r="B183" t="s">
        <v>160</v>
      </c>
      <c r="C183" s="1">
        <v>46220</v>
      </c>
      <c r="D183">
        <v>88.5</v>
      </c>
      <c r="J183" t="b">
        <v>0</v>
      </c>
    </row>
    <row r="184" spans="1:10" x14ac:dyDescent="0.25">
      <c r="A184">
        <v>182</v>
      </c>
      <c r="B184" t="s">
        <v>381</v>
      </c>
      <c r="C184" s="1">
        <v>46220</v>
      </c>
      <c r="D184">
        <v>19.349985</v>
      </c>
      <c r="F184">
        <v>4926.4350098300001</v>
      </c>
      <c r="H184">
        <v>53.436169760363001</v>
      </c>
      <c r="J184" t="b">
        <v>0</v>
      </c>
    </row>
    <row r="185" spans="1:10" x14ac:dyDescent="0.25">
      <c r="A185">
        <v>183</v>
      </c>
      <c r="B185" t="s">
        <v>385</v>
      </c>
      <c r="C185" s="1">
        <v>46220</v>
      </c>
      <c r="D185">
        <v>44.332859999999997</v>
      </c>
      <c r="E185">
        <v>4311.9277474600003</v>
      </c>
      <c r="F185">
        <v>4314.6852571199997</v>
      </c>
      <c r="G185">
        <v>4311.9277474600003</v>
      </c>
      <c r="H185">
        <v>45.524766820295497</v>
      </c>
      <c r="J185" t="b">
        <v>0</v>
      </c>
    </row>
    <row r="186" spans="1:10" x14ac:dyDescent="0.25">
      <c r="A186">
        <v>184</v>
      </c>
      <c r="B186" t="s">
        <v>387</v>
      </c>
      <c r="C186" s="1">
        <v>46220</v>
      </c>
      <c r="D186">
        <v>62.831499999999998</v>
      </c>
      <c r="F186">
        <v>2498.5317396800001</v>
      </c>
      <c r="H186">
        <v>21.9689738703891</v>
      </c>
      <c r="J186" t="b">
        <v>0</v>
      </c>
    </row>
    <row r="187" spans="1:10" x14ac:dyDescent="0.25">
      <c r="A187">
        <v>185</v>
      </c>
      <c r="B187" t="s">
        <v>389</v>
      </c>
      <c r="C187" s="1">
        <v>46220</v>
      </c>
      <c r="D187">
        <v>102.625</v>
      </c>
      <c r="F187">
        <v>446.34418598000002</v>
      </c>
      <c r="H187">
        <v>8.8999041525047708</v>
      </c>
      <c r="J187" t="b">
        <v>0</v>
      </c>
    </row>
    <row r="188" spans="1:10" x14ac:dyDescent="0.25">
      <c r="A188">
        <v>186</v>
      </c>
      <c r="B188" t="s">
        <v>391</v>
      </c>
      <c r="C188" s="1">
        <v>46220</v>
      </c>
      <c r="D188">
        <v>62.75</v>
      </c>
      <c r="F188">
        <v>2649.1671220799999</v>
      </c>
      <c r="H188">
        <v>23.569082049652899</v>
      </c>
      <c r="J188" t="b">
        <v>0</v>
      </c>
    </row>
    <row r="189" spans="1:10" x14ac:dyDescent="0.25">
      <c r="A189">
        <v>187</v>
      </c>
      <c r="B189" t="s">
        <v>393</v>
      </c>
      <c r="C189" s="1">
        <v>46220</v>
      </c>
      <c r="D189">
        <v>62.5</v>
      </c>
      <c r="F189">
        <v>6117.6848360699996</v>
      </c>
      <c r="H189">
        <v>44.080442715325397</v>
      </c>
      <c r="J189" t="b">
        <v>0</v>
      </c>
    </row>
    <row r="190" spans="1:10" x14ac:dyDescent="0.25">
      <c r="A190">
        <v>188</v>
      </c>
      <c r="B190" t="s">
        <v>395</v>
      </c>
      <c r="C190" s="1">
        <v>46220</v>
      </c>
      <c r="D190">
        <v>61.5</v>
      </c>
      <c r="F190">
        <v>5863.1511429399998</v>
      </c>
      <c r="H190">
        <v>41.740384975180298</v>
      </c>
      <c r="J190" t="b">
        <v>0</v>
      </c>
    </row>
    <row r="191" spans="1:10" x14ac:dyDescent="0.25">
      <c r="A191">
        <v>189</v>
      </c>
      <c r="B191" t="s">
        <v>3363</v>
      </c>
      <c r="C191" s="1">
        <v>46220</v>
      </c>
      <c r="D191">
        <v>55</v>
      </c>
      <c r="F191">
        <v>3470.2708060300001</v>
      </c>
      <c r="H191">
        <v>38.621954619884399</v>
      </c>
      <c r="J191" t="b">
        <v>0</v>
      </c>
    </row>
    <row r="192" spans="1:10" x14ac:dyDescent="0.25">
      <c r="A192">
        <v>190</v>
      </c>
      <c r="B192" t="s">
        <v>3367</v>
      </c>
      <c r="C192" s="1">
        <v>46220</v>
      </c>
      <c r="J192" t="b">
        <v>0</v>
      </c>
    </row>
    <row r="193" spans="1:10" x14ac:dyDescent="0.25">
      <c r="A193">
        <v>191</v>
      </c>
      <c r="B193" t="s">
        <v>3369</v>
      </c>
      <c r="C193" s="1">
        <v>46220</v>
      </c>
      <c r="D193">
        <v>64</v>
      </c>
      <c r="F193">
        <v>2637.0703140999999</v>
      </c>
      <c r="H193">
        <v>30.420498575701298</v>
      </c>
      <c r="J193" t="b">
        <v>0</v>
      </c>
    </row>
    <row r="194" spans="1:10" x14ac:dyDescent="0.25">
      <c r="A194">
        <v>192</v>
      </c>
      <c r="B194" t="s">
        <v>428</v>
      </c>
      <c r="C194" s="1">
        <v>46220</v>
      </c>
      <c r="D194">
        <v>85.083095</v>
      </c>
      <c r="E194">
        <v>1132.23580943</v>
      </c>
      <c r="F194">
        <v>1134.2961231199999</v>
      </c>
      <c r="G194">
        <v>1132.23580943</v>
      </c>
      <c r="H194">
        <v>15.4415128821003</v>
      </c>
      <c r="J194" t="b">
        <v>0</v>
      </c>
    </row>
    <row r="195" spans="1:10" x14ac:dyDescent="0.25">
      <c r="A195">
        <v>193</v>
      </c>
      <c r="B195" t="s">
        <v>432</v>
      </c>
      <c r="C195" s="1">
        <v>46220</v>
      </c>
      <c r="D195">
        <v>78.5</v>
      </c>
      <c r="J195" t="b">
        <v>0</v>
      </c>
    </row>
    <row r="196" spans="1:10" x14ac:dyDescent="0.25">
      <c r="A196">
        <v>194</v>
      </c>
      <c r="B196" t="s">
        <v>434</v>
      </c>
      <c r="C196" s="1">
        <v>46220</v>
      </c>
      <c r="D196">
        <v>78.580999999999904</v>
      </c>
      <c r="F196">
        <v>1185.7471889399999</v>
      </c>
      <c r="H196">
        <v>15.6418689756061</v>
      </c>
      <c r="J196" t="b">
        <v>0</v>
      </c>
    </row>
    <row r="197" spans="1:10" x14ac:dyDescent="0.25">
      <c r="A197">
        <v>195</v>
      </c>
      <c r="B197" t="s">
        <v>436</v>
      </c>
      <c r="C197" s="1">
        <v>46220</v>
      </c>
      <c r="D197">
        <v>93.071799999999996</v>
      </c>
      <c r="E197">
        <v>391.61921825000002</v>
      </c>
      <c r="F197">
        <v>393.33975364999998</v>
      </c>
      <c r="G197">
        <v>391.61921825000002</v>
      </c>
      <c r="H197">
        <v>7.9625923134918901</v>
      </c>
      <c r="J197" t="b">
        <v>0</v>
      </c>
    </row>
    <row r="198" spans="1:10" x14ac:dyDescent="0.25">
      <c r="A198">
        <v>196</v>
      </c>
      <c r="B198" t="s">
        <v>440</v>
      </c>
      <c r="C198" s="1">
        <v>46220</v>
      </c>
      <c r="D198">
        <v>87.767124999999993</v>
      </c>
      <c r="E198">
        <v>185.72897022000001</v>
      </c>
      <c r="F198">
        <v>184.02840646999999</v>
      </c>
      <c r="G198">
        <v>185.72897022000001</v>
      </c>
      <c r="H198">
        <v>5.2256042654755701</v>
      </c>
      <c r="J198" t="b">
        <v>0</v>
      </c>
    </row>
    <row r="199" spans="1:10" x14ac:dyDescent="0.25">
      <c r="A199">
        <v>197</v>
      </c>
      <c r="B199" t="s">
        <v>442</v>
      </c>
      <c r="C199" s="1">
        <v>46220</v>
      </c>
      <c r="D199">
        <v>86.895160000000004</v>
      </c>
      <c r="E199">
        <v>908.75433513999997</v>
      </c>
      <c r="F199">
        <v>908.30419657000004</v>
      </c>
      <c r="G199">
        <v>908.75433513999997</v>
      </c>
      <c r="H199">
        <v>13.4487585054361</v>
      </c>
      <c r="J199" t="b">
        <v>0</v>
      </c>
    </row>
    <row r="200" spans="1:10" x14ac:dyDescent="0.25">
      <c r="A200">
        <v>198</v>
      </c>
      <c r="B200" t="s">
        <v>444</v>
      </c>
      <c r="C200" s="1">
        <v>46220</v>
      </c>
      <c r="D200">
        <v>108.0856</v>
      </c>
      <c r="E200">
        <v>-473.96464959000002</v>
      </c>
      <c r="F200">
        <v>-471.68259719999998</v>
      </c>
      <c r="G200">
        <v>-473.96464959000002</v>
      </c>
      <c r="H200">
        <v>-4.40827935849347E-2</v>
      </c>
      <c r="J200" t="b">
        <v>0</v>
      </c>
    </row>
    <row r="201" spans="1:10" x14ac:dyDescent="0.25">
      <c r="A201">
        <v>199</v>
      </c>
      <c r="B201" t="s">
        <v>446</v>
      </c>
      <c r="C201" s="1">
        <v>46220</v>
      </c>
      <c r="D201">
        <v>97.832529999999906</v>
      </c>
      <c r="E201">
        <v>584.88073563</v>
      </c>
      <c r="F201">
        <v>584.95730585000001</v>
      </c>
      <c r="G201">
        <v>584.88073563</v>
      </c>
      <c r="H201">
        <v>9.3095940670049107</v>
      </c>
      <c r="J201" t="b">
        <v>0</v>
      </c>
    </row>
    <row r="202" spans="1:10" x14ac:dyDescent="0.25">
      <c r="A202">
        <v>200</v>
      </c>
      <c r="B202" t="s">
        <v>449</v>
      </c>
      <c r="C202" s="1">
        <v>46220</v>
      </c>
      <c r="D202">
        <v>99.840705</v>
      </c>
      <c r="E202">
        <v>373.53056144999999</v>
      </c>
      <c r="F202">
        <v>375.26697301000002</v>
      </c>
      <c r="G202">
        <v>373.53056144999999</v>
      </c>
      <c r="H202">
        <v>7.7650050372560804</v>
      </c>
      <c r="J202" t="b">
        <v>0</v>
      </c>
    </row>
    <row r="203" spans="1:10" x14ac:dyDescent="0.25">
      <c r="A203">
        <v>201</v>
      </c>
      <c r="B203" t="s">
        <v>451</v>
      </c>
      <c r="C203" s="1">
        <v>46220</v>
      </c>
      <c r="D203">
        <v>94.560990000000004</v>
      </c>
      <c r="E203">
        <v>145.02705721999999</v>
      </c>
      <c r="F203">
        <v>145.70644704</v>
      </c>
      <c r="G203">
        <v>145.02705721999999</v>
      </c>
      <c r="H203">
        <v>5.0176321298166897</v>
      </c>
      <c r="J203" t="b">
        <v>0</v>
      </c>
    </row>
    <row r="204" spans="1:10" x14ac:dyDescent="0.25">
      <c r="A204">
        <v>202</v>
      </c>
      <c r="B204" t="s">
        <v>453</v>
      </c>
      <c r="C204" s="1">
        <v>46220</v>
      </c>
      <c r="D204">
        <v>87.25</v>
      </c>
      <c r="F204">
        <v>990.31820101999995</v>
      </c>
      <c r="H204">
        <v>13.894400905027799</v>
      </c>
      <c r="J204" t="b">
        <v>0</v>
      </c>
    </row>
    <row r="205" spans="1:10" x14ac:dyDescent="0.25">
      <c r="A205">
        <v>203</v>
      </c>
      <c r="B205" t="s">
        <v>455</v>
      </c>
      <c r="C205" s="1">
        <v>46220</v>
      </c>
      <c r="D205">
        <v>86.75</v>
      </c>
      <c r="J205" t="b">
        <v>0</v>
      </c>
    </row>
    <row r="206" spans="1:10" x14ac:dyDescent="0.25">
      <c r="A206">
        <v>204</v>
      </c>
      <c r="B206" t="s">
        <v>502</v>
      </c>
      <c r="C206" s="1">
        <v>46220</v>
      </c>
      <c r="D206">
        <v>81.349469999999997</v>
      </c>
      <c r="H206">
        <v>50.010601744595398</v>
      </c>
      <c r="J206" t="b">
        <v>1</v>
      </c>
    </row>
    <row r="207" spans="1:10" x14ac:dyDescent="0.25">
      <c r="A207">
        <v>205</v>
      </c>
      <c r="B207" t="s">
        <v>506</v>
      </c>
      <c r="C207" s="1">
        <v>46220</v>
      </c>
      <c r="D207">
        <v>46.377234999999999</v>
      </c>
      <c r="H207">
        <v>28.392611339822501</v>
      </c>
      <c r="J207" t="b">
        <v>1</v>
      </c>
    </row>
    <row r="208" spans="1:10" x14ac:dyDescent="0.25">
      <c r="A208">
        <v>206</v>
      </c>
      <c r="B208" t="s">
        <v>508</v>
      </c>
      <c r="C208" s="1">
        <v>46220</v>
      </c>
      <c r="D208">
        <v>88.311779999999999</v>
      </c>
      <c r="F208">
        <v>699.32972524000002</v>
      </c>
      <c r="H208">
        <v>11.0716970581393</v>
      </c>
      <c r="J208" t="b">
        <v>0</v>
      </c>
    </row>
    <row r="209" spans="1:10" x14ac:dyDescent="0.25">
      <c r="A209">
        <v>207</v>
      </c>
      <c r="B209" t="s">
        <v>510</v>
      </c>
      <c r="C209" s="1">
        <v>46220</v>
      </c>
      <c r="D209">
        <v>7.2331525000000001</v>
      </c>
      <c r="H209">
        <v>159.77353056678001</v>
      </c>
      <c r="J209" t="b">
        <v>1</v>
      </c>
    </row>
    <row r="210" spans="1:10" x14ac:dyDescent="0.25">
      <c r="A210">
        <v>208</v>
      </c>
      <c r="B210" t="s">
        <v>512</v>
      </c>
      <c r="C210" s="1">
        <v>46220</v>
      </c>
      <c r="D210">
        <v>43.627575</v>
      </c>
      <c r="H210">
        <v>48.994432993831502</v>
      </c>
      <c r="J210" t="b">
        <v>1</v>
      </c>
    </row>
    <row r="211" spans="1:10" x14ac:dyDescent="0.25">
      <c r="A211">
        <v>209</v>
      </c>
      <c r="B211" t="s">
        <v>514</v>
      </c>
      <c r="C211" s="1">
        <v>46220</v>
      </c>
      <c r="D211">
        <v>6.593051</v>
      </c>
      <c r="H211">
        <v>686.65259962337905</v>
      </c>
      <c r="J211" t="b">
        <v>1</v>
      </c>
    </row>
    <row r="212" spans="1:10" x14ac:dyDescent="0.25">
      <c r="A212">
        <v>210</v>
      </c>
      <c r="B212" t="s">
        <v>516</v>
      </c>
      <c r="C212" s="1">
        <v>46220</v>
      </c>
      <c r="D212">
        <v>85.5</v>
      </c>
      <c r="F212">
        <v>914.25930430000005</v>
      </c>
      <c r="H212">
        <v>11.495686811394901</v>
      </c>
      <c r="J212" t="b">
        <v>0</v>
      </c>
    </row>
    <row r="213" spans="1:10" x14ac:dyDescent="0.25">
      <c r="A213">
        <v>211</v>
      </c>
      <c r="B213" t="s">
        <v>518</v>
      </c>
      <c r="C213" s="1">
        <v>46220</v>
      </c>
      <c r="D213">
        <v>86</v>
      </c>
      <c r="F213">
        <v>657.91055989999995</v>
      </c>
      <c r="H213">
        <v>8.8967780582606792</v>
      </c>
      <c r="J213" t="b">
        <v>0</v>
      </c>
    </row>
    <row r="214" spans="1:10" x14ac:dyDescent="0.25">
      <c r="A214">
        <v>212</v>
      </c>
      <c r="B214" t="s">
        <v>520</v>
      </c>
      <c r="C214" s="1">
        <v>46220</v>
      </c>
      <c r="D214">
        <v>100.875</v>
      </c>
      <c r="F214">
        <v>378.59050898999999</v>
      </c>
      <c r="H214">
        <v>7.5311864545053702</v>
      </c>
      <c r="J214" t="b">
        <v>0</v>
      </c>
    </row>
    <row r="215" spans="1:10" x14ac:dyDescent="0.25">
      <c r="A215">
        <v>213</v>
      </c>
      <c r="B215" t="s">
        <v>523</v>
      </c>
      <c r="C215" s="1">
        <v>46220</v>
      </c>
      <c r="D215">
        <v>100.875</v>
      </c>
      <c r="F215">
        <v>378.59050898999999</v>
      </c>
      <c r="H215">
        <v>7.5311864545053702</v>
      </c>
      <c r="J215" t="b">
        <v>0</v>
      </c>
    </row>
    <row r="216" spans="1:10" x14ac:dyDescent="0.25">
      <c r="A216">
        <v>214</v>
      </c>
      <c r="B216" t="s">
        <v>524</v>
      </c>
      <c r="C216" s="1">
        <v>46220</v>
      </c>
      <c r="D216">
        <v>45</v>
      </c>
      <c r="H216">
        <v>48.697541965137603</v>
      </c>
      <c r="J216" t="b">
        <v>1</v>
      </c>
    </row>
    <row r="217" spans="1:10" x14ac:dyDescent="0.25">
      <c r="A217">
        <v>215</v>
      </c>
      <c r="B217" t="s">
        <v>526</v>
      </c>
      <c r="C217" s="1">
        <v>46220</v>
      </c>
      <c r="D217">
        <v>44</v>
      </c>
      <c r="H217">
        <v>52.056692815525501</v>
      </c>
      <c r="J217" t="b">
        <v>1</v>
      </c>
    </row>
    <row r="218" spans="1:10" x14ac:dyDescent="0.25">
      <c r="A218">
        <v>216</v>
      </c>
      <c r="B218" t="s">
        <v>3725</v>
      </c>
      <c r="C218" s="1">
        <v>46220</v>
      </c>
      <c r="J218" t="b">
        <v>0</v>
      </c>
    </row>
    <row r="219" spans="1:10" x14ac:dyDescent="0.25">
      <c r="A219">
        <v>217</v>
      </c>
      <c r="B219" t="s">
        <v>458</v>
      </c>
      <c r="C219" s="1">
        <v>46220</v>
      </c>
      <c r="D219">
        <v>100.82899999999999</v>
      </c>
      <c r="E219">
        <v>471.93667037</v>
      </c>
      <c r="F219">
        <v>474.08575503999998</v>
      </c>
      <c r="G219">
        <v>471.93667037</v>
      </c>
      <c r="H219">
        <v>8.8984166514348697</v>
      </c>
      <c r="J219" t="b">
        <v>0</v>
      </c>
    </row>
    <row r="220" spans="1:10" x14ac:dyDescent="0.25">
      <c r="A220">
        <v>218</v>
      </c>
      <c r="B220" t="s">
        <v>463</v>
      </c>
      <c r="C220" s="1">
        <v>46220</v>
      </c>
      <c r="D220">
        <v>67.936359999999993</v>
      </c>
      <c r="E220">
        <v>1653.45916876</v>
      </c>
      <c r="F220">
        <v>1655.15308968</v>
      </c>
      <c r="G220">
        <v>1653.45916876</v>
      </c>
      <c r="H220">
        <v>21.9961076342288</v>
      </c>
      <c r="J220" t="b">
        <v>0</v>
      </c>
    </row>
    <row r="221" spans="1:10" x14ac:dyDescent="0.25">
      <c r="A221">
        <v>219</v>
      </c>
      <c r="B221" t="s">
        <v>465</v>
      </c>
      <c r="C221" s="1">
        <v>46220</v>
      </c>
      <c r="D221">
        <v>82.75</v>
      </c>
      <c r="F221">
        <v>992.35141573999999</v>
      </c>
      <c r="H221">
        <v>13.894833080719399</v>
      </c>
      <c r="J221" t="b">
        <v>0</v>
      </c>
    </row>
    <row r="222" spans="1:10" x14ac:dyDescent="0.25">
      <c r="A222">
        <v>220</v>
      </c>
      <c r="B222" t="s">
        <v>467</v>
      </c>
      <c r="C222" s="1">
        <v>46220</v>
      </c>
      <c r="J222" t="b">
        <v>0</v>
      </c>
    </row>
    <row r="223" spans="1:10" x14ac:dyDescent="0.25">
      <c r="A223">
        <v>221</v>
      </c>
      <c r="B223" t="s">
        <v>470</v>
      </c>
      <c r="C223" s="1">
        <v>46220</v>
      </c>
      <c r="D223">
        <v>80</v>
      </c>
      <c r="F223">
        <v>745.23328031000005</v>
      </c>
      <c r="H223">
        <v>11.4767326018841</v>
      </c>
      <c r="J223" t="b">
        <v>0</v>
      </c>
    </row>
    <row r="224" spans="1:10" x14ac:dyDescent="0.25">
      <c r="A224">
        <v>222</v>
      </c>
      <c r="B224" t="s">
        <v>472</v>
      </c>
      <c r="C224" s="1">
        <v>46220</v>
      </c>
      <c r="J224" t="b">
        <v>0</v>
      </c>
    </row>
    <row r="225" spans="1:10" x14ac:dyDescent="0.25">
      <c r="A225">
        <v>223</v>
      </c>
      <c r="B225" t="s">
        <v>474</v>
      </c>
      <c r="C225" s="1">
        <v>46220</v>
      </c>
      <c r="J225" t="b">
        <v>0</v>
      </c>
    </row>
    <row r="226" spans="1:10" x14ac:dyDescent="0.25">
      <c r="A226">
        <v>224</v>
      </c>
      <c r="B226" t="s">
        <v>3371</v>
      </c>
      <c r="C226" s="1">
        <v>46220</v>
      </c>
      <c r="D226">
        <v>94</v>
      </c>
      <c r="F226">
        <v>1036.3022088</v>
      </c>
      <c r="H226">
        <v>14.325165837316501</v>
      </c>
      <c r="J226" t="b">
        <v>0</v>
      </c>
    </row>
    <row r="227" spans="1:10" x14ac:dyDescent="0.25">
      <c r="A227">
        <v>225</v>
      </c>
      <c r="B227" t="s">
        <v>3375</v>
      </c>
      <c r="C227" s="1">
        <v>46220</v>
      </c>
      <c r="D227">
        <v>96.25</v>
      </c>
      <c r="F227">
        <v>473.24640840000001</v>
      </c>
      <c r="H227">
        <v>8.8259859262139706</v>
      </c>
      <c r="J227" t="b">
        <v>0</v>
      </c>
    </row>
    <row r="228" spans="1:10" x14ac:dyDescent="0.25">
      <c r="A228">
        <v>226</v>
      </c>
      <c r="B228" t="s">
        <v>3377</v>
      </c>
      <c r="C228" s="1">
        <v>46220</v>
      </c>
      <c r="D228">
        <v>90.75</v>
      </c>
      <c r="F228">
        <v>1142.04796042</v>
      </c>
      <c r="H228">
        <v>15.497636336564399</v>
      </c>
      <c r="J228" t="b">
        <v>0</v>
      </c>
    </row>
    <row r="229" spans="1:10" x14ac:dyDescent="0.25">
      <c r="A229">
        <v>227</v>
      </c>
      <c r="B229" t="s">
        <v>3379</v>
      </c>
      <c r="C229" s="1">
        <v>46220</v>
      </c>
      <c r="D229">
        <v>90.75</v>
      </c>
      <c r="F229">
        <v>1096.79873236</v>
      </c>
      <c r="H229">
        <v>14.996044902201399</v>
      </c>
      <c r="J229" t="b">
        <v>0</v>
      </c>
    </row>
    <row r="230" spans="1:10" x14ac:dyDescent="0.25">
      <c r="A230">
        <v>228</v>
      </c>
      <c r="B230" t="s">
        <v>3381</v>
      </c>
      <c r="C230" s="1">
        <v>46220</v>
      </c>
      <c r="D230">
        <v>92.75</v>
      </c>
      <c r="F230">
        <v>583.87633534999998</v>
      </c>
      <c r="H230">
        <v>9.8317685548525802</v>
      </c>
      <c r="J230" t="b">
        <v>0</v>
      </c>
    </row>
    <row r="231" spans="1:10" x14ac:dyDescent="0.25">
      <c r="A231">
        <v>229</v>
      </c>
      <c r="B231" t="s">
        <v>528</v>
      </c>
      <c r="C231" s="1">
        <v>46220</v>
      </c>
      <c r="D231">
        <v>81</v>
      </c>
      <c r="F231">
        <v>2020.7679361400001</v>
      </c>
      <c r="H231">
        <v>22.956081084854301</v>
      </c>
      <c r="J231" t="b">
        <v>0</v>
      </c>
    </row>
    <row r="232" spans="1:10" x14ac:dyDescent="0.25">
      <c r="A232">
        <v>230</v>
      </c>
      <c r="B232" t="s">
        <v>532</v>
      </c>
      <c r="C232" s="1">
        <v>46220</v>
      </c>
      <c r="D232">
        <v>97.9375</v>
      </c>
      <c r="F232">
        <v>813.39564343999996</v>
      </c>
      <c r="H232">
        <v>12.034971029806201</v>
      </c>
      <c r="J232" t="b">
        <v>0</v>
      </c>
    </row>
    <row r="233" spans="1:10" x14ac:dyDescent="0.25">
      <c r="A233">
        <v>231</v>
      </c>
      <c r="B233" t="s">
        <v>534</v>
      </c>
      <c r="C233" s="1">
        <v>46220</v>
      </c>
      <c r="D233">
        <v>65.125</v>
      </c>
      <c r="F233">
        <v>2714.0808203900001</v>
      </c>
      <c r="H233">
        <v>31.0638616722112</v>
      </c>
      <c r="J233" t="b">
        <v>0</v>
      </c>
    </row>
    <row r="234" spans="1:10" x14ac:dyDescent="0.25">
      <c r="A234">
        <v>232</v>
      </c>
      <c r="B234" t="s">
        <v>477</v>
      </c>
      <c r="C234" s="1">
        <v>46220</v>
      </c>
      <c r="D234">
        <v>34.062629999999999</v>
      </c>
      <c r="E234">
        <v>3538.09943385</v>
      </c>
      <c r="F234">
        <v>3539.6704277499998</v>
      </c>
      <c r="G234">
        <v>3538.09943385</v>
      </c>
      <c r="H234">
        <v>39.876660478919199</v>
      </c>
      <c r="J234" t="b">
        <v>0</v>
      </c>
    </row>
    <row r="235" spans="1:10" x14ac:dyDescent="0.25">
      <c r="A235">
        <v>233</v>
      </c>
      <c r="B235" t="s">
        <v>481</v>
      </c>
      <c r="C235" s="1">
        <v>46220</v>
      </c>
      <c r="D235">
        <v>44.110770000000002</v>
      </c>
      <c r="E235">
        <v>3665.1135460999999</v>
      </c>
      <c r="F235">
        <v>3667.0830267900001</v>
      </c>
      <c r="G235">
        <v>3665.1135460999999</v>
      </c>
      <c r="H235">
        <v>40.921620714481499</v>
      </c>
      <c r="J235" t="b">
        <v>0</v>
      </c>
    </row>
    <row r="236" spans="1:10" x14ac:dyDescent="0.25">
      <c r="A236">
        <v>234</v>
      </c>
      <c r="B236" t="s">
        <v>483</v>
      </c>
      <c r="C236" s="1">
        <v>46220</v>
      </c>
      <c r="D236">
        <v>71.165795000000003</v>
      </c>
      <c r="E236">
        <v>1966.8168595300001</v>
      </c>
      <c r="F236">
        <v>1968.34119859</v>
      </c>
      <c r="G236">
        <v>1966.8168595300001</v>
      </c>
      <c r="H236">
        <v>23.6900214554603</v>
      </c>
      <c r="J236" t="b">
        <v>0</v>
      </c>
    </row>
    <row r="237" spans="1:10" x14ac:dyDescent="0.25">
      <c r="A237">
        <v>235</v>
      </c>
      <c r="B237" t="s">
        <v>485</v>
      </c>
      <c r="C237" s="1">
        <v>46220</v>
      </c>
      <c r="D237">
        <v>88.512180000000001</v>
      </c>
      <c r="E237">
        <v>973.58697087999997</v>
      </c>
      <c r="F237">
        <v>975.33700150000004</v>
      </c>
      <c r="G237">
        <v>973.58697087999997</v>
      </c>
      <c r="H237">
        <v>13.764931034561</v>
      </c>
      <c r="J237" t="b">
        <v>0</v>
      </c>
    </row>
    <row r="238" spans="1:10" x14ac:dyDescent="0.25">
      <c r="A238">
        <v>236</v>
      </c>
      <c r="B238" t="s">
        <v>487</v>
      </c>
      <c r="C238" s="1">
        <v>46220</v>
      </c>
      <c r="D238">
        <v>66.15343</v>
      </c>
      <c r="E238">
        <v>2886.49</v>
      </c>
      <c r="F238">
        <v>2849.74</v>
      </c>
      <c r="G238">
        <v>2886.49</v>
      </c>
      <c r="H238">
        <v>29.460517529336901</v>
      </c>
      <c r="J238" t="b">
        <v>0</v>
      </c>
    </row>
    <row r="239" spans="1:10" x14ac:dyDescent="0.25">
      <c r="A239">
        <v>237</v>
      </c>
      <c r="B239" t="s">
        <v>490</v>
      </c>
      <c r="C239" s="1">
        <v>46220</v>
      </c>
      <c r="J239" t="b">
        <v>0</v>
      </c>
    </row>
    <row r="240" spans="1:10" x14ac:dyDescent="0.25">
      <c r="A240">
        <v>238</v>
      </c>
      <c r="B240" t="s">
        <v>492</v>
      </c>
      <c r="C240" s="1">
        <v>46220</v>
      </c>
      <c r="D240">
        <v>34.58614</v>
      </c>
      <c r="E240">
        <v>1805.9709657200001</v>
      </c>
      <c r="F240">
        <v>1805.8679174199999</v>
      </c>
      <c r="G240">
        <v>1805.9709657200001</v>
      </c>
      <c r="H240">
        <v>22.361037803374298</v>
      </c>
      <c r="J240" t="b">
        <v>0</v>
      </c>
    </row>
    <row r="241" spans="1:10" x14ac:dyDescent="0.25">
      <c r="A241">
        <v>239</v>
      </c>
      <c r="B241" t="s">
        <v>494</v>
      </c>
      <c r="C241" s="1">
        <v>46220</v>
      </c>
      <c r="D241">
        <v>35.714309999999998</v>
      </c>
      <c r="E241">
        <v>1785.3494100800001</v>
      </c>
      <c r="F241">
        <v>1777.7331665300001</v>
      </c>
      <c r="G241">
        <v>1785.3494100800001</v>
      </c>
      <c r="H241">
        <v>21.629385716115401</v>
      </c>
      <c r="J241" t="b">
        <v>0</v>
      </c>
    </row>
    <row r="242" spans="1:10" x14ac:dyDescent="0.25">
      <c r="A242">
        <v>240</v>
      </c>
      <c r="B242" t="s">
        <v>496</v>
      </c>
      <c r="C242" s="1">
        <v>46220</v>
      </c>
      <c r="J242" t="b">
        <v>0</v>
      </c>
    </row>
    <row r="243" spans="1:10" x14ac:dyDescent="0.25">
      <c r="A243">
        <v>241</v>
      </c>
      <c r="B243" t="s">
        <v>498</v>
      </c>
      <c r="C243" s="1">
        <v>46220</v>
      </c>
      <c r="D243">
        <v>58.85577</v>
      </c>
      <c r="E243">
        <v>3277.6494061100002</v>
      </c>
      <c r="F243">
        <v>3279.8543175200002</v>
      </c>
      <c r="G243">
        <v>3277.6494061100002</v>
      </c>
      <c r="H243">
        <v>37.5578441131223</v>
      </c>
      <c r="J243" t="b">
        <v>0</v>
      </c>
    </row>
    <row r="244" spans="1:10" x14ac:dyDescent="0.25">
      <c r="A244">
        <v>242</v>
      </c>
      <c r="B244" t="s">
        <v>500</v>
      </c>
      <c r="C244" s="1">
        <v>46220</v>
      </c>
      <c r="D244">
        <v>75.25</v>
      </c>
      <c r="F244">
        <v>1608.45487428</v>
      </c>
      <c r="H244">
        <v>20.043402005447501</v>
      </c>
      <c r="J244" t="b">
        <v>0</v>
      </c>
    </row>
    <row r="245" spans="1:10" x14ac:dyDescent="0.25">
      <c r="A245">
        <v>243</v>
      </c>
      <c r="B245" t="s">
        <v>210</v>
      </c>
      <c r="C245" s="1">
        <v>46220</v>
      </c>
      <c r="D245">
        <v>96.290194999999997</v>
      </c>
      <c r="E245">
        <v>1299.9292153900001</v>
      </c>
      <c r="F245">
        <v>1303.1637466899999</v>
      </c>
      <c r="G245">
        <v>1299.9292153900001</v>
      </c>
      <c r="H245">
        <v>17.005073263201599</v>
      </c>
      <c r="J245" t="b">
        <v>0</v>
      </c>
    </row>
    <row r="246" spans="1:10" x14ac:dyDescent="0.25">
      <c r="A246">
        <v>244</v>
      </c>
      <c r="B246" t="s">
        <v>109</v>
      </c>
      <c r="C246" s="1">
        <v>46220</v>
      </c>
      <c r="D246">
        <v>75.277964999999995</v>
      </c>
      <c r="E246">
        <v>1636.75322936</v>
      </c>
      <c r="F246">
        <v>1638.74930288</v>
      </c>
      <c r="G246">
        <v>1636.75322936</v>
      </c>
      <c r="H246">
        <v>20.585648978118499</v>
      </c>
      <c r="J246" t="b">
        <v>0</v>
      </c>
    </row>
    <row r="247" spans="1:10" x14ac:dyDescent="0.25">
      <c r="A247">
        <v>245</v>
      </c>
      <c r="B247" t="s">
        <v>212</v>
      </c>
      <c r="C247" s="1">
        <v>46220</v>
      </c>
      <c r="D247">
        <v>93.25</v>
      </c>
      <c r="F247">
        <v>620.89364009999997</v>
      </c>
      <c r="H247">
        <v>10.2726520861323</v>
      </c>
      <c r="J247" t="b">
        <v>0</v>
      </c>
    </row>
    <row r="248" spans="1:10" x14ac:dyDescent="0.25">
      <c r="A248">
        <v>246</v>
      </c>
      <c r="B248" t="s">
        <v>214</v>
      </c>
      <c r="C248" s="1">
        <v>46220</v>
      </c>
      <c r="D248">
        <v>93</v>
      </c>
      <c r="F248">
        <v>1700.6028731599999</v>
      </c>
      <c r="H248">
        <v>20.524055706656299</v>
      </c>
      <c r="J248" t="b">
        <v>0</v>
      </c>
    </row>
    <row r="249" spans="1:10" x14ac:dyDescent="0.25">
      <c r="A249">
        <v>247</v>
      </c>
      <c r="B249" t="s">
        <v>552</v>
      </c>
      <c r="C249" s="1">
        <v>46220</v>
      </c>
      <c r="D249">
        <v>58.832115000000002</v>
      </c>
      <c r="E249">
        <v>3403.6195044699998</v>
      </c>
      <c r="F249">
        <v>3406.5715606899998</v>
      </c>
      <c r="G249">
        <v>3403.6195044699998</v>
      </c>
      <c r="H249">
        <v>37.375337327990799</v>
      </c>
      <c r="J249" t="b">
        <v>0</v>
      </c>
    </row>
    <row r="250" spans="1:10" x14ac:dyDescent="0.25">
      <c r="A250">
        <v>248</v>
      </c>
      <c r="B250" t="s">
        <v>556</v>
      </c>
      <c r="C250" s="1">
        <v>46220</v>
      </c>
      <c r="D250">
        <v>43.853774999999999</v>
      </c>
      <c r="E250">
        <v>2180.98662246</v>
      </c>
      <c r="F250">
        <v>2182.79538198</v>
      </c>
      <c r="G250">
        <v>2180.98662246</v>
      </c>
      <c r="H250">
        <v>26.688117435523299</v>
      </c>
      <c r="J250" t="b">
        <v>0</v>
      </c>
    </row>
    <row r="251" spans="1:10" x14ac:dyDescent="0.25">
      <c r="A251">
        <v>249</v>
      </c>
      <c r="B251" t="s">
        <v>558</v>
      </c>
      <c r="C251" s="1">
        <v>46220</v>
      </c>
      <c r="D251">
        <v>87</v>
      </c>
      <c r="F251">
        <v>710.95196217</v>
      </c>
      <c r="H251">
        <v>11.187563166443001</v>
      </c>
      <c r="J251" t="b">
        <v>0</v>
      </c>
    </row>
    <row r="252" spans="1:10" x14ac:dyDescent="0.25">
      <c r="A252">
        <v>250</v>
      </c>
      <c r="B252" t="s">
        <v>560</v>
      </c>
      <c r="C252" s="1">
        <v>46220</v>
      </c>
      <c r="D252">
        <v>87</v>
      </c>
      <c r="F252">
        <v>710.71917496000003</v>
      </c>
      <c r="H252">
        <v>11.135952067129301</v>
      </c>
      <c r="J252" t="b">
        <v>0</v>
      </c>
    </row>
    <row r="253" spans="1:10" x14ac:dyDescent="0.25">
      <c r="A253">
        <v>251</v>
      </c>
      <c r="B253" t="s">
        <v>562</v>
      </c>
      <c r="C253" s="1">
        <v>46220</v>
      </c>
      <c r="D253">
        <v>87.5</v>
      </c>
      <c r="F253">
        <v>1003.8375064000001</v>
      </c>
      <c r="H253">
        <v>14.1096187035197</v>
      </c>
      <c r="J253" t="b">
        <v>0</v>
      </c>
    </row>
    <row r="254" spans="1:10" x14ac:dyDescent="0.25">
      <c r="A254">
        <v>252</v>
      </c>
      <c r="B254" t="s">
        <v>564</v>
      </c>
      <c r="C254" s="1">
        <v>46220</v>
      </c>
      <c r="D254">
        <v>86</v>
      </c>
      <c r="J254" t="b">
        <v>0</v>
      </c>
    </row>
    <row r="255" spans="1:10" x14ac:dyDescent="0.25">
      <c r="A255">
        <v>253</v>
      </c>
      <c r="B255" t="s">
        <v>586</v>
      </c>
      <c r="C255" s="1">
        <v>46220</v>
      </c>
      <c r="D255">
        <v>84.472570000000005</v>
      </c>
      <c r="E255">
        <v>0.24821455000000001</v>
      </c>
      <c r="F255">
        <v>22.335710070000001</v>
      </c>
      <c r="G255">
        <v>0.24821455000000001</v>
      </c>
      <c r="H255">
        <v>5.8181074313654797</v>
      </c>
      <c r="J255" t="b">
        <v>0</v>
      </c>
    </row>
    <row r="256" spans="1:10" x14ac:dyDescent="0.25">
      <c r="A256">
        <v>254</v>
      </c>
      <c r="B256" t="s">
        <v>592</v>
      </c>
      <c r="C256" s="1">
        <v>46220</v>
      </c>
      <c r="J256" t="b">
        <v>0</v>
      </c>
    </row>
    <row r="257" spans="1:10" x14ac:dyDescent="0.25">
      <c r="A257">
        <v>255</v>
      </c>
      <c r="B257" t="s">
        <v>594</v>
      </c>
      <c r="C257" s="1">
        <v>46220</v>
      </c>
      <c r="D257">
        <v>94.150954999999996</v>
      </c>
      <c r="E257">
        <v>96.716286729999993</v>
      </c>
      <c r="F257">
        <v>98.730669750000004</v>
      </c>
      <c r="G257">
        <v>96.716286729999993</v>
      </c>
      <c r="H257">
        <v>4.9855259733658102</v>
      </c>
      <c r="J257" t="b">
        <v>0</v>
      </c>
    </row>
    <row r="258" spans="1:10" x14ac:dyDescent="0.25">
      <c r="A258">
        <v>256</v>
      </c>
      <c r="B258" t="s">
        <v>597</v>
      </c>
      <c r="C258" s="1">
        <v>46220</v>
      </c>
      <c r="D258">
        <v>91.832669999999993</v>
      </c>
      <c r="E258">
        <v>7.2827526300000001</v>
      </c>
      <c r="F258">
        <v>7.9188600300000003</v>
      </c>
      <c r="G258">
        <v>7.2827526300000001</v>
      </c>
      <c r="H258">
        <v>5.2017209597077301</v>
      </c>
      <c r="J258" t="b">
        <v>0</v>
      </c>
    </row>
    <row r="259" spans="1:10" x14ac:dyDescent="0.25">
      <c r="A259">
        <v>257</v>
      </c>
      <c r="B259" t="s">
        <v>599</v>
      </c>
      <c r="C259" s="1">
        <v>46220</v>
      </c>
      <c r="D259">
        <v>67.497375000000005</v>
      </c>
      <c r="E259">
        <v>184.61695735999999</v>
      </c>
      <c r="F259">
        <v>185.89598721999999</v>
      </c>
      <c r="G259">
        <v>184.61695735999999</v>
      </c>
      <c r="H259">
        <v>6.20420944441838</v>
      </c>
      <c r="J259" t="b">
        <v>0</v>
      </c>
    </row>
    <row r="260" spans="1:10" x14ac:dyDescent="0.25">
      <c r="A260">
        <v>258</v>
      </c>
      <c r="B260" t="s">
        <v>601</v>
      </c>
      <c r="C260" s="1">
        <v>46220</v>
      </c>
      <c r="D260">
        <v>89.029965000000004</v>
      </c>
      <c r="E260">
        <v>107.04062844000001</v>
      </c>
      <c r="F260">
        <v>108.97628779999999</v>
      </c>
      <c r="G260">
        <v>107.04062844000001</v>
      </c>
      <c r="H260">
        <v>5.06831439381246</v>
      </c>
      <c r="J260" t="b">
        <v>0</v>
      </c>
    </row>
    <row r="261" spans="1:10" x14ac:dyDescent="0.25">
      <c r="A261">
        <v>259</v>
      </c>
      <c r="B261" t="s">
        <v>603</v>
      </c>
      <c r="C261" s="1">
        <v>46220</v>
      </c>
      <c r="D261" s="4">
        <v>99.097239999999999</v>
      </c>
      <c r="E261" s="4">
        <v>54.00891429</v>
      </c>
      <c r="F261">
        <v>62.875787019999997</v>
      </c>
      <c r="G261">
        <v>54.00891429</v>
      </c>
      <c r="H261">
        <v>4.4785559783915403</v>
      </c>
      <c r="J261" t="b">
        <v>0</v>
      </c>
    </row>
    <row r="262" spans="1:10" x14ac:dyDescent="0.25">
      <c r="A262">
        <v>260</v>
      </c>
      <c r="B262" t="s">
        <v>605</v>
      </c>
      <c r="C262" s="1">
        <v>46220</v>
      </c>
      <c r="D262">
        <v>98.718999999999994</v>
      </c>
      <c r="E262">
        <v>5.7665320500000004</v>
      </c>
      <c r="F262">
        <v>14.9204635</v>
      </c>
      <c r="G262">
        <v>5.7665320500000004</v>
      </c>
      <c r="H262">
        <v>5.0106944627731904</v>
      </c>
      <c r="J262" t="b">
        <v>0</v>
      </c>
    </row>
    <row r="263" spans="1:10" x14ac:dyDescent="0.25">
      <c r="A263">
        <v>261</v>
      </c>
      <c r="B263" t="s">
        <v>607</v>
      </c>
      <c r="C263" s="1">
        <v>46220</v>
      </c>
      <c r="D263">
        <v>84.184725</v>
      </c>
      <c r="E263">
        <v>201.67889231000001</v>
      </c>
      <c r="F263">
        <v>201.96859516999999</v>
      </c>
      <c r="G263">
        <v>201.67889231000001</v>
      </c>
      <c r="H263">
        <v>6.3833907798813803</v>
      </c>
      <c r="J263" t="b">
        <v>0</v>
      </c>
    </row>
    <row r="264" spans="1:10" x14ac:dyDescent="0.25">
      <c r="A264">
        <v>262</v>
      </c>
      <c r="B264" t="s">
        <v>609</v>
      </c>
      <c r="C264" s="1">
        <v>46220</v>
      </c>
      <c r="D264">
        <v>96.060755</v>
      </c>
      <c r="E264">
        <v>137.75994068</v>
      </c>
      <c r="F264">
        <v>139.09153750999999</v>
      </c>
      <c r="G264">
        <v>137.75994068</v>
      </c>
      <c r="H264">
        <v>5.4933602813181599</v>
      </c>
      <c r="J264" t="b">
        <v>0</v>
      </c>
    </row>
    <row r="265" spans="1:10" x14ac:dyDescent="0.25">
      <c r="A265">
        <v>263</v>
      </c>
      <c r="B265" t="s">
        <v>611</v>
      </c>
      <c r="C265" s="1">
        <v>46220</v>
      </c>
      <c r="D265">
        <v>98.669514999999905</v>
      </c>
      <c r="E265">
        <v>117.82272481</v>
      </c>
      <c r="F265">
        <v>120.26001533</v>
      </c>
      <c r="G265">
        <v>117.82272481</v>
      </c>
      <c r="H265">
        <v>5.2022940849468498</v>
      </c>
      <c r="J265" t="b">
        <v>0</v>
      </c>
    </row>
    <row r="266" spans="1:10" x14ac:dyDescent="0.25">
      <c r="A266">
        <v>264</v>
      </c>
      <c r="B266" t="s">
        <v>613</v>
      </c>
      <c r="C266" s="1">
        <v>46220</v>
      </c>
      <c r="D266">
        <v>84.092529999999996</v>
      </c>
      <c r="E266">
        <v>186.99373082</v>
      </c>
      <c r="F266">
        <v>187.41718878</v>
      </c>
      <c r="G266">
        <v>186.99373082</v>
      </c>
      <c r="H266">
        <v>6.2371658144754898</v>
      </c>
      <c r="J266" t="b">
        <v>0</v>
      </c>
    </row>
    <row r="267" spans="1:10" x14ac:dyDescent="0.25">
      <c r="A267">
        <v>265</v>
      </c>
      <c r="B267" t="s">
        <v>615</v>
      </c>
      <c r="C267" s="1">
        <v>46220</v>
      </c>
      <c r="D267">
        <v>98.448039999999907</v>
      </c>
      <c r="E267">
        <v>111.69767724</v>
      </c>
      <c r="F267">
        <v>113.09550695999999</v>
      </c>
      <c r="G267">
        <v>111.69767724</v>
      </c>
      <c r="H267">
        <v>5.1584946367110902</v>
      </c>
      <c r="J267" t="b">
        <v>0</v>
      </c>
    </row>
    <row r="268" spans="1:10" x14ac:dyDescent="0.25">
      <c r="A268">
        <v>266</v>
      </c>
      <c r="B268" t="s">
        <v>617</v>
      </c>
      <c r="C268" s="1">
        <v>46220</v>
      </c>
      <c r="D268">
        <v>100.025425</v>
      </c>
      <c r="E268">
        <v>80.748548679999999</v>
      </c>
      <c r="F268">
        <v>84.685791219999999</v>
      </c>
      <c r="G268">
        <v>80.748548679999999</v>
      </c>
      <c r="H268">
        <v>4.8468635630275001</v>
      </c>
      <c r="J268" t="b">
        <v>0</v>
      </c>
    </row>
    <row r="269" spans="1:10" x14ac:dyDescent="0.25">
      <c r="A269">
        <v>267</v>
      </c>
      <c r="B269" t="s">
        <v>619</v>
      </c>
      <c r="C269" s="1">
        <v>46220</v>
      </c>
      <c r="J269" t="b">
        <v>0</v>
      </c>
    </row>
    <row r="270" spans="1:10" x14ac:dyDescent="0.25">
      <c r="A270">
        <v>268</v>
      </c>
      <c r="B270" t="s">
        <v>621</v>
      </c>
      <c r="C270" s="1">
        <v>46220</v>
      </c>
      <c r="D270">
        <v>96.689404999999994</v>
      </c>
      <c r="E270">
        <v>106.53837351</v>
      </c>
      <c r="F270">
        <v>107.96409807000001</v>
      </c>
      <c r="G270">
        <v>106.53837351</v>
      </c>
      <c r="H270">
        <v>5.1116583715621502</v>
      </c>
      <c r="J270" t="b">
        <v>0</v>
      </c>
    </row>
    <row r="271" spans="1:10" x14ac:dyDescent="0.25">
      <c r="A271">
        <v>269</v>
      </c>
      <c r="B271" t="s">
        <v>623</v>
      </c>
      <c r="C271" s="1">
        <v>46220</v>
      </c>
      <c r="D271">
        <v>98.602985000000004</v>
      </c>
      <c r="E271">
        <v>86.678273910000001</v>
      </c>
      <c r="F271">
        <v>88.579700689999996</v>
      </c>
      <c r="G271">
        <v>86.678273910000001</v>
      </c>
      <c r="H271">
        <v>4.8570067817675602</v>
      </c>
      <c r="J271" t="b">
        <v>0</v>
      </c>
    </row>
    <row r="272" spans="1:10" x14ac:dyDescent="0.25">
      <c r="A272">
        <v>270</v>
      </c>
      <c r="B272" t="s">
        <v>625</v>
      </c>
      <c r="C272" s="1">
        <v>46220</v>
      </c>
      <c r="D272">
        <v>91.682370000000006</v>
      </c>
      <c r="E272">
        <v>25.062272100000001</v>
      </c>
      <c r="F272">
        <v>25.931168289999999</v>
      </c>
      <c r="G272">
        <v>25.062272100000001</v>
      </c>
      <c r="H272">
        <v>5.7175023650952896</v>
      </c>
      <c r="J272" t="b">
        <v>0</v>
      </c>
    </row>
    <row r="273" spans="1:10" x14ac:dyDescent="0.25">
      <c r="A273">
        <v>271</v>
      </c>
      <c r="B273" t="s">
        <v>627</v>
      </c>
      <c r="C273" s="1">
        <v>46220</v>
      </c>
      <c r="D273">
        <v>95.671099999999996</v>
      </c>
      <c r="E273">
        <v>16.496884810000001</v>
      </c>
      <c r="F273">
        <v>17.097155730000001</v>
      </c>
      <c r="G273">
        <v>16.496884810000001</v>
      </c>
      <c r="H273">
        <v>5.4058038681043996</v>
      </c>
      <c r="J273" t="b">
        <v>0</v>
      </c>
    </row>
    <row r="274" spans="1:10" x14ac:dyDescent="0.25">
      <c r="A274">
        <v>272</v>
      </c>
      <c r="B274" t="s">
        <v>629</v>
      </c>
      <c r="C274" s="1">
        <v>46220</v>
      </c>
      <c r="D274">
        <v>96.242609999999999</v>
      </c>
      <c r="E274">
        <v>14.612091639999999</v>
      </c>
      <c r="F274">
        <v>15.558284390000001</v>
      </c>
      <c r="G274">
        <v>14.612091639999999</v>
      </c>
      <c r="H274">
        <v>5.3578043989869899</v>
      </c>
      <c r="J274" t="b">
        <v>0</v>
      </c>
    </row>
    <row r="275" spans="1:10" x14ac:dyDescent="0.25">
      <c r="A275">
        <v>273</v>
      </c>
      <c r="B275" t="s">
        <v>631</v>
      </c>
      <c r="C275" s="1">
        <v>46220</v>
      </c>
      <c r="D275">
        <v>96.672560000000004</v>
      </c>
      <c r="E275">
        <v>12.037146419999999</v>
      </c>
      <c r="F275">
        <v>12.86935774</v>
      </c>
      <c r="G275">
        <v>12.037146419999999</v>
      </c>
      <c r="H275">
        <v>5.2999072364674999</v>
      </c>
      <c r="J275" t="b">
        <v>0</v>
      </c>
    </row>
    <row r="276" spans="1:10" x14ac:dyDescent="0.25">
      <c r="A276">
        <v>274</v>
      </c>
      <c r="B276" t="s">
        <v>633</v>
      </c>
      <c r="C276" s="1">
        <v>46220</v>
      </c>
      <c r="D276">
        <v>102.2496</v>
      </c>
      <c r="E276">
        <v>93.242054859999996</v>
      </c>
      <c r="F276">
        <v>95.511878839999994</v>
      </c>
      <c r="G276">
        <v>93.242054859999996</v>
      </c>
      <c r="H276">
        <v>4.9651994154845696</v>
      </c>
      <c r="J276" t="b">
        <v>0</v>
      </c>
    </row>
    <row r="277" spans="1:10" x14ac:dyDescent="0.25">
      <c r="A277">
        <v>275</v>
      </c>
      <c r="B277" t="s">
        <v>635</v>
      </c>
      <c r="C277" s="1">
        <v>46220</v>
      </c>
      <c r="D277">
        <v>105.9905</v>
      </c>
      <c r="E277">
        <v>120.50979957</v>
      </c>
      <c r="F277">
        <v>121.70557657000001</v>
      </c>
      <c r="G277">
        <v>120.50979957</v>
      </c>
      <c r="H277">
        <v>5.2860311848283699</v>
      </c>
      <c r="J277" t="b">
        <v>0</v>
      </c>
    </row>
    <row r="278" spans="1:10" x14ac:dyDescent="0.25">
      <c r="A278">
        <v>276</v>
      </c>
      <c r="B278" t="s">
        <v>637</v>
      </c>
      <c r="C278" s="1">
        <v>46220</v>
      </c>
      <c r="J278" t="b">
        <v>0</v>
      </c>
    </row>
    <row r="279" spans="1:10" x14ac:dyDescent="0.25">
      <c r="A279">
        <v>277</v>
      </c>
      <c r="B279" t="s">
        <v>639</v>
      </c>
      <c r="C279" s="1">
        <v>46220</v>
      </c>
      <c r="J279" t="b">
        <v>0</v>
      </c>
    </row>
    <row r="280" spans="1:10" x14ac:dyDescent="0.25">
      <c r="A280">
        <v>278</v>
      </c>
      <c r="B280" t="s">
        <v>641</v>
      </c>
      <c r="C280" s="1">
        <v>46220</v>
      </c>
      <c r="D280">
        <v>87.004109999999997</v>
      </c>
      <c r="E280">
        <v>203.00741288</v>
      </c>
      <c r="F280">
        <v>203.26160662000001</v>
      </c>
      <c r="G280">
        <v>203.00741288</v>
      </c>
      <c r="H280">
        <v>6.40016653346186</v>
      </c>
      <c r="J280" t="b">
        <v>0</v>
      </c>
    </row>
    <row r="281" spans="1:10" x14ac:dyDescent="0.25">
      <c r="A281">
        <v>279</v>
      </c>
      <c r="B281" t="s">
        <v>643</v>
      </c>
      <c r="C281" s="1">
        <v>46220</v>
      </c>
      <c r="D281">
        <v>98.81344</v>
      </c>
      <c r="E281">
        <v>140.18437556000001</v>
      </c>
      <c r="F281">
        <v>141.55334733999999</v>
      </c>
      <c r="G281">
        <v>140.18437556000001</v>
      </c>
      <c r="H281">
        <v>5.4676364140222002</v>
      </c>
      <c r="J281" t="b">
        <v>0</v>
      </c>
    </row>
    <row r="282" spans="1:10" x14ac:dyDescent="0.25">
      <c r="A282">
        <v>280</v>
      </c>
      <c r="B282" t="s">
        <v>645</v>
      </c>
      <c r="C282" s="1">
        <v>46220</v>
      </c>
      <c r="D282">
        <v>99.871324999999999</v>
      </c>
      <c r="E282">
        <v>111.41926281000001</v>
      </c>
      <c r="F282">
        <v>113.94829652</v>
      </c>
      <c r="G282">
        <v>111.41926281000001</v>
      </c>
      <c r="H282">
        <v>5.1532608258163597</v>
      </c>
      <c r="J282" t="b">
        <v>0</v>
      </c>
    </row>
    <row r="283" spans="1:10" x14ac:dyDescent="0.25">
      <c r="A283">
        <v>281</v>
      </c>
      <c r="B283" t="s">
        <v>647</v>
      </c>
      <c r="C283" s="1">
        <v>46220</v>
      </c>
      <c r="D283">
        <v>96.074839999999995</v>
      </c>
      <c r="E283">
        <v>18.69796144</v>
      </c>
      <c r="F283">
        <v>19.292521929999999</v>
      </c>
      <c r="G283">
        <v>18.69796144</v>
      </c>
      <c r="H283">
        <v>5.6724659471527996</v>
      </c>
      <c r="J283" t="b">
        <v>0</v>
      </c>
    </row>
    <row r="284" spans="1:10" x14ac:dyDescent="0.25">
      <c r="A284">
        <v>282</v>
      </c>
      <c r="B284" t="s">
        <v>649</v>
      </c>
      <c r="C284" s="1">
        <v>46220</v>
      </c>
      <c r="D284">
        <v>97.398330000000001</v>
      </c>
      <c r="E284">
        <v>18.732290379999998</v>
      </c>
      <c r="F284">
        <v>19.006275899999999</v>
      </c>
      <c r="G284">
        <v>18.732290379999998</v>
      </c>
      <c r="H284">
        <v>5.4417073286374498</v>
      </c>
      <c r="J284" t="b">
        <v>0</v>
      </c>
    </row>
    <row r="285" spans="1:10" x14ac:dyDescent="0.25">
      <c r="A285">
        <v>283</v>
      </c>
      <c r="B285" t="s">
        <v>651</v>
      </c>
      <c r="C285" s="1">
        <v>46220</v>
      </c>
      <c r="D285">
        <v>93.640024999999994</v>
      </c>
      <c r="E285">
        <v>187.2279518</v>
      </c>
      <c r="F285">
        <v>187.47234989</v>
      </c>
      <c r="G285">
        <v>187.2279518</v>
      </c>
      <c r="H285">
        <v>6.2448711001831398</v>
      </c>
      <c r="J285" t="b">
        <v>0</v>
      </c>
    </row>
    <row r="286" spans="1:10" x14ac:dyDescent="0.25">
      <c r="A286">
        <v>284</v>
      </c>
      <c r="B286" t="s">
        <v>653</v>
      </c>
      <c r="C286" s="1">
        <v>46220</v>
      </c>
      <c r="D286">
        <v>98.995720000000006</v>
      </c>
      <c r="E286">
        <v>110.9086789</v>
      </c>
      <c r="F286">
        <v>112.36924818</v>
      </c>
      <c r="G286">
        <v>110.9086789</v>
      </c>
      <c r="H286">
        <v>5.17408288612092</v>
      </c>
      <c r="J286" t="b">
        <v>0</v>
      </c>
    </row>
    <row r="287" spans="1:10" x14ac:dyDescent="0.25">
      <c r="A287">
        <v>285</v>
      </c>
      <c r="B287" t="s">
        <v>655</v>
      </c>
      <c r="C287" s="1">
        <v>46220</v>
      </c>
      <c r="D287">
        <v>99.345214999999996</v>
      </c>
      <c r="E287">
        <v>99.850042630000004</v>
      </c>
      <c r="F287">
        <v>102.10462065999999</v>
      </c>
      <c r="G287">
        <v>99.850042630000004</v>
      </c>
      <c r="H287">
        <v>5.02724739908047</v>
      </c>
      <c r="J287" t="b">
        <v>0</v>
      </c>
    </row>
    <row r="288" spans="1:10" x14ac:dyDescent="0.25">
      <c r="A288">
        <v>286</v>
      </c>
      <c r="B288" t="s">
        <v>657</v>
      </c>
      <c r="C288" s="1">
        <v>46220</v>
      </c>
      <c r="D288">
        <v>99.803759999999997</v>
      </c>
      <c r="E288">
        <v>123.80971939</v>
      </c>
      <c r="F288">
        <v>125.33208039</v>
      </c>
      <c r="G288">
        <v>123.80971939</v>
      </c>
      <c r="H288">
        <v>5.2679541768001501</v>
      </c>
      <c r="J288" t="b">
        <v>0</v>
      </c>
    </row>
    <row r="289" spans="1:10" x14ac:dyDescent="0.25">
      <c r="A289">
        <v>287</v>
      </c>
      <c r="B289" t="s">
        <v>659</v>
      </c>
      <c r="C289" s="1">
        <v>46220</v>
      </c>
      <c r="D289">
        <v>100.7568</v>
      </c>
      <c r="E289">
        <v>10.56900385</v>
      </c>
      <c r="F289">
        <v>11.09978886</v>
      </c>
      <c r="G289">
        <v>10.56900385</v>
      </c>
      <c r="H289">
        <v>5.2716472262908596</v>
      </c>
      <c r="J289" t="b">
        <v>0</v>
      </c>
    </row>
    <row r="290" spans="1:10" x14ac:dyDescent="0.25">
      <c r="A290">
        <v>288</v>
      </c>
      <c r="B290" t="s">
        <v>661</v>
      </c>
      <c r="C290" s="1">
        <v>46220</v>
      </c>
      <c r="D290">
        <v>100.9687</v>
      </c>
      <c r="E290">
        <v>20.210325739999998</v>
      </c>
      <c r="F290">
        <v>19.964139060000001</v>
      </c>
      <c r="G290">
        <v>20.210325739999998</v>
      </c>
      <c r="H290">
        <v>5.5416801433723801</v>
      </c>
      <c r="J290" t="b">
        <v>0</v>
      </c>
    </row>
    <row r="291" spans="1:10" x14ac:dyDescent="0.25">
      <c r="A291">
        <v>289</v>
      </c>
      <c r="B291" t="s">
        <v>663</v>
      </c>
      <c r="C291" s="1">
        <v>46220</v>
      </c>
      <c r="D291">
        <v>96.399844999999999</v>
      </c>
      <c r="E291">
        <v>138.58038088999999</v>
      </c>
      <c r="F291">
        <v>131.17684743000001</v>
      </c>
      <c r="G291">
        <v>138.58038088999999</v>
      </c>
      <c r="H291">
        <v>6.0271040646425504</v>
      </c>
      <c r="J291" t="b">
        <v>0</v>
      </c>
    </row>
    <row r="292" spans="1:10" x14ac:dyDescent="0.25">
      <c r="A292">
        <v>290</v>
      </c>
      <c r="B292" t="s">
        <v>665</v>
      </c>
      <c r="C292" s="1">
        <v>46220</v>
      </c>
      <c r="D292">
        <v>100.210399999999</v>
      </c>
      <c r="E292">
        <v>91.077761499999994</v>
      </c>
      <c r="F292">
        <v>87.007138069999996</v>
      </c>
      <c r="G292">
        <v>91.077761499999994</v>
      </c>
      <c r="H292">
        <v>5.1242933771467696</v>
      </c>
      <c r="J292" t="b">
        <v>0</v>
      </c>
    </row>
    <row r="293" spans="1:10" x14ac:dyDescent="0.25">
      <c r="A293">
        <v>291</v>
      </c>
      <c r="B293" t="s">
        <v>667</v>
      </c>
      <c r="C293" s="1">
        <v>46220</v>
      </c>
      <c r="D293">
        <v>100.4736</v>
      </c>
      <c r="E293">
        <v>113.24324901999999</v>
      </c>
      <c r="F293">
        <v>114.48384324</v>
      </c>
      <c r="G293">
        <v>113.24324901999999</v>
      </c>
      <c r="H293">
        <v>5.1980902360055197</v>
      </c>
      <c r="J293" t="b">
        <v>0</v>
      </c>
    </row>
    <row r="294" spans="1:10" x14ac:dyDescent="0.25">
      <c r="A294">
        <v>292</v>
      </c>
      <c r="B294" t="s">
        <v>669</v>
      </c>
      <c r="C294" s="1">
        <v>46220</v>
      </c>
      <c r="D294">
        <v>101.11445000000001</v>
      </c>
      <c r="E294">
        <v>96.236333869999996</v>
      </c>
      <c r="F294">
        <v>98.254057529999997</v>
      </c>
      <c r="G294">
        <v>96.236333869999996</v>
      </c>
      <c r="H294">
        <v>4.97808142098327</v>
      </c>
      <c r="J294" t="b">
        <v>0</v>
      </c>
    </row>
    <row r="295" spans="1:10" x14ac:dyDescent="0.25">
      <c r="A295">
        <v>293</v>
      </c>
      <c r="B295" t="s">
        <v>671</v>
      </c>
      <c r="C295" s="1">
        <v>46220</v>
      </c>
      <c r="D295">
        <v>100.64865</v>
      </c>
      <c r="E295">
        <v>63.06161719</v>
      </c>
      <c r="F295">
        <v>65.647659739999995</v>
      </c>
      <c r="G295">
        <v>63.06161719</v>
      </c>
      <c r="H295">
        <v>4.5783259558129998</v>
      </c>
      <c r="J295" t="b">
        <v>0</v>
      </c>
    </row>
    <row r="296" spans="1:10" x14ac:dyDescent="0.25">
      <c r="A296">
        <v>294</v>
      </c>
      <c r="B296" t="s">
        <v>673</v>
      </c>
      <c r="C296" s="1">
        <v>46220</v>
      </c>
      <c r="D296">
        <v>100.2056</v>
      </c>
      <c r="E296">
        <v>24.39806463</v>
      </c>
      <c r="F296">
        <v>-32.141635839999999</v>
      </c>
      <c r="G296">
        <v>24.39806463</v>
      </c>
      <c r="J296" t="b">
        <v>0</v>
      </c>
    </row>
    <row r="297" spans="1:10" x14ac:dyDescent="0.25">
      <c r="A297">
        <v>295</v>
      </c>
      <c r="B297" t="s">
        <v>675</v>
      </c>
      <c r="C297" s="1">
        <v>46220</v>
      </c>
      <c r="D297">
        <v>99.649139999999903</v>
      </c>
      <c r="E297">
        <v>77.50749476</v>
      </c>
      <c r="F297">
        <v>81.147745240000006</v>
      </c>
      <c r="G297">
        <v>77.50749476</v>
      </c>
      <c r="H297">
        <v>4.7709208033796502</v>
      </c>
      <c r="J297" t="b">
        <v>0</v>
      </c>
    </row>
    <row r="298" spans="1:10" x14ac:dyDescent="0.25">
      <c r="A298">
        <v>296</v>
      </c>
      <c r="B298" t="s">
        <v>677</v>
      </c>
      <c r="C298" s="1">
        <v>46220</v>
      </c>
      <c r="D298">
        <v>101.01595</v>
      </c>
      <c r="E298">
        <v>139.51259203000001</v>
      </c>
      <c r="F298">
        <v>140.6168041</v>
      </c>
      <c r="G298">
        <v>139.51259203000001</v>
      </c>
      <c r="H298">
        <v>5.4918822952603499</v>
      </c>
      <c r="J298" t="b">
        <v>0</v>
      </c>
    </row>
    <row r="299" spans="1:10" x14ac:dyDescent="0.25">
      <c r="A299">
        <v>297</v>
      </c>
      <c r="B299" t="s">
        <v>679</v>
      </c>
      <c r="C299" s="1">
        <v>46220</v>
      </c>
      <c r="D299">
        <v>100.29375</v>
      </c>
      <c r="E299">
        <v>116.51896354</v>
      </c>
      <c r="F299">
        <v>118.55141005</v>
      </c>
      <c r="G299">
        <v>116.51896354</v>
      </c>
      <c r="H299">
        <v>5.20039179763251</v>
      </c>
      <c r="J299" t="b">
        <v>0</v>
      </c>
    </row>
    <row r="300" spans="1:10" x14ac:dyDescent="0.25">
      <c r="A300">
        <v>298</v>
      </c>
      <c r="B300" t="s">
        <v>681</v>
      </c>
      <c r="C300" s="1">
        <v>46220</v>
      </c>
      <c r="D300">
        <v>102.46225</v>
      </c>
      <c r="E300">
        <v>114.75357133</v>
      </c>
      <c r="F300">
        <v>115.84675183</v>
      </c>
      <c r="G300">
        <v>114.75357133</v>
      </c>
      <c r="H300">
        <v>5.2707572096077504</v>
      </c>
      <c r="J300" t="b">
        <v>0</v>
      </c>
    </row>
    <row r="301" spans="1:10" x14ac:dyDescent="0.25">
      <c r="A301">
        <v>299</v>
      </c>
      <c r="B301" t="s">
        <v>683</v>
      </c>
      <c r="C301" s="1">
        <v>46220</v>
      </c>
      <c r="D301">
        <v>101.3734</v>
      </c>
      <c r="E301">
        <v>102.09922842</v>
      </c>
      <c r="F301">
        <v>104.01394277</v>
      </c>
      <c r="G301">
        <v>102.09922842</v>
      </c>
      <c r="H301">
        <v>5.0414777664255004</v>
      </c>
      <c r="J301" t="b">
        <v>0</v>
      </c>
    </row>
    <row r="302" spans="1:10" x14ac:dyDescent="0.25">
      <c r="A302">
        <v>300</v>
      </c>
      <c r="B302" t="s">
        <v>685</v>
      </c>
      <c r="C302" s="1">
        <v>46220</v>
      </c>
      <c r="D302">
        <v>100.53585</v>
      </c>
      <c r="E302">
        <v>75.673374620000004</v>
      </c>
      <c r="F302">
        <v>79.661930139999996</v>
      </c>
      <c r="G302">
        <v>75.673374620000004</v>
      </c>
      <c r="H302">
        <v>4.8441257804412503</v>
      </c>
      <c r="J302" t="b">
        <v>0</v>
      </c>
    </row>
    <row r="303" spans="1:10" x14ac:dyDescent="0.25">
      <c r="A303">
        <v>301</v>
      </c>
      <c r="B303" t="s">
        <v>687</v>
      </c>
      <c r="C303" s="1">
        <v>46220</v>
      </c>
      <c r="D303">
        <v>97.0469970703125</v>
      </c>
      <c r="E303">
        <v>91.686005719999997</v>
      </c>
      <c r="F303">
        <v>90.655761499999997</v>
      </c>
      <c r="G303">
        <v>91.686005719999997</v>
      </c>
      <c r="H303">
        <v>4.1002614714091097</v>
      </c>
      <c r="J303" t="b">
        <v>0</v>
      </c>
    </row>
    <row r="304" spans="1:10" x14ac:dyDescent="0.25">
      <c r="A304">
        <v>302</v>
      </c>
      <c r="B304" t="s">
        <v>689</v>
      </c>
      <c r="C304" s="1">
        <v>46220</v>
      </c>
      <c r="D304">
        <v>98.1719970703125</v>
      </c>
      <c r="E304">
        <v>70.505733750000005</v>
      </c>
      <c r="F304">
        <v>70.164318859999995</v>
      </c>
      <c r="G304">
        <v>70.505733750000005</v>
      </c>
      <c r="H304">
        <v>3.7379839216847</v>
      </c>
      <c r="J304" t="b">
        <v>0</v>
      </c>
    </row>
    <row r="305" spans="1:10" x14ac:dyDescent="0.25">
      <c r="A305">
        <v>303</v>
      </c>
      <c r="B305" t="s">
        <v>691</v>
      </c>
      <c r="C305" s="1">
        <v>46220</v>
      </c>
      <c r="D305">
        <v>99.849620000000002</v>
      </c>
      <c r="E305">
        <v>127.56889369</v>
      </c>
      <c r="F305">
        <v>128.74046064000001</v>
      </c>
      <c r="G305">
        <v>127.56889369</v>
      </c>
      <c r="H305">
        <v>5.4215317295138803</v>
      </c>
      <c r="J305" t="b">
        <v>0</v>
      </c>
    </row>
    <row r="306" spans="1:10" x14ac:dyDescent="0.25">
      <c r="A306">
        <v>304</v>
      </c>
      <c r="B306" t="s">
        <v>693</v>
      </c>
      <c r="C306" s="1">
        <v>46220</v>
      </c>
      <c r="D306">
        <v>100.3348</v>
      </c>
      <c r="E306">
        <v>86.029658080000004</v>
      </c>
      <c r="F306">
        <v>90.059542829999998</v>
      </c>
      <c r="G306">
        <v>86.029658080000004</v>
      </c>
      <c r="H306">
        <v>4.5941317234783101</v>
      </c>
      <c r="J306" t="b">
        <v>0</v>
      </c>
    </row>
    <row r="307" spans="1:10" x14ac:dyDescent="0.25">
      <c r="A307">
        <v>305</v>
      </c>
      <c r="B307" t="s">
        <v>695</v>
      </c>
      <c r="C307" s="1">
        <v>46220</v>
      </c>
      <c r="D307">
        <v>40</v>
      </c>
      <c r="E307">
        <v>3174.83554723</v>
      </c>
      <c r="F307">
        <v>3176.6488341099998</v>
      </c>
      <c r="G307">
        <v>3174.83554723</v>
      </c>
      <c r="H307">
        <v>33.554881946853698</v>
      </c>
      <c r="I307">
        <v>35970</v>
      </c>
      <c r="J307" t="b">
        <v>0</v>
      </c>
    </row>
    <row r="308" spans="1:10" x14ac:dyDescent="0.25">
      <c r="A308">
        <v>306</v>
      </c>
      <c r="B308" t="s">
        <v>697</v>
      </c>
      <c r="C308" s="1">
        <v>46220</v>
      </c>
      <c r="D308">
        <v>100.8359</v>
      </c>
      <c r="E308">
        <v>23.246649170000001</v>
      </c>
      <c r="F308">
        <v>-38.006253239999999</v>
      </c>
      <c r="G308">
        <v>23.246649170000001</v>
      </c>
      <c r="J308" t="b">
        <v>0</v>
      </c>
    </row>
    <row r="309" spans="1:10" x14ac:dyDescent="0.25">
      <c r="A309">
        <v>307</v>
      </c>
      <c r="B309" t="s">
        <v>699</v>
      </c>
      <c r="C309" s="1">
        <v>46220</v>
      </c>
      <c r="D309">
        <v>100.0175</v>
      </c>
      <c r="E309">
        <v>28.760508690000002</v>
      </c>
      <c r="F309">
        <v>-8.5664992099999999</v>
      </c>
      <c r="G309">
        <v>28.760508690000002</v>
      </c>
      <c r="J309" t="b">
        <v>0</v>
      </c>
    </row>
    <row r="310" spans="1:10" x14ac:dyDescent="0.25">
      <c r="A310">
        <v>308</v>
      </c>
      <c r="B310" t="s">
        <v>701</v>
      </c>
      <c r="C310" s="1">
        <v>46220</v>
      </c>
      <c r="D310">
        <v>98.075755000000001</v>
      </c>
      <c r="E310">
        <v>119.07245352</v>
      </c>
      <c r="F310">
        <v>120.67032241</v>
      </c>
      <c r="G310">
        <v>119.07245352</v>
      </c>
      <c r="H310">
        <v>5.2640081730172099</v>
      </c>
      <c r="J310" t="b">
        <v>0</v>
      </c>
    </row>
    <row r="311" spans="1:10" x14ac:dyDescent="0.25">
      <c r="A311">
        <v>309</v>
      </c>
      <c r="B311" t="s">
        <v>703</v>
      </c>
      <c r="C311" s="1">
        <v>46220</v>
      </c>
      <c r="D311">
        <v>96.726910000000004</v>
      </c>
      <c r="E311">
        <v>136.93493674000001</v>
      </c>
      <c r="F311">
        <v>137.94444698999999</v>
      </c>
      <c r="G311">
        <v>136.93493674000001</v>
      </c>
      <c r="H311">
        <v>5.4836911009287004</v>
      </c>
      <c r="J311" t="b">
        <v>0</v>
      </c>
    </row>
    <row r="312" spans="1:10" x14ac:dyDescent="0.25">
      <c r="A312">
        <v>310</v>
      </c>
      <c r="B312" t="s">
        <v>705</v>
      </c>
      <c r="C312" s="1">
        <v>46220</v>
      </c>
      <c r="D312">
        <v>97.235309999999998</v>
      </c>
      <c r="E312">
        <v>115.96119043</v>
      </c>
      <c r="F312">
        <v>117.04191145</v>
      </c>
      <c r="G312">
        <v>115.96119043</v>
      </c>
      <c r="H312">
        <v>5.2738017557936097</v>
      </c>
      <c r="J312" t="b">
        <v>0</v>
      </c>
    </row>
    <row r="313" spans="1:10" x14ac:dyDescent="0.25">
      <c r="A313">
        <v>311</v>
      </c>
      <c r="B313" t="s">
        <v>707</v>
      </c>
      <c r="C313" s="1">
        <v>46220</v>
      </c>
      <c r="D313">
        <v>97.588575000000006</v>
      </c>
      <c r="E313">
        <v>95.050654019999996</v>
      </c>
      <c r="F313">
        <v>97.042747259999999</v>
      </c>
      <c r="G313">
        <v>95.050654019999996</v>
      </c>
      <c r="H313">
        <v>4.9537567399201698</v>
      </c>
      <c r="J313" t="b">
        <v>0</v>
      </c>
    </row>
    <row r="314" spans="1:10" x14ac:dyDescent="0.25">
      <c r="A314">
        <v>312</v>
      </c>
      <c r="B314" t="s">
        <v>709</v>
      </c>
      <c r="C314" s="1">
        <v>46220</v>
      </c>
      <c r="D314">
        <v>97.202003479003906</v>
      </c>
      <c r="E314">
        <v>84.318658159999998</v>
      </c>
      <c r="F314">
        <v>83.779740649999994</v>
      </c>
      <c r="G314">
        <v>84.318658159999998</v>
      </c>
      <c r="H314">
        <v>3.8976648177653699</v>
      </c>
      <c r="J314" t="b">
        <v>0</v>
      </c>
    </row>
    <row r="315" spans="1:10" x14ac:dyDescent="0.25">
      <c r="A315">
        <v>313</v>
      </c>
      <c r="B315" t="s">
        <v>711</v>
      </c>
      <c r="C315" s="1">
        <v>46220</v>
      </c>
      <c r="D315">
        <v>98.217002868652301</v>
      </c>
      <c r="E315">
        <v>65.567105839999996</v>
      </c>
      <c r="F315">
        <v>65.057050309999994</v>
      </c>
      <c r="G315">
        <v>65.567105839999996</v>
      </c>
      <c r="H315">
        <v>3.6409518929701199</v>
      </c>
      <c r="J315" t="b">
        <v>0</v>
      </c>
    </row>
    <row r="316" spans="1:10" x14ac:dyDescent="0.25">
      <c r="A316">
        <v>314</v>
      </c>
      <c r="B316" t="s">
        <v>713</v>
      </c>
      <c r="C316" s="1">
        <v>46220</v>
      </c>
      <c r="D316">
        <v>95.913439999999994</v>
      </c>
      <c r="E316">
        <v>131.54669290999999</v>
      </c>
      <c r="F316">
        <v>132.57547072</v>
      </c>
      <c r="G316">
        <v>131.54669290999999</v>
      </c>
      <c r="H316">
        <v>5.4683698229883699</v>
      </c>
      <c r="J316" t="b">
        <v>0</v>
      </c>
    </row>
    <row r="317" spans="1:10" x14ac:dyDescent="0.25">
      <c r="A317">
        <v>315</v>
      </c>
      <c r="B317" t="s">
        <v>715</v>
      </c>
      <c r="C317" s="1">
        <v>46220</v>
      </c>
      <c r="D317">
        <v>98.367805000000004</v>
      </c>
      <c r="E317">
        <v>103.17161844</v>
      </c>
      <c r="F317">
        <v>105.33019419999999</v>
      </c>
      <c r="G317">
        <v>103.17161844</v>
      </c>
      <c r="H317">
        <v>5.0605495331216099</v>
      </c>
      <c r="J317" t="b">
        <v>0</v>
      </c>
    </row>
    <row r="318" spans="1:10" x14ac:dyDescent="0.25">
      <c r="A318">
        <v>316</v>
      </c>
      <c r="B318" t="s">
        <v>717</v>
      </c>
      <c r="C318" s="1">
        <v>46220</v>
      </c>
      <c r="D318">
        <v>98.155519999999996</v>
      </c>
      <c r="E318">
        <v>127.14453082</v>
      </c>
      <c r="F318">
        <v>128.04709753</v>
      </c>
      <c r="G318">
        <v>127.14453082</v>
      </c>
      <c r="H318">
        <v>5.4046818746846403</v>
      </c>
      <c r="J318" t="b">
        <v>0</v>
      </c>
    </row>
    <row r="319" spans="1:10" x14ac:dyDescent="0.25">
      <c r="A319">
        <v>317</v>
      </c>
      <c r="B319" t="s">
        <v>719</v>
      </c>
      <c r="C319" s="1">
        <v>46220</v>
      </c>
      <c r="D319">
        <v>100.5168</v>
      </c>
      <c r="E319">
        <v>13.531584799999999</v>
      </c>
      <c r="F319">
        <v>13.68764556</v>
      </c>
      <c r="G319">
        <v>13.531584799999999</v>
      </c>
      <c r="H319">
        <v>5.7316266914555198</v>
      </c>
      <c r="J319" t="b">
        <v>0</v>
      </c>
    </row>
    <row r="320" spans="1:10" x14ac:dyDescent="0.25">
      <c r="A320">
        <v>318</v>
      </c>
      <c r="B320" t="s">
        <v>721</v>
      </c>
      <c r="C320" s="1">
        <v>46220</v>
      </c>
      <c r="D320">
        <v>80.968199999999996</v>
      </c>
      <c r="E320">
        <v>179.00990468000001</v>
      </c>
      <c r="F320">
        <v>179.46172665</v>
      </c>
      <c r="G320">
        <v>179.00990468000001</v>
      </c>
      <c r="H320">
        <v>6.1600442070144501</v>
      </c>
      <c r="J320" t="b">
        <v>0</v>
      </c>
    </row>
    <row r="321" spans="1:10" x14ac:dyDescent="0.25">
      <c r="A321">
        <v>319</v>
      </c>
      <c r="B321" t="s">
        <v>723</v>
      </c>
      <c r="C321" s="1">
        <v>46220</v>
      </c>
      <c r="D321">
        <v>99.735784999999893</v>
      </c>
      <c r="E321">
        <v>71.571767570000006</v>
      </c>
      <c r="F321">
        <v>78.048473189999996</v>
      </c>
      <c r="G321">
        <v>71.571767570000006</v>
      </c>
      <c r="H321">
        <v>4.4920652581812401</v>
      </c>
      <c r="J321" t="b">
        <v>0</v>
      </c>
    </row>
    <row r="322" spans="1:10" x14ac:dyDescent="0.25">
      <c r="A322">
        <v>320</v>
      </c>
      <c r="B322" t="s">
        <v>3668</v>
      </c>
      <c r="C322" s="1">
        <v>46220</v>
      </c>
      <c r="D322">
        <v>98.754095000000007</v>
      </c>
      <c r="E322">
        <v>137.89127436000001</v>
      </c>
      <c r="F322">
        <v>138.57744775</v>
      </c>
      <c r="G322">
        <v>137.89127436000001</v>
      </c>
      <c r="H322">
        <v>5.5705385892030197</v>
      </c>
      <c r="J322" t="b">
        <v>0</v>
      </c>
    </row>
    <row r="323" spans="1:10" x14ac:dyDescent="0.25">
      <c r="A323">
        <v>321</v>
      </c>
      <c r="B323" t="s">
        <v>3670</v>
      </c>
      <c r="C323" s="1">
        <v>46220</v>
      </c>
      <c r="D323">
        <v>98.713355000000007</v>
      </c>
      <c r="E323">
        <v>125.13838464</v>
      </c>
      <c r="F323">
        <v>126.84421436</v>
      </c>
      <c r="G323">
        <v>125.13838464</v>
      </c>
      <c r="H323">
        <v>5.2991019011015297</v>
      </c>
      <c r="J323" t="b">
        <v>0</v>
      </c>
    </row>
    <row r="324" spans="1:10" x14ac:dyDescent="0.25">
      <c r="A324">
        <v>322</v>
      </c>
      <c r="B324" t="s">
        <v>3164</v>
      </c>
      <c r="C324" s="1">
        <v>46220</v>
      </c>
      <c r="D324">
        <v>100.02387</v>
      </c>
      <c r="E324">
        <v>150.45505888</v>
      </c>
      <c r="F324">
        <v>152.13632494000001</v>
      </c>
      <c r="G324">
        <v>150.45505888</v>
      </c>
      <c r="H324">
        <v>5.5252103002643498</v>
      </c>
      <c r="J324" t="b">
        <v>0</v>
      </c>
    </row>
    <row r="325" spans="1:10" x14ac:dyDescent="0.25">
      <c r="A325">
        <v>323</v>
      </c>
      <c r="B325" t="s">
        <v>725</v>
      </c>
      <c r="C325" s="1">
        <v>46220</v>
      </c>
      <c r="D325">
        <v>97.028170000000003</v>
      </c>
      <c r="E325">
        <v>210.64280410000001</v>
      </c>
      <c r="F325">
        <v>210.98104015999999</v>
      </c>
      <c r="G325">
        <v>210.64280410000001</v>
      </c>
      <c r="H325">
        <v>6.4953207669984696</v>
      </c>
      <c r="J325" t="b">
        <v>0</v>
      </c>
    </row>
    <row r="326" spans="1:10" x14ac:dyDescent="0.25">
      <c r="A326">
        <v>324</v>
      </c>
      <c r="B326" t="s">
        <v>727</v>
      </c>
      <c r="C326" s="1">
        <v>46220</v>
      </c>
      <c r="D326">
        <v>99.483864999999994</v>
      </c>
      <c r="E326">
        <v>108.76130434</v>
      </c>
      <c r="F326">
        <v>110.705133</v>
      </c>
      <c r="G326">
        <v>108.76130434</v>
      </c>
      <c r="H326">
        <v>5.1265600281689103</v>
      </c>
      <c r="J326" t="b">
        <v>0</v>
      </c>
    </row>
    <row r="327" spans="1:10" x14ac:dyDescent="0.25">
      <c r="A327">
        <v>325</v>
      </c>
      <c r="B327" t="s">
        <v>729</v>
      </c>
      <c r="C327" s="1">
        <v>46220</v>
      </c>
      <c r="D327">
        <v>99.076295000000002</v>
      </c>
      <c r="E327">
        <v>134.23137348</v>
      </c>
      <c r="F327">
        <v>135.59360458</v>
      </c>
      <c r="G327">
        <v>134.23137348</v>
      </c>
      <c r="H327">
        <v>5.4258162998039996</v>
      </c>
      <c r="J327" t="b">
        <v>0</v>
      </c>
    </row>
    <row r="328" spans="1:10" x14ac:dyDescent="0.25">
      <c r="A328">
        <v>326</v>
      </c>
      <c r="B328" t="s">
        <v>731</v>
      </c>
      <c r="C328" s="1">
        <v>46220</v>
      </c>
      <c r="D328">
        <v>94.206959999999995</v>
      </c>
      <c r="E328">
        <v>194.89349417</v>
      </c>
      <c r="F328">
        <v>195.31022666000001</v>
      </c>
      <c r="G328">
        <v>194.89349417</v>
      </c>
      <c r="H328">
        <v>6.3224735809197101</v>
      </c>
      <c r="J328" t="b">
        <v>0</v>
      </c>
    </row>
    <row r="329" spans="1:10" x14ac:dyDescent="0.25">
      <c r="A329">
        <v>327</v>
      </c>
      <c r="B329" t="s">
        <v>733</v>
      </c>
      <c r="C329" s="1">
        <v>46220</v>
      </c>
      <c r="D329">
        <v>96.960599999999999</v>
      </c>
      <c r="E329">
        <v>116.40279889</v>
      </c>
      <c r="F329">
        <v>117.44609118</v>
      </c>
      <c r="G329">
        <v>116.40279889</v>
      </c>
      <c r="H329">
        <v>5.3063670472100801</v>
      </c>
      <c r="J329" t="b">
        <v>0</v>
      </c>
    </row>
    <row r="330" spans="1:10" x14ac:dyDescent="0.25">
      <c r="A330">
        <v>328</v>
      </c>
      <c r="B330" t="s">
        <v>735</v>
      </c>
      <c r="C330" s="1">
        <v>46220</v>
      </c>
      <c r="D330">
        <v>97.469669999999994</v>
      </c>
      <c r="E330">
        <v>101.84731884</v>
      </c>
      <c r="F330">
        <v>103.76019746999999</v>
      </c>
      <c r="G330">
        <v>101.84731884</v>
      </c>
      <c r="H330">
        <v>5.0546925625581602</v>
      </c>
      <c r="J330" t="b">
        <v>0</v>
      </c>
    </row>
    <row r="331" spans="1:10" x14ac:dyDescent="0.25">
      <c r="A331">
        <v>329</v>
      </c>
      <c r="B331" t="s">
        <v>737</v>
      </c>
      <c r="C331" s="1">
        <v>46220</v>
      </c>
      <c r="D331">
        <v>98.274280000000005</v>
      </c>
      <c r="E331">
        <v>88.094377140000006</v>
      </c>
      <c r="F331">
        <v>90.763031409999996</v>
      </c>
      <c r="G331">
        <v>88.094377140000006</v>
      </c>
      <c r="H331">
        <v>4.88243803608243</v>
      </c>
      <c r="J331" t="b">
        <v>0</v>
      </c>
    </row>
    <row r="332" spans="1:10" x14ac:dyDescent="0.25">
      <c r="A332">
        <v>330</v>
      </c>
      <c r="B332" t="s">
        <v>739</v>
      </c>
      <c r="C332" s="1">
        <v>46220</v>
      </c>
      <c r="D332">
        <v>48.954299926757798</v>
      </c>
      <c r="E332">
        <v>2698.8472306399999</v>
      </c>
      <c r="F332">
        <v>2701.0405734999999</v>
      </c>
      <c r="G332">
        <v>2698.8472306399999</v>
      </c>
      <c r="H332">
        <v>24.505116871093801</v>
      </c>
      <c r="I332">
        <v>24250</v>
      </c>
      <c r="J332" t="b">
        <v>0</v>
      </c>
    </row>
    <row r="333" spans="1:10" x14ac:dyDescent="0.25">
      <c r="A333">
        <v>331</v>
      </c>
      <c r="B333" t="s">
        <v>741</v>
      </c>
      <c r="C333" s="1">
        <v>46220</v>
      </c>
      <c r="D333">
        <v>97.143474999999995</v>
      </c>
      <c r="E333">
        <v>148.67518046000001</v>
      </c>
      <c r="F333">
        <v>150.59361835999999</v>
      </c>
      <c r="G333">
        <v>148.67518046000001</v>
      </c>
      <c r="H333">
        <v>5.5305643025694797</v>
      </c>
      <c r="J333" t="b">
        <v>0</v>
      </c>
    </row>
    <row r="334" spans="1:10" x14ac:dyDescent="0.25">
      <c r="A334">
        <v>332</v>
      </c>
      <c r="B334" t="s">
        <v>743</v>
      </c>
      <c r="C334" s="1">
        <v>46220</v>
      </c>
      <c r="D334">
        <v>101.95805</v>
      </c>
      <c r="E334">
        <v>107.39269726000001</v>
      </c>
      <c r="F334">
        <v>108.93385198</v>
      </c>
      <c r="G334">
        <v>107.39269726000001</v>
      </c>
      <c r="H334">
        <v>5.1478135632404003</v>
      </c>
      <c r="J334" t="b">
        <v>0</v>
      </c>
    </row>
    <row r="335" spans="1:10" x14ac:dyDescent="0.25">
      <c r="A335">
        <v>333</v>
      </c>
      <c r="B335" t="s">
        <v>745</v>
      </c>
      <c r="C335" s="1">
        <v>46220</v>
      </c>
      <c r="D335">
        <v>101.11845</v>
      </c>
      <c r="E335">
        <v>76.793586360000006</v>
      </c>
      <c r="F335">
        <v>79.077803119999999</v>
      </c>
      <c r="G335">
        <v>76.793586360000006</v>
      </c>
      <c r="H335">
        <v>4.8092881037253798</v>
      </c>
      <c r="J335" t="b">
        <v>0</v>
      </c>
    </row>
    <row r="336" spans="1:10" x14ac:dyDescent="0.25">
      <c r="A336">
        <v>334</v>
      </c>
      <c r="B336" t="s">
        <v>747</v>
      </c>
      <c r="C336" s="1">
        <v>46220</v>
      </c>
      <c r="D336">
        <v>81.609139999999996</v>
      </c>
      <c r="E336">
        <v>247.02093529999999</v>
      </c>
      <c r="F336">
        <v>248.68666041</v>
      </c>
      <c r="G336">
        <v>247.02093529999999</v>
      </c>
      <c r="H336">
        <v>6.6143785393396497</v>
      </c>
      <c r="J336" t="b">
        <v>0</v>
      </c>
    </row>
    <row r="337" spans="1:10" x14ac:dyDescent="0.25">
      <c r="A337">
        <v>335</v>
      </c>
      <c r="B337" t="s">
        <v>749</v>
      </c>
      <c r="C337" s="1">
        <v>46220</v>
      </c>
      <c r="D337">
        <v>99.474829999999997</v>
      </c>
      <c r="E337">
        <v>132.46699581999999</v>
      </c>
      <c r="F337">
        <v>134.06899820000001</v>
      </c>
      <c r="G337">
        <v>132.46699581999999</v>
      </c>
      <c r="H337">
        <v>5.3935699814390796</v>
      </c>
      <c r="J337" t="b">
        <v>0</v>
      </c>
    </row>
    <row r="338" spans="1:10" x14ac:dyDescent="0.25">
      <c r="A338">
        <v>336</v>
      </c>
      <c r="B338" t="s">
        <v>751</v>
      </c>
      <c r="C338" s="1">
        <v>46220</v>
      </c>
      <c r="D338">
        <v>100.1348</v>
      </c>
      <c r="E338">
        <v>93.753989290000007</v>
      </c>
      <c r="F338">
        <v>97.219669830000001</v>
      </c>
      <c r="G338">
        <v>93.753989290000007</v>
      </c>
      <c r="H338">
        <v>4.9885794747232604</v>
      </c>
      <c r="J338" t="b">
        <v>0</v>
      </c>
    </row>
    <row r="339" spans="1:10" x14ac:dyDescent="0.25">
      <c r="A339">
        <v>337</v>
      </c>
      <c r="B339" t="s">
        <v>753</v>
      </c>
      <c r="C339" s="1">
        <v>46220</v>
      </c>
      <c r="J339" t="b">
        <v>0</v>
      </c>
    </row>
    <row r="340" spans="1:10" x14ac:dyDescent="0.25">
      <c r="A340">
        <v>338</v>
      </c>
      <c r="B340" t="s">
        <v>755</v>
      </c>
      <c r="C340" s="1">
        <v>46220</v>
      </c>
      <c r="D340">
        <v>92.563770000000005</v>
      </c>
      <c r="E340">
        <v>24.440517700000001</v>
      </c>
      <c r="F340">
        <v>24.451020499999998</v>
      </c>
      <c r="G340">
        <v>24.440517700000001</v>
      </c>
      <c r="H340">
        <v>5.51318435744985</v>
      </c>
      <c r="J340" t="b">
        <v>0</v>
      </c>
    </row>
    <row r="341" spans="1:10" x14ac:dyDescent="0.25">
      <c r="A341">
        <v>339</v>
      </c>
      <c r="B341" t="s">
        <v>757</v>
      </c>
      <c r="C341" s="1">
        <v>46220</v>
      </c>
      <c r="D341">
        <v>95.447379999999995</v>
      </c>
      <c r="E341">
        <v>10.055137820000001</v>
      </c>
      <c r="F341">
        <v>10.90902474</v>
      </c>
      <c r="G341">
        <v>10.055137820000001</v>
      </c>
      <c r="H341">
        <v>5.2389308680620799</v>
      </c>
      <c r="J341" t="b">
        <v>0</v>
      </c>
    </row>
    <row r="342" spans="1:10" x14ac:dyDescent="0.25">
      <c r="A342">
        <v>340</v>
      </c>
      <c r="B342" t="s">
        <v>759</v>
      </c>
      <c r="C342" s="1">
        <v>46220</v>
      </c>
      <c r="J342" t="b">
        <v>0</v>
      </c>
    </row>
    <row r="343" spans="1:10" x14ac:dyDescent="0.25">
      <c r="A343">
        <v>341</v>
      </c>
      <c r="B343" t="s">
        <v>761</v>
      </c>
      <c r="C343" s="1">
        <v>46220</v>
      </c>
      <c r="D343">
        <v>98.39076</v>
      </c>
      <c r="E343">
        <v>17.059934940000002</v>
      </c>
      <c r="F343">
        <v>20.388136589999998</v>
      </c>
      <c r="G343">
        <v>17.059934940000002</v>
      </c>
      <c r="H343">
        <v>5.1169398397773298</v>
      </c>
      <c r="J343" t="b">
        <v>0</v>
      </c>
    </row>
    <row r="344" spans="1:10" x14ac:dyDescent="0.25">
      <c r="A344">
        <v>342</v>
      </c>
      <c r="B344" t="s">
        <v>763</v>
      </c>
      <c r="C344" s="1">
        <v>46220</v>
      </c>
      <c r="D344">
        <v>94.236000000000004</v>
      </c>
      <c r="E344">
        <v>1.4301779800000001</v>
      </c>
      <c r="F344">
        <v>2.2965022300000002</v>
      </c>
      <c r="G344">
        <v>1.4301779800000001</v>
      </c>
      <c r="H344">
        <v>5.1152063687696998</v>
      </c>
      <c r="J344" t="b">
        <v>0</v>
      </c>
    </row>
    <row r="345" spans="1:10" x14ac:dyDescent="0.25">
      <c r="A345">
        <v>343</v>
      </c>
      <c r="B345" t="s">
        <v>765</v>
      </c>
      <c r="C345" s="1">
        <v>46220</v>
      </c>
      <c r="D345">
        <v>89.00761</v>
      </c>
      <c r="E345">
        <v>18.76919912</v>
      </c>
      <c r="F345">
        <v>19.815440679999998</v>
      </c>
      <c r="G345">
        <v>18.76919912</v>
      </c>
      <c r="H345">
        <v>5.3874152008827698</v>
      </c>
      <c r="J345" t="b">
        <v>0</v>
      </c>
    </row>
    <row r="346" spans="1:10" x14ac:dyDescent="0.25">
      <c r="A346">
        <v>344</v>
      </c>
      <c r="B346" t="s">
        <v>767</v>
      </c>
      <c r="C346" s="1">
        <v>46220</v>
      </c>
      <c r="D346">
        <v>82.599739999999997</v>
      </c>
      <c r="E346">
        <v>23.145306389999998</v>
      </c>
      <c r="F346">
        <v>24.354212839999999</v>
      </c>
      <c r="G346">
        <v>23.145306389999998</v>
      </c>
      <c r="H346">
        <v>5.6299184481655997</v>
      </c>
      <c r="J346" t="b">
        <v>0</v>
      </c>
    </row>
    <row r="347" spans="1:10" x14ac:dyDescent="0.25">
      <c r="A347">
        <v>345</v>
      </c>
      <c r="B347" t="s">
        <v>769</v>
      </c>
      <c r="C347" s="1">
        <v>46220</v>
      </c>
      <c r="D347">
        <v>85.369129999999998</v>
      </c>
      <c r="E347">
        <v>21.723209069999999</v>
      </c>
      <c r="F347">
        <v>22.510182520000001</v>
      </c>
      <c r="G347">
        <v>21.723209069999999</v>
      </c>
      <c r="H347">
        <v>5.47696319261388</v>
      </c>
      <c r="J347" t="b">
        <v>0</v>
      </c>
    </row>
    <row r="348" spans="1:10" x14ac:dyDescent="0.25">
      <c r="A348">
        <v>346</v>
      </c>
      <c r="B348" t="s">
        <v>771</v>
      </c>
      <c r="C348" s="1">
        <v>46220</v>
      </c>
      <c r="D348">
        <v>92.322779999999995</v>
      </c>
      <c r="E348">
        <v>8.3379007499999993</v>
      </c>
      <c r="F348">
        <v>9.7187194699999999</v>
      </c>
      <c r="G348">
        <v>8.3379007499999993</v>
      </c>
      <c r="H348">
        <v>5.2147946891877996</v>
      </c>
      <c r="J348" t="b">
        <v>0</v>
      </c>
    </row>
    <row r="349" spans="1:10" x14ac:dyDescent="0.25">
      <c r="A349">
        <v>347</v>
      </c>
      <c r="B349" t="s">
        <v>773</v>
      </c>
      <c r="C349" s="1">
        <v>46220</v>
      </c>
      <c r="J349" t="b">
        <v>0</v>
      </c>
    </row>
    <row r="350" spans="1:10" x14ac:dyDescent="0.25">
      <c r="A350">
        <v>348</v>
      </c>
      <c r="B350" t="s">
        <v>775</v>
      </c>
      <c r="C350" s="1">
        <v>46220</v>
      </c>
      <c r="D350">
        <v>86.233744999999999</v>
      </c>
      <c r="E350">
        <v>4067.1573802200001</v>
      </c>
      <c r="F350">
        <v>3993.0137163499999</v>
      </c>
      <c r="G350">
        <v>4067.1573802200001</v>
      </c>
      <c r="H350">
        <v>43.4095073292115</v>
      </c>
      <c r="J350" t="b">
        <v>0</v>
      </c>
    </row>
    <row r="351" spans="1:10" x14ac:dyDescent="0.25">
      <c r="A351">
        <v>349</v>
      </c>
      <c r="B351" t="s">
        <v>777</v>
      </c>
      <c r="C351" s="1">
        <v>46220</v>
      </c>
      <c r="D351">
        <v>63.286594999999998</v>
      </c>
      <c r="E351">
        <v>176.09219586</v>
      </c>
      <c r="F351">
        <v>177.7606031</v>
      </c>
      <c r="G351">
        <v>176.09219586</v>
      </c>
      <c r="H351">
        <v>6.1460110243562998</v>
      </c>
      <c r="J351" t="b">
        <v>0</v>
      </c>
    </row>
    <row r="352" spans="1:10" x14ac:dyDescent="0.25">
      <c r="A352">
        <v>350</v>
      </c>
      <c r="B352" t="s">
        <v>779</v>
      </c>
      <c r="C352" s="1">
        <v>46220</v>
      </c>
      <c r="D352">
        <v>88.357824999999906</v>
      </c>
      <c r="E352">
        <v>105.97083825</v>
      </c>
      <c r="F352">
        <v>107.53936093</v>
      </c>
      <c r="G352">
        <v>105.97083825</v>
      </c>
      <c r="H352">
        <v>5.0472566713606799</v>
      </c>
      <c r="J352" t="b">
        <v>0</v>
      </c>
    </row>
    <row r="353" spans="1:10" x14ac:dyDescent="0.25">
      <c r="A353">
        <v>351</v>
      </c>
      <c r="B353" t="s">
        <v>781</v>
      </c>
      <c r="C353" s="1">
        <v>46220</v>
      </c>
      <c r="D353">
        <v>84.580150000000003</v>
      </c>
      <c r="E353">
        <v>19.2264266</v>
      </c>
      <c r="F353">
        <v>20.421248479999999</v>
      </c>
      <c r="G353">
        <v>19.2264266</v>
      </c>
      <c r="H353">
        <v>5.5721490108386202</v>
      </c>
      <c r="J353" t="b">
        <v>0</v>
      </c>
    </row>
    <row r="354" spans="1:10" x14ac:dyDescent="0.25">
      <c r="A354">
        <v>352</v>
      </c>
      <c r="B354" t="s">
        <v>783</v>
      </c>
      <c r="C354" s="1">
        <v>46220</v>
      </c>
      <c r="D354">
        <v>86.936779999999999</v>
      </c>
      <c r="E354">
        <v>20.429977239999999</v>
      </c>
      <c r="F354">
        <v>21.347828870000001</v>
      </c>
      <c r="G354">
        <v>20.429977239999999</v>
      </c>
      <c r="H354">
        <v>5.45693551837517</v>
      </c>
      <c r="J354" t="b">
        <v>0</v>
      </c>
    </row>
    <row r="355" spans="1:10" x14ac:dyDescent="0.25">
      <c r="A355">
        <v>353</v>
      </c>
      <c r="B355" t="s">
        <v>785</v>
      </c>
      <c r="C355" s="1">
        <v>46220</v>
      </c>
      <c r="D355">
        <v>89.441649999999996</v>
      </c>
      <c r="E355">
        <v>17.408102400000001</v>
      </c>
      <c r="F355">
        <v>18.688517999999998</v>
      </c>
      <c r="G355">
        <v>17.408102400000001</v>
      </c>
      <c r="H355">
        <v>5.3647918183993397</v>
      </c>
      <c r="J355" t="b">
        <v>0</v>
      </c>
    </row>
    <row r="356" spans="1:10" x14ac:dyDescent="0.25">
      <c r="A356">
        <v>354</v>
      </c>
      <c r="B356" t="s">
        <v>787</v>
      </c>
      <c r="C356" s="1">
        <v>46220</v>
      </c>
      <c r="D356">
        <v>94.394869999999997</v>
      </c>
      <c r="E356">
        <v>1.12388149</v>
      </c>
      <c r="F356">
        <v>3.1454971600000001</v>
      </c>
      <c r="G356">
        <v>1.12388149</v>
      </c>
      <c r="H356">
        <v>5.1174156279383203</v>
      </c>
      <c r="J356" t="b">
        <v>0</v>
      </c>
    </row>
    <row r="357" spans="1:10" x14ac:dyDescent="0.25">
      <c r="A357">
        <v>355</v>
      </c>
      <c r="B357" t="s">
        <v>789</v>
      </c>
      <c r="C357" s="1">
        <v>46220</v>
      </c>
      <c r="D357">
        <v>92.343000000000004</v>
      </c>
      <c r="E357">
        <v>3.5055340199999998</v>
      </c>
      <c r="F357">
        <v>4.7220799700000002</v>
      </c>
      <c r="G357">
        <v>3.5055340199999998</v>
      </c>
      <c r="H357">
        <v>5.1525920015656999</v>
      </c>
      <c r="J357" t="b">
        <v>0</v>
      </c>
    </row>
    <row r="358" spans="1:10" x14ac:dyDescent="0.25">
      <c r="A358">
        <v>356</v>
      </c>
      <c r="B358" t="s">
        <v>791</v>
      </c>
      <c r="C358" s="1">
        <v>46220</v>
      </c>
      <c r="D358">
        <v>82.184299999999993</v>
      </c>
      <c r="E358">
        <v>23.571106260000001</v>
      </c>
      <c r="F358">
        <v>24.820007839999999</v>
      </c>
      <c r="G358">
        <v>23.571106260000001</v>
      </c>
      <c r="H358">
        <v>5.6054616403443198</v>
      </c>
      <c r="J358" t="b">
        <v>0</v>
      </c>
    </row>
    <row r="359" spans="1:10" x14ac:dyDescent="0.25">
      <c r="A359">
        <v>357</v>
      </c>
      <c r="B359" t="s">
        <v>793</v>
      </c>
      <c r="C359" s="1">
        <v>46220</v>
      </c>
      <c r="D359">
        <v>88.642430000000004</v>
      </c>
      <c r="E359">
        <v>12.56612322</v>
      </c>
      <c r="F359">
        <v>13.51431184</v>
      </c>
      <c r="G359">
        <v>12.56612322</v>
      </c>
      <c r="H359">
        <v>5.30114108270958</v>
      </c>
      <c r="J359" t="b">
        <v>0</v>
      </c>
    </row>
    <row r="360" spans="1:10" x14ac:dyDescent="0.25">
      <c r="A360">
        <v>358</v>
      </c>
      <c r="B360" t="s">
        <v>795</v>
      </c>
      <c r="C360" s="1">
        <v>46220</v>
      </c>
      <c r="D360">
        <v>90.035839999999993</v>
      </c>
      <c r="E360">
        <v>11.60133566</v>
      </c>
      <c r="F360">
        <v>12.30020461</v>
      </c>
      <c r="G360">
        <v>11.60133566</v>
      </c>
      <c r="H360">
        <v>5.2798234754160198</v>
      </c>
      <c r="J360" t="b">
        <v>0</v>
      </c>
    </row>
    <row r="361" spans="1:10" x14ac:dyDescent="0.25">
      <c r="A361">
        <v>359</v>
      </c>
      <c r="B361" t="s">
        <v>797</v>
      </c>
      <c r="C361" s="1">
        <v>46220</v>
      </c>
      <c r="J361" t="b">
        <v>0</v>
      </c>
    </row>
    <row r="362" spans="1:10" x14ac:dyDescent="0.25">
      <c r="A362">
        <v>360</v>
      </c>
      <c r="B362" t="s">
        <v>799</v>
      </c>
      <c r="C362" s="1">
        <v>46220</v>
      </c>
      <c r="J362" t="b">
        <v>0</v>
      </c>
    </row>
    <row r="363" spans="1:10" x14ac:dyDescent="0.25">
      <c r="A363">
        <v>361</v>
      </c>
      <c r="B363" t="s">
        <v>801</v>
      </c>
      <c r="C363" s="1">
        <v>46220</v>
      </c>
      <c r="D363">
        <v>90.882003784179602</v>
      </c>
      <c r="E363">
        <v>36.010366349999998</v>
      </c>
      <c r="F363">
        <v>35.872808380000002</v>
      </c>
      <c r="G363">
        <v>36.010366349999998</v>
      </c>
      <c r="H363">
        <v>3.33540854677342</v>
      </c>
      <c r="J363" t="b">
        <v>0</v>
      </c>
    </row>
    <row r="364" spans="1:10" x14ac:dyDescent="0.25">
      <c r="A364">
        <v>362</v>
      </c>
      <c r="B364" t="s">
        <v>803</v>
      </c>
      <c r="C364" s="1">
        <v>46220</v>
      </c>
      <c r="D364">
        <v>60.859254999999997</v>
      </c>
      <c r="E364">
        <v>191.74410997000001</v>
      </c>
      <c r="F364">
        <v>193.88961757999999</v>
      </c>
      <c r="G364">
        <v>191.74410997000001</v>
      </c>
      <c r="H364">
        <v>6.2366097013241797</v>
      </c>
      <c r="J364" t="b">
        <v>0</v>
      </c>
    </row>
    <row r="365" spans="1:10" x14ac:dyDescent="0.25">
      <c r="A365">
        <v>363</v>
      </c>
      <c r="B365" t="s">
        <v>805</v>
      </c>
      <c r="C365" s="1">
        <v>46220</v>
      </c>
      <c r="D365">
        <v>84.331845000000001</v>
      </c>
      <c r="E365">
        <v>109.24743531999999</v>
      </c>
      <c r="F365">
        <v>111.35302436000001</v>
      </c>
      <c r="G365">
        <v>109.24743531999999</v>
      </c>
      <c r="H365">
        <v>5.1653624234568198</v>
      </c>
      <c r="J365" t="b">
        <v>0</v>
      </c>
    </row>
    <row r="366" spans="1:10" x14ac:dyDescent="0.25">
      <c r="A366">
        <v>364</v>
      </c>
      <c r="B366" t="s">
        <v>807</v>
      </c>
      <c r="C366" s="1">
        <v>46220</v>
      </c>
      <c r="D366">
        <v>84.822900000000004</v>
      </c>
      <c r="E366">
        <v>17.65914635</v>
      </c>
      <c r="F366">
        <v>19.08994337</v>
      </c>
      <c r="G366">
        <v>17.65914635</v>
      </c>
      <c r="H366">
        <v>5.4064221638778696</v>
      </c>
      <c r="J366" t="b">
        <v>0</v>
      </c>
    </row>
    <row r="367" spans="1:10" x14ac:dyDescent="0.25">
      <c r="A367">
        <v>365</v>
      </c>
      <c r="B367" t="s">
        <v>809</v>
      </c>
      <c r="C367" s="1">
        <v>46220</v>
      </c>
      <c r="D367">
        <v>95.549229999999994</v>
      </c>
      <c r="E367">
        <v>4.4743840500000003</v>
      </c>
      <c r="F367">
        <v>7.3704485999999996</v>
      </c>
      <c r="G367">
        <v>4.4743840500000003</v>
      </c>
      <c r="H367">
        <v>5.1206520348478799</v>
      </c>
      <c r="J367" t="b">
        <v>0</v>
      </c>
    </row>
    <row r="368" spans="1:10" x14ac:dyDescent="0.25">
      <c r="A368">
        <v>366</v>
      </c>
      <c r="B368" t="s">
        <v>811</v>
      </c>
      <c r="C368" s="1">
        <v>46220</v>
      </c>
      <c r="D368">
        <v>83.216130000000007</v>
      </c>
      <c r="E368">
        <v>22.643607889999998</v>
      </c>
      <c r="F368">
        <v>23.041145119999999</v>
      </c>
      <c r="G368">
        <v>22.643607889999998</v>
      </c>
      <c r="H368">
        <v>5.5425344605511597</v>
      </c>
      <c r="J368" t="b">
        <v>0</v>
      </c>
    </row>
    <row r="369" spans="1:10" x14ac:dyDescent="0.25">
      <c r="A369">
        <v>367</v>
      </c>
      <c r="B369" t="s">
        <v>813</v>
      </c>
      <c r="C369" s="1">
        <v>46220</v>
      </c>
      <c r="D369">
        <v>87.540289999999999</v>
      </c>
      <c r="E369">
        <v>17.66484861</v>
      </c>
      <c r="F369">
        <v>18.752185260000001</v>
      </c>
      <c r="G369">
        <v>17.66484861</v>
      </c>
      <c r="H369">
        <v>5.3878799465118297</v>
      </c>
      <c r="J369" t="b">
        <v>0</v>
      </c>
    </row>
    <row r="370" spans="1:10" x14ac:dyDescent="0.25">
      <c r="A370">
        <v>368</v>
      </c>
      <c r="B370" t="s">
        <v>815</v>
      </c>
      <c r="C370" s="1">
        <v>46220</v>
      </c>
      <c r="D370">
        <v>94.594909999999999</v>
      </c>
      <c r="E370">
        <v>9.3028240499999999</v>
      </c>
      <c r="F370">
        <v>10.43539943</v>
      </c>
      <c r="G370">
        <v>9.3028240499999999</v>
      </c>
      <c r="H370">
        <v>5.17618607323723</v>
      </c>
      <c r="J370" t="b">
        <v>0</v>
      </c>
    </row>
    <row r="371" spans="1:10" x14ac:dyDescent="0.25">
      <c r="A371">
        <v>369</v>
      </c>
      <c r="B371" t="s">
        <v>817</v>
      </c>
      <c r="C371" s="1">
        <v>46220</v>
      </c>
      <c r="D371">
        <v>96.793369999999996</v>
      </c>
      <c r="E371">
        <v>2.4788180899999999</v>
      </c>
      <c r="F371">
        <v>2.9967620199999998</v>
      </c>
      <c r="G371">
        <v>2.4788180899999999</v>
      </c>
      <c r="H371">
        <v>5.05218623528088</v>
      </c>
      <c r="J371" t="b">
        <v>0</v>
      </c>
    </row>
    <row r="372" spans="1:10" x14ac:dyDescent="0.25">
      <c r="A372">
        <v>370</v>
      </c>
      <c r="B372" t="s">
        <v>819</v>
      </c>
      <c r="C372" s="1">
        <v>46220</v>
      </c>
      <c r="D372">
        <v>93.513840000000002</v>
      </c>
      <c r="E372">
        <v>96.525595640000006</v>
      </c>
      <c r="F372">
        <v>98.278662859999997</v>
      </c>
      <c r="G372">
        <v>96.525595640000006</v>
      </c>
      <c r="H372">
        <v>4.9970547722545096</v>
      </c>
      <c r="J372" t="b">
        <v>0</v>
      </c>
    </row>
    <row r="373" spans="1:10" x14ac:dyDescent="0.25">
      <c r="A373">
        <v>371</v>
      </c>
      <c r="B373" t="s">
        <v>821</v>
      </c>
      <c r="C373" s="1">
        <v>46220</v>
      </c>
      <c r="D373">
        <v>75.901970000000006</v>
      </c>
      <c r="E373">
        <v>191.60075982999999</v>
      </c>
      <c r="F373">
        <v>193.78912875</v>
      </c>
      <c r="G373">
        <v>191.60075982999999</v>
      </c>
      <c r="H373">
        <v>6.2252706242481297</v>
      </c>
      <c r="J373" t="b">
        <v>0</v>
      </c>
    </row>
    <row r="374" spans="1:10" x14ac:dyDescent="0.25">
      <c r="A374">
        <v>372</v>
      </c>
      <c r="B374" t="s">
        <v>823</v>
      </c>
      <c r="C374" s="1">
        <v>46220</v>
      </c>
      <c r="D374">
        <v>73.192390000000003</v>
      </c>
      <c r="E374">
        <v>-2.1858170800000001</v>
      </c>
      <c r="F374">
        <v>23.663824630000001</v>
      </c>
      <c r="G374">
        <v>-2.1858170800000001</v>
      </c>
      <c r="H374">
        <v>5.83138840820639</v>
      </c>
      <c r="J374" t="b">
        <v>0</v>
      </c>
    </row>
    <row r="375" spans="1:10" x14ac:dyDescent="0.25">
      <c r="A375">
        <v>373</v>
      </c>
      <c r="B375" t="s">
        <v>825</v>
      </c>
      <c r="C375" s="1">
        <v>46220</v>
      </c>
      <c r="D375">
        <v>83.243799999999993</v>
      </c>
      <c r="E375">
        <v>19.892021700000001</v>
      </c>
      <c r="F375">
        <v>20.547874700000001</v>
      </c>
      <c r="G375">
        <v>19.892021700000001</v>
      </c>
      <c r="H375">
        <v>5.5010078345110296</v>
      </c>
      <c r="J375" t="b">
        <v>0</v>
      </c>
    </row>
    <row r="376" spans="1:10" x14ac:dyDescent="0.25">
      <c r="A376">
        <v>374</v>
      </c>
      <c r="B376" t="s">
        <v>827</v>
      </c>
      <c r="C376" s="1">
        <v>46220</v>
      </c>
      <c r="D376">
        <v>77.416000366210895</v>
      </c>
      <c r="E376">
        <v>103.31684529</v>
      </c>
      <c r="F376">
        <v>103.96466666000001</v>
      </c>
      <c r="G376">
        <v>103.31684529</v>
      </c>
      <c r="H376">
        <v>4.3235989846950504</v>
      </c>
      <c r="J376" t="b">
        <v>0</v>
      </c>
    </row>
    <row r="377" spans="1:10" x14ac:dyDescent="0.25">
      <c r="A377">
        <v>375</v>
      </c>
      <c r="B377" t="s">
        <v>829</v>
      </c>
      <c r="C377" s="1">
        <v>46220</v>
      </c>
      <c r="D377">
        <v>97.794998168945298</v>
      </c>
      <c r="E377">
        <v>34.500528520000003</v>
      </c>
      <c r="F377">
        <v>32.939986509999997</v>
      </c>
      <c r="G377">
        <v>34.500528520000003</v>
      </c>
      <c r="H377">
        <v>3.2100383385422901</v>
      </c>
      <c r="J377" t="b">
        <v>0</v>
      </c>
    </row>
    <row r="378" spans="1:10" x14ac:dyDescent="0.25">
      <c r="A378">
        <v>376</v>
      </c>
      <c r="B378" t="s">
        <v>831</v>
      </c>
      <c r="C378" s="1">
        <v>46220</v>
      </c>
      <c r="D378">
        <v>91.242710000000002</v>
      </c>
      <c r="E378">
        <v>21.08307825</v>
      </c>
      <c r="F378">
        <v>21.154682510000001</v>
      </c>
      <c r="G378">
        <v>21.08307825</v>
      </c>
      <c r="H378">
        <v>5.47061403284708</v>
      </c>
      <c r="J378" t="b">
        <v>0</v>
      </c>
    </row>
    <row r="379" spans="1:10" x14ac:dyDescent="0.25">
      <c r="A379">
        <v>377</v>
      </c>
      <c r="B379" t="s">
        <v>833</v>
      </c>
      <c r="C379" s="1">
        <v>46220</v>
      </c>
      <c r="D379">
        <v>95.525379999999998</v>
      </c>
      <c r="E379">
        <v>10.10160973</v>
      </c>
      <c r="F379">
        <v>11.374283950000001</v>
      </c>
      <c r="G379">
        <v>10.10160973</v>
      </c>
      <c r="H379">
        <v>5.2679428008227998</v>
      </c>
      <c r="J379" t="b">
        <v>0</v>
      </c>
    </row>
    <row r="380" spans="1:10" x14ac:dyDescent="0.25">
      <c r="A380">
        <v>378</v>
      </c>
      <c r="B380" t="s">
        <v>835</v>
      </c>
      <c r="C380" s="1">
        <v>46220</v>
      </c>
      <c r="D380">
        <v>97.316079999999999</v>
      </c>
      <c r="E380">
        <v>-0.95126326000000005</v>
      </c>
      <c r="F380">
        <v>0.82508046000000002</v>
      </c>
      <c r="G380">
        <v>-0.95126326000000005</v>
      </c>
      <c r="H380">
        <v>5.0958682897420502</v>
      </c>
      <c r="J380" t="b">
        <v>0</v>
      </c>
    </row>
    <row r="381" spans="1:10" x14ac:dyDescent="0.25">
      <c r="A381">
        <v>379</v>
      </c>
      <c r="B381" t="s">
        <v>837</v>
      </c>
      <c r="C381" s="1">
        <v>46220</v>
      </c>
      <c r="D381">
        <v>98.573139999999995</v>
      </c>
      <c r="E381">
        <v>97.730328600000007</v>
      </c>
      <c r="F381">
        <v>99.805148259999996</v>
      </c>
      <c r="G381">
        <v>97.730328600000007</v>
      </c>
      <c r="H381">
        <v>4.9924741737401002</v>
      </c>
      <c r="J381" t="b">
        <v>0</v>
      </c>
    </row>
    <row r="382" spans="1:10" x14ac:dyDescent="0.25">
      <c r="A382">
        <v>380</v>
      </c>
      <c r="B382" t="s">
        <v>839</v>
      </c>
      <c r="C382" s="1">
        <v>46220</v>
      </c>
      <c r="D382">
        <v>89.275454999999994</v>
      </c>
      <c r="E382">
        <v>175.09889917000001</v>
      </c>
      <c r="F382">
        <v>175.21672144999999</v>
      </c>
      <c r="G382">
        <v>175.09889917000001</v>
      </c>
      <c r="H382">
        <v>6.1304561890473002</v>
      </c>
      <c r="J382" t="b">
        <v>0</v>
      </c>
    </row>
    <row r="383" spans="1:10" x14ac:dyDescent="0.25">
      <c r="A383">
        <v>381</v>
      </c>
      <c r="B383" t="s">
        <v>841</v>
      </c>
      <c r="C383" s="1">
        <v>46220</v>
      </c>
      <c r="D383">
        <v>97.724339999999998</v>
      </c>
      <c r="E383">
        <v>4.7363994099999998</v>
      </c>
      <c r="F383">
        <v>6.1755541599999999</v>
      </c>
      <c r="G383">
        <v>4.7363994099999998</v>
      </c>
      <c r="H383">
        <v>5.1414357967763902</v>
      </c>
      <c r="J383" t="b">
        <v>0</v>
      </c>
    </row>
    <row r="384" spans="1:10" x14ac:dyDescent="0.25">
      <c r="A384">
        <v>382</v>
      </c>
      <c r="B384" t="s">
        <v>843</v>
      </c>
      <c r="C384" s="1">
        <v>46220</v>
      </c>
      <c r="D384">
        <v>98.630875000000003</v>
      </c>
      <c r="E384">
        <v>91.823310190000001</v>
      </c>
      <c r="F384">
        <v>94.439578679999997</v>
      </c>
      <c r="G384">
        <v>91.823310190000001</v>
      </c>
      <c r="H384">
        <v>4.9400580436167898</v>
      </c>
      <c r="J384" t="b">
        <v>0</v>
      </c>
    </row>
    <row r="385" spans="1:10" x14ac:dyDescent="0.25">
      <c r="A385">
        <v>383</v>
      </c>
      <c r="B385" t="s">
        <v>845</v>
      </c>
      <c r="C385" s="1">
        <v>46220</v>
      </c>
      <c r="D385">
        <v>97.469800000000006</v>
      </c>
      <c r="E385">
        <v>9.6607789700000009</v>
      </c>
      <c r="F385">
        <v>10.753651680000001</v>
      </c>
      <c r="G385">
        <v>9.6607789700000009</v>
      </c>
      <c r="H385">
        <v>5.1792788052069101</v>
      </c>
      <c r="J385" t="b">
        <v>0</v>
      </c>
    </row>
    <row r="386" spans="1:10" x14ac:dyDescent="0.25">
      <c r="A386">
        <v>384</v>
      </c>
      <c r="B386" t="s">
        <v>847</v>
      </c>
      <c r="C386" s="1">
        <v>46220</v>
      </c>
      <c r="D386">
        <v>97.734300000000005</v>
      </c>
      <c r="E386">
        <v>6.8031908000000003</v>
      </c>
      <c r="F386">
        <v>8.6494168200000008</v>
      </c>
      <c r="G386">
        <v>6.8031908000000003</v>
      </c>
      <c r="H386">
        <v>5.1466306457493198</v>
      </c>
      <c r="J386" t="b">
        <v>0</v>
      </c>
    </row>
    <row r="387" spans="1:10" x14ac:dyDescent="0.25">
      <c r="A387">
        <v>385</v>
      </c>
      <c r="B387" t="s">
        <v>849</v>
      </c>
      <c r="C387" s="1">
        <v>46220</v>
      </c>
      <c r="D387">
        <v>85.741204999999994</v>
      </c>
      <c r="E387">
        <v>182.73857208999999</v>
      </c>
      <c r="F387">
        <v>183.05610791999999</v>
      </c>
      <c r="G387">
        <v>182.73857208999999</v>
      </c>
      <c r="H387">
        <v>6.1905548942434097</v>
      </c>
      <c r="J387" t="b">
        <v>0</v>
      </c>
    </row>
    <row r="388" spans="1:10" x14ac:dyDescent="0.25">
      <c r="A388">
        <v>386</v>
      </c>
      <c r="B388" t="s">
        <v>851</v>
      </c>
      <c r="C388" s="1">
        <v>46220</v>
      </c>
      <c r="D388">
        <v>98.546875</v>
      </c>
      <c r="E388">
        <v>97.364019490000004</v>
      </c>
      <c r="F388">
        <v>99.223669150000006</v>
      </c>
      <c r="G388">
        <v>97.364019490000004</v>
      </c>
      <c r="H388">
        <v>4.9678111108345497</v>
      </c>
      <c r="J388" t="b">
        <v>0</v>
      </c>
    </row>
    <row r="389" spans="1:10" x14ac:dyDescent="0.25">
      <c r="A389">
        <v>387</v>
      </c>
      <c r="B389" t="s">
        <v>853</v>
      </c>
      <c r="C389" s="1">
        <v>46220</v>
      </c>
      <c r="D389">
        <v>100.0091</v>
      </c>
      <c r="E389">
        <v>19.26789995</v>
      </c>
      <c r="F389">
        <v>28.604509230000001</v>
      </c>
      <c r="G389">
        <v>19.26789995</v>
      </c>
      <c r="J389" t="b">
        <v>0</v>
      </c>
    </row>
    <row r="390" spans="1:10" x14ac:dyDescent="0.25">
      <c r="A390">
        <v>388</v>
      </c>
      <c r="B390" t="s">
        <v>855</v>
      </c>
      <c r="C390" s="1">
        <v>46220</v>
      </c>
      <c r="D390">
        <v>99.986339999999998</v>
      </c>
      <c r="E390">
        <v>18.59454349</v>
      </c>
      <c r="F390">
        <v>27.952019360000001</v>
      </c>
      <c r="G390">
        <v>18.59454349</v>
      </c>
      <c r="J390" t="b">
        <v>0</v>
      </c>
    </row>
    <row r="391" spans="1:10" x14ac:dyDescent="0.25">
      <c r="A391">
        <v>389</v>
      </c>
      <c r="B391" t="s">
        <v>857</v>
      </c>
      <c r="C391" s="1">
        <v>46220</v>
      </c>
      <c r="D391">
        <v>100.02249999999999</v>
      </c>
      <c r="E391">
        <v>19.272401729999999</v>
      </c>
      <c r="F391">
        <v>-51.30327818</v>
      </c>
      <c r="G391">
        <v>19.272401729999999</v>
      </c>
      <c r="J391" t="b">
        <v>0</v>
      </c>
    </row>
    <row r="392" spans="1:10" x14ac:dyDescent="0.25">
      <c r="A392">
        <v>390</v>
      </c>
      <c r="B392" t="s">
        <v>859</v>
      </c>
      <c r="C392" s="1">
        <v>46220</v>
      </c>
      <c r="D392">
        <v>99.986339999999998</v>
      </c>
      <c r="E392">
        <v>18.59454349</v>
      </c>
      <c r="F392">
        <v>27.952019360000001</v>
      </c>
      <c r="G392">
        <v>18.59454349</v>
      </c>
      <c r="J392" t="b">
        <v>0</v>
      </c>
    </row>
    <row r="393" spans="1:10" x14ac:dyDescent="0.25">
      <c r="A393">
        <v>391</v>
      </c>
      <c r="B393" t="s">
        <v>861</v>
      </c>
      <c r="C393" s="1">
        <v>46220</v>
      </c>
      <c r="D393">
        <v>99.976590000000002</v>
      </c>
      <c r="E393">
        <v>18.32880012</v>
      </c>
      <c r="F393">
        <v>15.164704990000001</v>
      </c>
      <c r="G393">
        <v>18.32880012</v>
      </c>
      <c r="J393" t="b">
        <v>0</v>
      </c>
    </row>
    <row r="394" spans="1:10" x14ac:dyDescent="0.25">
      <c r="A394">
        <v>392</v>
      </c>
      <c r="B394" t="s">
        <v>863</v>
      </c>
      <c r="C394" s="1">
        <v>46220</v>
      </c>
      <c r="D394">
        <v>98.230400000000003</v>
      </c>
      <c r="E394">
        <v>5.3733389200000001</v>
      </c>
      <c r="F394">
        <v>8.1388579399999994</v>
      </c>
      <c r="G394">
        <v>5.3733389200000001</v>
      </c>
      <c r="H394">
        <v>5.1287509737026404</v>
      </c>
      <c r="J394" t="b">
        <v>0</v>
      </c>
    </row>
    <row r="395" spans="1:10" x14ac:dyDescent="0.25">
      <c r="A395">
        <v>393</v>
      </c>
      <c r="B395" t="s">
        <v>865</v>
      </c>
      <c r="C395" s="1">
        <v>46220</v>
      </c>
      <c r="D395">
        <v>98.357309999999998</v>
      </c>
      <c r="E395">
        <v>3.4196821700000002</v>
      </c>
      <c r="F395">
        <v>5.7228416700000002</v>
      </c>
      <c r="G395">
        <v>3.4196821700000002</v>
      </c>
      <c r="H395">
        <v>5.0919458051882902</v>
      </c>
      <c r="J395" t="b">
        <v>0</v>
      </c>
    </row>
    <row r="396" spans="1:10" x14ac:dyDescent="0.25">
      <c r="A396">
        <v>394</v>
      </c>
      <c r="B396" t="s">
        <v>867</v>
      </c>
      <c r="C396" s="1">
        <v>46220</v>
      </c>
      <c r="D396">
        <v>81.660700000000006</v>
      </c>
      <c r="E396">
        <v>178.87729524</v>
      </c>
      <c r="F396">
        <v>179.52739434</v>
      </c>
      <c r="G396">
        <v>178.87729524</v>
      </c>
      <c r="H396">
        <v>6.2102693849906396</v>
      </c>
      <c r="J396" t="b">
        <v>0</v>
      </c>
    </row>
    <row r="397" spans="1:10" x14ac:dyDescent="0.25">
      <c r="A397">
        <v>395</v>
      </c>
      <c r="B397" t="s">
        <v>869</v>
      </c>
      <c r="C397" s="1">
        <v>46220</v>
      </c>
      <c r="D397">
        <v>98.299459999999996</v>
      </c>
      <c r="E397">
        <v>79.509616350000002</v>
      </c>
      <c r="F397">
        <v>82.790255180000003</v>
      </c>
      <c r="G397">
        <v>79.509616350000002</v>
      </c>
      <c r="H397">
        <v>4.8414396005331399</v>
      </c>
      <c r="J397" t="b">
        <v>0</v>
      </c>
    </row>
    <row r="398" spans="1:10" x14ac:dyDescent="0.25">
      <c r="A398">
        <v>396</v>
      </c>
      <c r="B398" t="s">
        <v>871</v>
      </c>
      <c r="C398" s="1">
        <v>46220</v>
      </c>
      <c r="D398">
        <v>98.237579999999994</v>
      </c>
      <c r="E398">
        <v>0.72894323999999999</v>
      </c>
      <c r="F398">
        <v>3.4834436000000002</v>
      </c>
      <c r="G398">
        <v>0.72894323999999999</v>
      </c>
      <c r="H398">
        <v>5.0646985633383599</v>
      </c>
      <c r="J398" t="b">
        <v>0</v>
      </c>
    </row>
    <row r="399" spans="1:10" x14ac:dyDescent="0.25">
      <c r="A399">
        <v>397</v>
      </c>
      <c r="B399" t="s">
        <v>873</v>
      </c>
      <c r="C399" s="1">
        <v>46220</v>
      </c>
      <c r="D399">
        <v>98.43768</v>
      </c>
      <c r="E399">
        <v>2.8609541300000001</v>
      </c>
      <c r="F399">
        <v>4.6511393700000001</v>
      </c>
      <c r="G399">
        <v>2.8609541300000001</v>
      </c>
      <c r="H399">
        <v>5.0724809024304101</v>
      </c>
      <c r="J399" t="b">
        <v>0</v>
      </c>
    </row>
    <row r="400" spans="1:10" x14ac:dyDescent="0.25">
      <c r="A400">
        <v>398</v>
      </c>
      <c r="B400" t="s">
        <v>875</v>
      </c>
      <c r="C400" s="1">
        <v>46220</v>
      </c>
      <c r="D400">
        <v>98.636390000000006</v>
      </c>
      <c r="E400">
        <v>-6.5679170400000002</v>
      </c>
      <c r="F400">
        <v>-6.0885389400000003</v>
      </c>
      <c r="G400">
        <v>-6.5679170400000002</v>
      </c>
      <c r="H400">
        <v>4.96119860385752</v>
      </c>
      <c r="J400" t="b">
        <v>0</v>
      </c>
    </row>
    <row r="401" spans="1:10" x14ac:dyDescent="0.25">
      <c r="A401">
        <v>399</v>
      </c>
      <c r="B401" t="s">
        <v>877</v>
      </c>
      <c r="C401" s="1">
        <v>46220</v>
      </c>
      <c r="D401">
        <v>99.425449999999998</v>
      </c>
      <c r="E401">
        <v>70.558960529999993</v>
      </c>
      <c r="F401">
        <v>73.726977559999995</v>
      </c>
      <c r="G401">
        <v>70.558960529999993</v>
      </c>
      <c r="H401">
        <v>4.5884056026062998</v>
      </c>
      <c r="J401" t="b">
        <v>0</v>
      </c>
    </row>
    <row r="402" spans="1:10" x14ac:dyDescent="0.25">
      <c r="A402">
        <v>400</v>
      </c>
      <c r="B402" t="s">
        <v>879</v>
      </c>
      <c r="C402" s="1">
        <v>46220</v>
      </c>
      <c r="J402" t="b">
        <v>0</v>
      </c>
    </row>
    <row r="403" spans="1:10" x14ac:dyDescent="0.25">
      <c r="A403">
        <v>401</v>
      </c>
      <c r="B403" t="s">
        <v>882</v>
      </c>
      <c r="C403" s="1">
        <v>46220</v>
      </c>
      <c r="J403" t="b">
        <v>0</v>
      </c>
    </row>
    <row r="404" spans="1:10" x14ac:dyDescent="0.25">
      <c r="A404">
        <v>402</v>
      </c>
      <c r="B404" t="s">
        <v>883</v>
      </c>
      <c r="C404" s="1">
        <v>46220</v>
      </c>
      <c r="D404">
        <v>98.4375</v>
      </c>
      <c r="F404">
        <v>453.88800713000001</v>
      </c>
      <c r="H404">
        <v>8.1930351538747193</v>
      </c>
      <c r="J404" t="b">
        <v>0</v>
      </c>
    </row>
    <row r="405" spans="1:10" x14ac:dyDescent="0.25">
      <c r="A405">
        <v>403</v>
      </c>
      <c r="B405" t="s">
        <v>885</v>
      </c>
      <c r="C405" s="1">
        <v>46220</v>
      </c>
      <c r="J405" t="b">
        <v>0</v>
      </c>
    </row>
    <row r="406" spans="1:10" x14ac:dyDescent="0.25">
      <c r="A406">
        <v>404</v>
      </c>
      <c r="B406" t="s">
        <v>887</v>
      </c>
      <c r="C406" s="1">
        <v>46220</v>
      </c>
      <c r="J406" t="b">
        <v>0</v>
      </c>
    </row>
    <row r="407" spans="1:10" x14ac:dyDescent="0.25">
      <c r="A407">
        <v>405</v>
      </c>
      <c r="B407" t="s">
        <v>889</v>
      </c>
      <c r="C407" s="1">
        <v>46220</v>
      </c>
      <c r="J407" t="b">
        <v>0</v>
      </c>
    </row>
    <row r="408" spans="1:10" x14ac:dyDescent="0.25">
      <c r="A408">
        <v>406</v>
      </c>
      <c r="B408" t="s">
        <v>891</v>
      </c>
      <c r="C408" s="1">
        <v>46220</v>
      </c>
      <c r="D408">
        <v>99.25</v>
      </c>
      <c r="J408" t="b">
        <v>0</v>
      </c>
    </row>
    <row r="409" spans="1:10" x14ac:dyDescent="0.25">
      <c r="A409">
        <v>407</v>
      </c>
      <c r="B409" t="s">
        <v>893</v>
      </c>
      <c r="C409" s="1">
        <v>46220</v>
      </c>
      <c r="J409" t="b">
        <v>0</v>
      </c>
    </row>
    <row r="410" spans="1:10" x14ac:dyDescent="0.25">
      <c r="A410">
        <v>408</v>
      </c>
      <c r="B410" t="s">
        <v>895</v>
      </c>
      <c r="C410" s="1">
        <v>46220</v>
      </c>
      <c r="J410" t="b">
        <v>0</v>
      </c>
    </row>
    <row r="411" spans="1:10" x14ac:dyDescent="0.25">
      <c r="A411">
        <v>409</v>
      </c>
      <c r="B411" t="s">
        <v>897</v>
      </c>
      <c r="C411" s="1">
        <v>46220</v>
      </c>
      <c r="D411">
        <v>99.125</v>
      </c>
      <c r="J411" t="b">
        <v>0</v>
      </c>
    </row>
    <row r="412" spans="1:10" x14ac:dyDescent="0.25">
      <c r="A412">
        <v>410</v>
      </c>
      <c r="B412" t="s">
        <v>898</v>
      </c>
      <c r="C412" s="1">
        <v>46220</v>
      </c>
      <c r="J412" t="b">
        <v>0</v>
      </c>
    </row>
    <row r="413" spans="1:10" x14ac:dyDescent="0.25">
      <c r="A413">
        <v>411</v>
      </c>
      <c r="B413" t="s">
        <v>900</v>
      </c>
      <c r="C413" s="1">
        <v>46220</v>
      </c>
      <c r="J413" t="b">
        <v>0</v>
      </c>
    </row>
    <row r="414" spans="1:10" x14ac:dyDescent="0.25">
      <c r="A414">
        <v>412</v>
      </c>
      <c r="B414" t="s">
        <v>902</v>
      </c>
      <c r="C414" s="1">
        <v>46220</v>
      </c>
      <c r="J414" t="b">
        <v>0</v>
      </c>
    </row>
    <row r="415" spans="1:10" x14ac:dyDescent="0.25">
      <c r="A415">
        <v>413</v>
      </c>
      <c r="B415" t="s">
        <v>904</v>
      </c>
      <c r="C415" s="1">
        <v>46220</v>
      </c>
      <c r="J415" t="b">
        <v>0</v>
      </c>
    </row>
    <row r="416" spans="1:10" x14ac:dyDescent="0.25">
      <c r="A416">
        <v>414</v>
      </c>
      <c r="B416" t="s">
        <v>907</v>
      </c>
      <c r="C416" s="1">
        <v>46220</v>
      </c>
      <c r="J416" t="b">
        <v>0</v>
      </c>
    </row>
    <row r="417" spans="1:10" x14ac:dyDescent="0.25">
      <c r="A417">
        <v>415</v>
      </c>
      <c r="B417" t="s">
        <v>909</v>
      </c>
      <c r="C417" s="1">
        <v>46220</v>
      </c>
      <c r="J417" t="b">
        <v>0</v>
      </c>
    </row>
    <row r="418" spans="1:10" x14ac:dyDescent="0.25">
      <c r="A418">
        <v>416</v>
      </c>
      <c r="B418" t="s">
        <v>911</v>
      </c>
      <c r="C418" s="1">
        <v>46220</v>
      </c>
      <c r="J418" t="b">
        <v>0</v>
      </c>
    </row>
    <row r="419" spans="1:10" x14ac:dyDescent="0.25">
      <c r="A419">
        <v>417</v>
      </c>
      <c r="B419" t="s">
        <v>913</v>
      </c>
      <c r="C419" s="1">
        <v>46220</v>
      </c>
      <c r="J419" t="b">
        <v>0</v>
      </c>
    </row>
    <row r="420" spans="1:10" x14ac:dyDescent="0.25">
      <c r="A420">
        <v>418</v>
      </c>
      <c r="B420" t="s">
        <v>915</v>
      </c>
      <c r="C420" s="1">
        <v>46220</v>
      </c>
      <c r="D420">
        <v>91.623185000000007</v>
      </c>
      <c r="E420">
        <v>673.76199285999996</v>
      </c>
      <c r="F420">
        <v>675.11078314999997</v>
      </c>
      <c r="G420">
        <v>673.76199285999996</v>
      </c>
      <c r="H420">
        <v>10.740038919001099</v>
      </c>
      <c r="J420" t="b">
        <v>0</v>
      </c>
    </row>
    <row r="421" spans="1:10" x14ac:dyDescent="0.25">
      <c r="A421">
        <v>419</v>
      </c>
      <c r="B421" t="s">
        <v>919</v>
      </c>
      <c r="C421" s="1">
        <v>46220</v>
      </c>
      <c r="D421">
        <v>88.5</v>
      </c>
      <c r="F421">
        <v>715.1121445</v>
      </c>
      <c r="H421">
        <v>11.0528154065832</v>
      </c>
      <c r="J421" t="b">
        <v>0</v>
      </c>
    </row>
    <row r="422" spans="1:10" x14ac:dyDescent="0.25">
      <c r="A422">
        <v>420</v>
      </c>
      <c r="B422" t="s">
        <v>921</v>
      </c>
      <c r="C422" s="1">
        <v>46220</v>
      </c>
      <c r="D422">
        <v>101.26694999999999</v>
      </c>
      <c r="E422">
        <v>-1677.1883489700001</v>
      </c>
      <c r="F422">
        <v>-1689.1413411999999</v>
      </c>
      <c r="G422">
        <v>-1677.1883489700001</v>
      </c>
      <c r="H422">
        <v>-18.784830861778001</v>
      </c>
      <c r="J422" t="b">
        <v>0</v>
      </c>
    </row>
    <row r="423" spans="1:10" x14ac:dyDescent="0.25">
      <c r="A423">
        <v>421</v>
      </c>
      <c r="B423" t="s">
        <v>925</v>
      </c>
      <c r="C423" s="1">
        <v>46220</v>
      </c>
      <c r="D423">
        <v>94.870579999999904</v>
      </c>
      <c r="E423">
        <v>859.51295201000005</v>
      </c>
      <c r="F423">
        <v>861.65144765000002</v>
      </c>
      <c r="G423">
        <v>859.51295201000005</v>
      </c>
      <c r="H423">
        <v>12.6150046806414</v>
      </c>
      <c r="J423" t="b">
        <v>0</v>
      </c>
    </row>
    <row r="424" spans="1:10" x14ac:dyDescent="0.25">
      <c r="A424">
        <v>422</v>
      </c>
      <c r="B424" t="s">
        <v>927</v>
      </c>
      <c r="C424" s="1">
        <v>46220</v>
      </c>
      <c r="D424">
        <v>94.938019999999995</v>
      </c>
      <c r="E424">
        <v>880.58484632</v>
      </c>
      <c r="F424">
        <v>882.43510183000001</v>
      </c>
      <c r="G424">
        <v>880.58484632</v>
      </c>
      <c r="H424">
        <v>12.835894388538099</v>
      </c>
      <c r="J424" t="b">
        <v>0</v>
      </c>
    </row>
    <row r="425" spans="1:10" x14ac:dyDescent="0.25">
      <c r="A425">
        <v>423</v>
      </c>
      <c r="B425" t="s">
        <v>929</v>
      </c>
      <c r="C425" s="1">
        <v>46220</v>
      </c>
      <c r="D425">
        <v>116.09635</v>
      </c>
      <c r="E425">
        <v>-103.30234864000001</v>
      </c>
      <c r="F425">
        <v>-101.79079373</v>
      </c>
      <c r="G425">
        <v>-103.30234864000001</v>
      </c>
      <c r="H425">
        <v>3.5075114462542598</v>
      </c>
      <c r="J425" t="b">
        <v>0</v>
      </c>
    </row>
    <row r="426" spans="1:10" x14ac:dyDescent="0.25">
      <c r="A426">
        <v>424</v>
      </c>
      <c r="B426" t="s">
        <v>931</v>
      </c>
      <c r="C426" s="1">
        <v>46220</v>
      </c>
      <c r="D426">
        <v>94.553709999999995</v>
      </c>
      <c r="E426">
        <v>852.53721790999998</v>
      </c>
      <c r="F426">
        <v>854.19786098999998</v>
      </c>
      <c r="G426">
        <v>852.53721790999998</v>
      </c>
      <c r="H426">
        <v>12.551646030180001</v>
      </c>
      <c r="J426" t="b">
        <v>0</v>
      </c>
    </row>
    <row r="427" spans="1:10" x14ac:dyDescent="0.25">
      <c r="A427">
        <v>425</v>
      </c>
      <c r="B427" t="s">
        <v>933</v>
      </c>
      <c r="C427" s="1">
        <v>46220</v>
      </c>
      <c r="D427">
        <v>104.64324999999999</v>
      </c>
      <c r="E427">
        <v>437.02213216000001</v>
      </c>
      <c r="F427">
        <v>439.28948589999999</v>
      </c>
      <c r="G427">
        <v>437.02213216000001</v>
      </c>
      <c r="H427">
        <v>9.2711817244770405</v>
      </c>
      <c r="J427" t="b">
        <v>0</v>
      </c>
    </row>
    <row r="428" spans="1:10" x14ac:dyDescent="0.25">
      <c r="A428">
        <v>426</v>
      </c>
      <c r="B428" t="s">
        <v>935</v>
      </c>
      <c r="C428" s="1">
        <v>46220</v>
      </c>
      <c r="D428">
        <v>89.5</v>
      </c>
      <c r="F428">
        <v>1032.8980143599999</v>
      </c>
      <c r="H428">
        <v>14.4028074652205</v>
      </c>
      <c r="J428" t="b">
        <v>0</v>
      </c>
    </row>
    <row r="429" spans="1:10" x14ac:dyDescent="0.25">
      <c r="A429">
        <v>427</v>
      </c>
      <c r="B429" t="s">
        <v>937</v>
      </c>
      <c r="C429" s="1">
        <v>46220</v>
      </c>
      <c r="D429">
        <v>89.5</v>
      </c>
      <c r="F429">
        <v>1041.58228622</v>
      </c>
      <c r="H429">
        <v>14.513041567448299</v>
      </c>
      <c r="J429" t="b">
        <v>0</v>
      </c>
    </row>
    <row r="430" spans="1:10" x14ac:dyDescent="0.25">
      <c r="A430">
        <v>428</v>
      </c>
      <c r="B430" t="s">
        <v>939</v>
      </c>
      <c r="C430" s="1">
        <v>46220</v>
      </c>
      <c r="D430">
        <v>89.5</v>
      </c>
      <c r="J430" t="b">
        <v>0</v>
      </c>
    </row>
    <row r="431" spans="1:10" x14ac:dyDescent="0.25">
      <c r="A431">
        <v>429</v>
      </c>
      <c r="B431" t="s">
        <v>940</v>
      </c>
      <c r="C431" s="1">
        <v>46220</v>
      </c>
      <c r="D431">
        <v>89.5</v>
      </c>
      <c r="F431">
        <v>972.44518863999997</v>
      </c>
      <c r="H431">
        <v>13.785124464533901</v>
      </c>
      <c r="J431" t="b">
        <v>0</v>
      </c>
    </row>
    <row r="432" spans="1:10" x14ac:dyDescent="0.25">
      <c r="A432">
        <v>430</v>
      </c>
      <c r="B432" t="s">
        <v>941</v>
      </c>
      <c r="C432" s="1">
        <v>46220</v>
      </c>
      <c r="J432" t="b">
        <v>0</v>
      </c>
    </row>
    <row r="433" spans="1:10" x14ac:dyDescent="0.25">
      <c r="A433">
        <v>431</v>
      </c>
      <c r="B433" t="s">
        <v>943</v>
      </c>
      <c r="C433" s="1">
        <v>46220</v>
      </c>
      <c r="J433" t="b">
        <v>0</v>
      </c>
    </row>
    <row r="434" spans="1:10" x14ac:dyDescent="0.25">
      <c r="A434">
        <v>432</v>
      </c>
      <c r="B434" t="s">
        <v>946</v>
      </c>
      <c r="C434" s="1">
        <v>46220</v>
      </c>
      <c r="D434">
        <v>90.875</v>
      </c>
      <c r="F434">
        <v>878.13767394000001</v>
      </c>
      <c r="H434">
        <v>11.7815447738394</v>
      </c>
      <c r="J434" t="b">
        <v>0</v>
      </c>
    </row>
    <row r="435" spans="1:10" x14ac:dyDescent="0.25">
      <c r="A435">
        <v>433</v>
      </c>
      <c r="B435" t="s">
        <v>950</v>
      </c>
      <c r="C435" s="1">
        <v>46220</v>
      </c>
      <c r="D435">
        <v>83.936499999999995</v>
      </c>
      <c r="F435">
        <v>782.18150822999996</v>
      </c>
      <c r="H435">
        <v>11.868990794755501</v>
      </c>
      <c r="J435" t="b">
        <v>0</v>
      </c>
    </row>
    <row r="436" spans="1:10" x14ac:dyDescent="0.25">
      <c r="A436">
        <v>434</v>
      </c>
      <c r="B436" t="s">
        <v>952</v>
      </c>
      <c r="C436" s="1">
        <v>46220</v>
      </c>
      <c r="D436">
        <v>50.732894999999999</v>
      </c>
      <c r="E436">
        <v>2976.3061784000001</v>
      </c>
      <c r="F436">
        <v>2978.08135137</v>
      </c>
      <c r="G436">
        <v>2976.3061784000001</v>
      </c>
      <c r="H436">
        <v>33.057587887284797</v>
      </c>
      <c r="J436" t="b">
        <v>0</v>
      </c>
    </row>
    <row r="437" spans="1:10" x14ac:dyDescent="0.25">
      <c r="A437">
        <v>435</v>
      </c>
      <c r="B437" t="s">
        <v>956</v>
      </c>
      <c r="C437" s="1">
        <v>46220</v>
      </c>
      <c r="D437">
        <v>66.75</v>
      </c>
      <c r="F437">
        <v>2230.3419420599998</v>
      </c>
      <c r="H437">
        <v>26.155183003302199</v>
      </c>
      <c r="J437" t="b">
        <v>0</v>
      </c>
    </row>
    <row r="438" spans="1:10" x14ac:dyDescent="0.25">
      <c r="A438">
        <v>436</v>
      </c>
      <c r="B438" t="s">
        <v>984</v>
      </c>
      <c r="C438" s="1">
        <v>46220</v>
      </c>
      <c r="D438">
        <v>92.922399999999996</v>
      </c>
      <c r="E438">
        <v>783.21910293999997</v>
      </c>
      <c r="F438">
        <v>785.05032265</v>
      </c>
      <c r="G438">
        <v>783.21910293999997</v>
      </c>
      <c r="H438">
        <v>12.0775061149106</v>
      </c>
      <c r="J438" t="b">
        <v>0</v>
      </c>
    </row>
    <row r="439" spans="1:10" x14ac:dyDescent="0.25">
      <c r="A439">
        <v>437</v>
      </c>
      <c r="B439" t="s">
        <v>988</v>
      </c>
      <c r="C439" s="1">
        <v>46220</v>
      </c>
      <c r="D439">
        <v>73.482924999999994</v>
      </c>
      <c r="F439">
        <v>1712.4580776</v>
      </c>
      <c r="H439">
        <v>21.162887350230601</v>
      </c>
      <c r="J439" t="b">
        <v>0</v>
      </c>
    </row>
    <row r="440" spans="1:10" x14ac:dyDescent="0.25">
      <c r="A440">
        <v>438</v>
      </c>
      <c r="B440" t="s">
        <v>990</v>
      </c>
      <c r="C440" s="1">
        <v>46220</v>
      </c>
      <c r="D440">
        <v>94.042419999999893</v>
      </c>
      <c r="E440">
        <v>929.24210560999995</v>
      </c>
      <c r="F440">
        <v>931.54777259000002</v>
      </c>
      <c r="G440">
        <v>929.24210560999995</v>
      </c>
      <c r="H440">
        <v>13.5776998870068</v>
      </c>
      <c r="J440" t="b">
        <v>0</v>
      </c>
    </row>
    <row r="441" spans="1:10" x14ac:dyDescent="0.25">
      <c r="A441">
        <v>439</v>
      </c>
      <c r="B441" t="s">
        <v>992</v>
      </c>
      <c r="C441" s="1">
        <v>46220</v>
      </c>
      <c r="D441">
        <v>88.25</v>
      </c>
      <c r="F441">
        <v>863.57371048000005</v>
      </c>
      <c r="H441">
        <v>12.749366440545201</v>
      </c>
      <c r="J441" t="b">
        <v>0</v>
      </c>
    </row>
    <row r="442" spans="1:10" x14ac:dyDescent="0.25">
      <c r="A442">
        <v>440</v>
      </c>
      <c r="B442" t="s">
        <v>958</v>
      </c>
      <c r="C442" s="1">
        <v>46220</v>
      </c>
      <c r="D442">
        <v>87.137770000000003</v>
      </c>
      <c r="E442">
        <v>769.15884310000001</v>
      </c>
      <c r="F442">
        <v>770.92235315000005</v>
      </c>
      <c r="G442">
        <v>769.15884310000001</v>
      </c>
      <c r="H442">
        <v>11.986206351614101</v>
      </c>
      <c r="J442" t="b">
        <v>0</v>
      </c>
    </row>
    <row r="443" spans="1:10" x14ac:dyDescent="0.25">
      <c r="A443">
        <v>441</v>
      </c>
      <c r="B443" t="s">
        <v>962</v>
      </c>
      <c r="C443" s="1">
        <v>46220</v>
      </c>
      <c r="D443">
        <v>100.953002929687</v>
      </c>
      <c r="E443">
        <v>378.09657729999998</v>
      </c>
      <c r="F443">
        <v>376.17063808</v>
      </c>
      <c r="G443">
        <v>378.09657729999998</v>
      </c>
      <c r="H443">
        <v>6.8487939402049696</v>
      </c>
      <c r="J443" t="b">
        <v>0</v>
      </c>
    </row>
    <row r="444" spans="1:10" x14ac:dyDescent="0.25">
      <c r="A444">
        <v>442</v>
      </c>
      <c r="B444" t="s">
        <v>964</v>
      </c>
      <c r="C444" s="1">
        <v>46220</v>
      </c>
      <c r="D444">
        <v>102.12569999999999</v>
      </c>
      <c r="E444">
        <v>378.02941269000002</v>
      </c>
      <c r="F444">
        <v>380.38893690999998</v>
      </c>
      <c r="G444">
        <v>378.02941269000002</v>
      </c>
      <c r="H444">
        <v>8.0393269828153606</v>
      </c>
      <c r="J444" t="b">
        <v>0</v>
      </c>
    </row>
    <row r="445" spans="1:10" x14ac:dyDescent="0.25">
      <c r="A445">
        <v>443</v>
      </c>
      <c r="B445" t="s">
        <v>966</v>
      </c>
      <c r="C445" s="1">
        <v>46220</v>
      </c>
      <c r="D445">
        <v>98.582000732421804</v>
      </c>
      <c r="E445">
        <v>272.23077024000003</v>
      </c>
      <c r="F445">
        <v>245.04086185</v>
      </c>
      <c r="G445">
        <v>272.23077024000003</v>
      </c>
      <c r="H445">
        <v>5.32470519449911</v>
      </c>
      <c r="J445" t="b">
        <v>0</v>
      </c>
    </row>
    <row r="446" spans="1:10" x14ac:dyDescent="0.25">
      <c r="A446">
        <v>444</v>
      </c>
      <c r="B446" t="s">
        <v>968</v>
      </c>
      <c r="C446" s="1">
        <v>46220</v>
      </c>
      <c r="D446">
        <v>73.870189999999994</v>
      </c>
      <c r="E446">
        <v>864.22015125999997</v>
      </c>
      <c r="F446">
        <v>864.40197436000005</v>
      </c>
      <c r="G446">
        <v>864.22015125999997</v>
      </c>
      <c r="H446">
        <v>12.890082665009301</v>
      </c>
      <c r="J446" t="b">
        <v>0</v>
      </c>
    </row>
    <row r="447" spans="1:10" x14ac:dyDescent="0.25">
      <c r="A447">
        <v>445</v>
      </c>
      <c r="B447" t="s">
        <v>970</v>
      </c>
      <c r="C447" s="1">
        <v>46220</v>
      </c>
      <c r="D447">
        <v>68.546044999999907</v>
      </c>
      <c r="E447">
        <v>860.63041719</v>
      </c>
      <c r="F447">
        <v>862.02934877999996</v>
      </c>
      <c r="G447">
        <v>860.63041719</v>
      </c>
      <c r="H447">
        <v>12.649210048909699</v>
      </c>
      <c r="J447" t="b">
        <v>0</v>
      </c>
    </row>
    <row r="448" spans="1:10" x14ac:dyDescent="0.25">
      <c r="A448">
        <v>446</v>
      </c>
      <c r="B448" t="s">
        <v>972</v>
      </c>
      <c r="C448" s="1">
        <v>46220</v>
      </c>
      <c r="D448">
        <v>80.628109999999893</v>
      </c>
      <c r="E448">
        <v>834.70150898999998</v>
      </c>
      <c r="F448">
        <v>836.87814015000004</v>
      </c>
      <c r="G448">
        <v>834.70150898999998</v>
      </c>
      <c r="H448">
        <v>12.5929264091058</v>
      </c>
      <c r="J448" t="b">
        <v>0</v>
      </c>
    </row>
    <row r="449" spans="1:10" x14ac:dyDescent="0.25">
      <c r="A449">
        <v>447</v>
      </c>
      <c r="B449" t="s">
        <v>974</v>
      </c>
      <c r="C449" s="1">
        <v>46220</v>
      </c>
      <c r="D449">
        <v>97.053849999999997</v>
      </c>
      <c r="E449">
        <v>330.07053532999998</v>
      </c>
      <c r="F449">
        <v>333.24183829999998</v>
      </c>
      <c r="G449">
        <v>330.07053532999998</v>
      </c>
      <c r="H449">
        <v>7.4718448436762896</v>
      </c>
      <c r="J449" t="b">
        <v>0</v>
      </c>
    </row>
    <row r="450" spans="1:10" x14ac:dyDescent="0.25">
      <c r="A450">
        <v>448</v>
      </c>
      <c r="B450" t="s">
        <v>976</v>
      </c>
      <c r="C450" s="1">
        <v>46220</v>
      </c>
      <c r="J450" t="b">
        <v>0</v>
      </c>
    </row>
    <row r="451" spans="1:10" x14ac:dyDescent="0.25">
      <c r="A451">
        <v>449</v>
      </c>
      <c r="B451" t="s">
        <v>978</v>
      </c>
      <c r="C451" s="1">
        <v>46220</v>
      </c>
      <c r="J451" t="b">
        <v>0</v>
      </c>
    </row>
    <row r="452" spans="1:10" x14ac:dyDescent="0.25">
      <c r="A452">
        <v>450</v>
      </c>
      <c r="B452" t="s">
        <v>980</v>
      </c>
      <c r="C452" s="1">
        <v>46220</v>
      </c>
      <c r="J452" t="b">
        <v>0</v>
      </c>
    </row>
    <row r="453" spans="1:10" x14ac:dyDescent="0.25">
      <c r="A453">
        <v>451</v>
      </c>
      <c r="B453" t="s">
        <v>982</v>
      </c>
      <c r="C453" s="1">
        <v>46220</v>
      </c>
      <c r="D453">
        <v>96.375</v>
      </c>
      <c r="J453" t="b">
        <v>0</v>
      </c>
    </row>
    <row r="454" spans="1:10" x14ac:dyDescent="0.25">
      <c r="A454">
        <v>452</v>
      </c>
      <c r="B454" t="s">
        <v>3385</v>
      </c>
      <c r="C454" s="1">
        <v>46220</v>
      </c>
      <c r="D454">
        <v>95.5</v>
      </c>
      <c r="J454" t="b">
        <v>0</v>
      </c>
    </row>
    <row r="455" spans="1:10" x14ac:dyDescent="0.25">
      <c r="A455">
        <v>453</v>
      </c>
      <c r="B455" t="s">
        <v>3387</v>
      </c>
      <c r="C455" s="1">
        <v>46220</v>
      </c>
      <c r="D455">
        <v>73.5</v>
      </c>
      <c r="F455">
        <v>1785.3147402500001</v>
      </c>
      <c r="H455">
        <v>21.905004351671401</v>
      </c>
      <c r="J455" t="b">
        <v>0</v>
      </c>
    </row>
    <row r="456" spans="1:10" x14ac:dyDescent="0.25">
      <c r="A456">
        <v>454</v>
      </c>
      <c r="B456" t="s">
        <v>3390</v>
      </c>
      <c r="C456" s="1">
        <v>46220</v>
      </c>
      <c r="D456">
        <v>88</v>
      </c>
      <c r="F456">
        <v>983.43582451999998</v>
      </c>
      <c r="H456">
        <v>13.925112499794199</v>
      </c>
      <c r="J456" t="b">
        <v>0</v>
      </c>
    </row>
    <row r="457" spans="1:10" x14ac:dyDescent="0.25">
      <c r="A457">
        <v>455</v>
      </c>
      <c r="B457" t="s">
        <v>995</v>
      </c>
      <c r="C457" s="1">
        <v>46220</v>
      </c>
      <c r="D457">
        <v>96.393159999999995</v>
      </c>
      <c r="E457">
        <v>661.00669651999999</v>
      </c>
      <c r="F457">
        <v>661.85252194999998</v>
      </c>
      <c r="G457">
        <v>661.00669651999999</v>
      </c>
      <c r="H457">
        <v>10.500097601913</v>
      </c>
      <c r="J457" t="b">
        <v>0</v>
      </c>
    </row>
    <row r="458" spans="1:10" x14ac:dyDescent="0.25">
      <c r="A458">
        <v>456</v>
      </c>
      <c r="B458" t="s">
        <v>999</v>
      </c>
      <c r="C458" s="1">
        <v>46220</v>
      </c>
      <c r="D458">
        <v>93</v>
      </c>
      <c r="J458" t="b">
        <v>0</v>
      </c>
    </row>
    <row r="459" spans="1:10" x14ac:dyDescent="0.25">
      <c r="A459">
        <v>457</v>
      </c>
      <c r="B459" t="s">
        <v>1001</v>
      </c>
      <c r="C459" s="1">
        <v>46220</v>
      </c>
      <c r="D459">
        <v>92.739499999999893</v>
      </c>
      <c r="F459">
        <v>680.29401794</v>
      </c>
      <c r="H459">
        <v>10.5949224906953</v>
      </c>
      <c r="J459" t="b">
        <v>0</v>
      </c>
    </row>
    <row r="460" spans="1:10" x14ac:dyDescent="0.25">
      <c r="A460">
        <v>458</v>
      </c>
      <c r="B460" t="s">
        <v>1003</v>
      </c>
      <c r="C460" s="1">
        <v>46220</v>
      </c>
      <c r="D460">
        <v>90.5</v>
      </c>
      <c r="F460">
        <v>1073.91101622</v>
      </c>
      <c r="H460">
        <v>14.8356875256198</v>
      </c>
      <c r="J460" t="b">
        <v>0</v>
      </c>
    </row>
    <row r="461" spans="1:10" x14ac:dyDescent="0.25">
      <c r="A461">
        <v>459</v>
      </c>
      <c r="B461" t="s">
        <v>1057</v>
      </c>
      <c r="C461" s="1">
        <v>46220</v>
      </c>
      <c r="D461">
        <v>94.480419999999995</v>
      </c>
      <c r="E461">
        <v>319.93192477999997</v>
      </c>
      <c r="F461">
        <v>315.90713089000002</v>
      </c>
      <c r="G461">
        <v>319.93192477999997</v>
      </c>
      <c r="H461">
        <v>7.4592073947643902</v>
      </c>
      <c r="J461" t="b">
        <v>0</v>
      </c>
    </row>
    <row r="462" spans="1:10" x14ac:dyDescent="0.25">
      <c r="A462">
        <v>460</v>
      </c>
      <c r="B462" t="s">
        <v>1061</v>
      </c>
      <c r="C462" s="1">
        <v>46220</v>
      </c>
      <c r="D462">
        <v>92.086945</v>
      </c>
      <c r="E462">
        <v>453.00989385000003</v>
      </c>
      <c r="F462">
        <v>454.82026401000002</v>
      </c>
      <c r="G462">
        <v>453.00989385000003</v>
      </c>
      <c r="H462">
        <v>8.7929944689971595</v>
      </c>
      <c r="J462" t="b">
        <v>0</v>
      </c>
    </row>
    <row r="463" spans="1:10" x14ac:dyDescent="0.25">
      <c r="A463">
        <v>461</v>
      </c>
      <c r="B463" t="s">
        <v>1063</v>
      </c>
      <c r="C463" s="1">
        <v>46220</v>
      </c>
      <c r="D463">
        <v>86.891329999999996</v>
      </c>
      <c r="E463">
        <v>431.73468038999999</v>
      </c>
      <c r="F463">
        <v>427.97983837999999</v>
      </c>
      <c r="G463">
        <v>431.73468038999999</v>
      </c>
      <c r="H463">
        <v>8.8069372596785893</v>
      </c>
      <c r="J463" t="b">
        <v>0</v>
      </c>
    </row>
    <row r="464" spans="1:10" x14ac:dyDescent="0.25">
      <c r="A464">
        <v>462</v>
      </c>
      <c r="B464" t="s">
        <v>1065</v>
      </c>
      <c r="C464" s="1">
        <v>46220</v>
      </c>
      <c r="D464">
        <v>81.727114999999998</v>
      </c>
      <c r="E464">
        <v>517.44488774000001</v>
      </c>
      <c r="F464">
        <v>519.43512559999999</v>
      </c>
      <c r="G464">
        <v>517.44488774000001</v>
      </c>
      <c r="H464">
        <v>9.3342414389690003</v>
      </c>
      <c r="J464" t="b">
        <v>0</v>
      </c>
    </row>
    <row r="465" spans="1:10" x14ac:dyDescent="0.25">
      <c r="A465">
        <v>463</v>
      </c>
      <c r="B465" t="s">
        <v>1067</v>
      </c>
      <c r="C465" s="1">
        <v>46220</v>
      </c>
      <c r="D465">
        <v>86.083000183105398</v>
      </c>
      <c r="E465">
        <v>373.75682247999998</v>
      </c>
      <c r="F465">
        <v>371.62251605</v>
      </c>
      <c r="G465">
        <v>373.75682247999998</v>
      </c>
      <c r="H465">
        <v>6.9894203354154003</v>
      </c>
      <c r="J465" t="b">
        <v>0</v>
      </c>
    </row>
    <row r="466" spans="1:10" x14ac:dyDescent="0.25">
      <c r="A466">
        <v>464</v>
      </c>
      <c r="B466" t="s">
        <v>1069</v>
      </c>
      <c r="C466" s="1">
        <v>46220</v>
      </c>
      <c r="D466">
        <v>93.931685000000002</v>
      </c>
      <c r="E466">
        <v>245.11534169999999</v>
      </c>
      <c r="F466">
        <v>242.32813931000001</v>
      </c>
      <c r="G466">
        <v>245.11534169999999</v>
      </c>
      <c r="H466">
        <v>6.6951717384662297</v>
      </c>
      <c r="J466" t="b">
        <v>0</v>
      </c>
    </row>
    <row r="467" spans="1:10" x14ac:dyDescent="0.25">
      <c r="A467">
        <v>465</v>
      </c>
      <c r="B467" t="s">
        <v>1071</v>
      </c>
      <c r="C467" s="1">
        <v>46220</v>
      </c>
      <c r="D467">
        <v>89.084230000000005</v>
      </c>
      <c r="E467">
        <v>623.44368586999997</v>
      </c>
      <c r="F467">
        <v>624.84662594999998</v>
      </c>
      <c r="G467">
        <v>623.44368586999997</v>
      </c>
      <c r="H467">
        <v>10.332166493443699</v>
      </c>
      <c r="J467" t="b">
        <v>0</v>
      </c>
    </row>
    <row r="468" spans="1:10" x14ac:dyDescent="0.25">
      <c r="A468">
        <v>466</v>
      </c>
      <c r="B468" t="s">
        <v>1073</v>
      </c>
      <c r="C468" s="1">
        <v>46220</v>
      </c>
      <c r="D468">
        <v>86.596000671386705</v>
      </c>
      <c r="E468">
        <v>547.74061108000001</v>
      </c>
      <c r="F468">
        <v>544.82286337000005</v>
      </c>
      <c r="G468">
        <v>547.74061108000001</v>
      </c>
      <c r="H468">
        <v>8.7005818585168893</v>
      </c>
      <c r="J468" t="b">
        <v>0</v>
      </c>
    </row>
    <row r="469" spans="1:10" x14ac:dyDescent="0.25">
      <c r="A469">
        <v>467</v>
      </c>
      <c r="B469" t="s">
        <v>1075</v>
      </c>
      <c r="C469" s="1">
        <v>46220</v>
      </c>
      <c r="D469">
        <v>78.541449999999998</v>
      </c>
      <c r="E469">
        <v>893.65594351000004</v>
      </c>
      <c r="F469">
        <v>888.07981968000001</v>
      </c>
      <c r="G469">
        <v>893.65594351000004</v>
      </c>
      <c r="H469">
        <v>13.536506146482299</v>
      </c>
      <c r="J469" t="b">
        <v>0</v>
      </c>
    </row>
    <row r="470" spans="1:10" x14ac:dyDescent="0.25">
      <c r="A470">
        <v>468</v>
      </c>
      <c r="B470" t="s">
        <v>1078</v>
      </c>
      <c r="C470" s="1">
        <v>46220</v>
      </c>
      <c r="D470">
        <v>83.824529999999996</v>
      </c>
      <c r="E470">
        <v>608.82154297</v>
      </c>
      <c r="F470">
        <v>610.17136319999997</v>
      </c>
      <c r="G470">
        <v>608.82154297</v>
      </c>
      <c r="H470">
        <v>10.247070780563501</v>
      </c>
      <c r="J470" t="b">
        <v>0</v>
      </c>
    </row>
    <row r="471" spans="1:10" x14ac:dyDescent="0.25">
      <c r="A471">
        <v>469</v>
      </c>
      <c r="B471" t="s">
        <v>1080</v>
      </c>
      <c r="C471" s="1">
        <v>46220</v>
      </c>
      <c r="D471">
        <v>77.505245000000002</v>
      </c>
      <c r="E471">
        <v>952.83864547999997</v>
      </c>
      <c r="F471">
        <v>945.98630614000001</v>
      </c>
      <c r="G471">
        <v>952.83864547999997</v>
      </c>
      <c r="H471">
        <v>13.9078899052158</v>
      </c>
      <c r="J471" t="b">
        <v>0</v>
      </c>
    </row>
    <row r="472" spans="1:10" x14ac:dyDescent="0.25">
      <c r="A472">
        <v>470</v>
      </c>
      <c r="B472" t="s">
        <v>1082</v>
      </c>
      <c r="C472" s="1">
        <v>46220</v>
      </c>
      <c r="D472">
        <v>78.403999328613196</v>
      </c>
      <c r="E472">
        <v>893.08431743000006</v>
      </c>
      <c r="F472">
        <v>889.24430403999997</v>
      </c>
      <c r="G472">
        <v>893.08431743000006</v>
      </c>
      <c r="H472">
        <v>12.270479333601701</v>
      </c>
      <c r="J472" t="b">
        <v>0</v>
      </c>
    </row>
    <row r="473" spans="1:10" x14ac:dyDescent="0.25">
      <c r="A473">
        <v>471</v>
      </c>
      <c r="B473" t="s">
        <v>1084</v>
      </c>
      <c r="C473" s="1">
        <v>46220</v>
      </c>
      <c r="D473">
        <v>76.499830000000003</v>
      </c>
      <c r="E473">
        <v>982.25115041000004</v>
      </c>
      <c r="F473">
        <v>983.04076009999994</v>
      </c>
      <c r="G473">
        <v>982.25115041000004</v>
      </c>
      <c r="H473">
        <v>14.0752120643656</v>
      </c>
      <c r="J473" t="b">
        <v>0</v>
      </c>
    </row>
    <row r="474" spans="1:10" x14ac:dyDescent="0.25">
      <c r="A474">
        <v>472</v>
      </c>
      <c r="B474" t="s">
        <v>1086</v>
      </c>
      <c r="C474" s="1">
        <v>46220</v>
      </c>
      <c r="D474">
        <v>82.505290000000002</v>
      </c>
      <c r="E474">
        <v>454.26770727000002</v>
      </c>
      <c r="F474">
        <v>449.71957451999998</v>
      </c>
      <c r="G474">
        <v>454.26770727000002</v>
      </c>
      <c r="H474">
        <v>9.0381696290604996</v>
      </c>
      <c r="J474" t="b">
        <v>0</v>
      </c>
    </row>
    <row r="475" spans="1:10" x14ac:dyDescent="0.25">
      <c r="A475">
        <v>473</v>
      </c>
      <c r="B475" t="s">
        <v>1088</v>
      </c>
      <c r="C475" s="1">
        <v>46220</v>
      </c>
      <c r="D475">
        <v>81.108319999999907</v>
      </c>
      <c r="E475">
        <v>546.85185295999997</v>
      </c>
      <c r="F475">
        <v>548.40842301999999</v>
      </c>
      <c r="G475">
        <v>546.85185295999997</v>
      </c>
      <c r="H475">
        <v>9.6059957651050905</v>
      </c>
      <c r="J475" t="b">
        <v>0</v>
      </c>
    </row>
    <row r="476" spans="1:10" x14ac:dyDescent="0.25">
      <c r="A476">
        <v>474</v>
      </c>
      <c r="B476" t="s">
        <v>1090</v>
      </c>
      <c r="C476" s="1">
        <v>46220</v>
      </c>
      <c r="D476">
        <v>84.785094999999998</v>
      </c>
      <c r="E476">
        <v>505.77718833</v>
      </c>
      <c r="F476">
        <v>507.62005405999997</v>
      </c>
      <c r="G476">
        <v>505.77718833</v>
      </c>
      <c r="H476">
        <v>9.0723991454737494</v>
      </c>
      <c r="J476" t="b">
        <v>0</v>
      </c>
    </row>
    <row r="477" spans="1:10" x14ac:dyDescent="0.25">
      <c r="A477">
        <v>475</v>
      </c>
      <c r="B477" t="s">
        <v>1092</v>
      </c>
      <c r="C477" s="1">
        <v>46220</v>
      </c>
      <c r="D477">
        <v>85.357884999999996</v>
      </c>
      <c r="E477">
        <v>423.20509004000002</v>
      </c>
      <c r="F477">
        <v>419.08412973999998</v>
      </c>
      <c r="G477">
        <v>423.20509004000002</v>
      </c>
      <c r="H477">
        <v>8.5606868864136203</v>
      </c>
      <c r="J477" t="b">
        <v>0</v>
      </c>
    </row>
    <row r="478" spans="1:10" x14ac:dyDescent="0.25">
      <c r="A478">
        <v>476</v>
      </c>
      <c r="B478" t="s">
        <v>1094</v>
      </c>
      <c r="C478" s="1">
        <v>46220</v>
      </c>
      <c r="D478">
        <v>76.081001281738196</v>
      </c>
      <c r="E478">
        <v>799.65200530000004</v>
      </c>
      <c r="F478">
        <v>797.24865827999997</v>
      </c>
      <c r="G478">
        <v>799.65200530000004</v>
      </c>
      <c r="H478">
        <v>11.5444966826828</v>
      </c>
      <c r="J478" t="b">
        <v>0</v>
      </c>
    </row>
    <row r="479" spans="1:10" x14ac:dyDescent="0.25">
      <c r="A479">
        <v>477</v>
      </c>
      <c r="B479" t="s">
        <v>1096</v>
      </c>
      <c r="C479" s="1">
        <v>46220</v>
      </c>
      <c r="D479">
        <v>73.586489999999998</v>
      </c>
      <c r="E479">
        <v>954.81995810000001</v>
      </c>
      <c r="F479">
        <v>956.58128442999998</v>
      </c>
      <c r="G479">
        <v>954.81995810000001</v>
      </c>
      <c r="H479">
        <v>13.8768477083036</v>
      </c>
      <c r="J479" t="b">
        <v>0</v>
      </c>
    </row>
    <row r="480" spans="1:10" x14ac:dyDescent="0.25">
      <c r="A480">
        <v>478</v>
      </c>
      <c r="B480" t="s">
        <v>1098</v>
      </c>
      <c r="C480" s="1">
        <v>46220</v>
      </c>
      <c r="J480" t="b">
        <v>0</v>
      </c>
    </row>
    <row r="481" spans="1:10" x14ac:dyDescent="0.25">
      <c r="A481">
        <v>479</v>
      </c>
      <c r="B481" t="s">
        <v>1100</v>
      </c>
      <c r="C481" s="1">
        <v>46220</v>
      </c>
      <c r="J481" t="b">
        <v>0</v>
      </c>
    </row>
    <row r="482" spans="1:10" x14ac:dyDescent="0.25">
      <c r="A482">
        <v>480</v>
      </c>
      <c r="B482" t="s">
        <v>1102</v>
      </c>
      <c r="C482" s="1">
        <v>46220</v>
      </c>
      <c r="J482" t="b">
        <v>0</v>
      </c>
    </row>
    <row r="483" spans="1:10" x14ac:dyDescent="0.25">
      <c r="A483">
        <v>481</v>
      </c>
      <c r="B483" t="s">
        <v>1104</v>
      </c>
      <c r="C483" s="1">
        <v>46220</v>
      </c>
      <c r="J483" t="b">
        <v>0</v>
      </c>
    </row>
    <row r="484" spans="1:10" x14ac:dyDescent="0.25">
      <c r="A484">
        <v>482</v>
      </c>
      <c r="B484" t="s">
        <v>1106</v>
      </c>
      <c r="C484" s="1">
        <v>46220</v>
      </c>
      <c r="J484" t="b">
        <v>0</v>
      </c>
    </row>
    <row r="485" spans="1:10" x14ac:dyDescent="0.25">
      <c r="A485">
        <v>483</v>
      </c>
      <c r="B485" t="s">
        <v>1108</v>
      </c>
      <c r="C485" s="1">
        <v>46220</v>
      </c>
      <c r="J485" t="b">
        <v>0</v>
      </c>
    </row>
    <row r="486" spans="1:10" x14ac:dyDescent="0.25">
      <c r="A486">
        <v>484</v>
      </c>
      <c r="B486" t="s">
        <v>1110</v>
      </c>
      <c r="C486" s="1">
        <v>46220</v>
      </c>
      <c r="J486" t="b">
        <v>0</v>
      </c>
    </row>
    <row r="487" spans="1:10" x14ac:dyDescent="0.25">
      <c r="A487">
        <v>485</v>
      </c>
      <c r="B487" t="s">
        <v>1112</v>
      </c>
      <c r="C487" s="1">
        <v>46220</v>
      </c>
      <c r="D487">
        <v>90</v>
      </c>
      <c r="F487">
        <v>459.64812297999998</v>
      </c>
      <c r="H487">
        <v>7.5200858544210698</v>
      </c>
      <c r="J487" t="b">
        <v>0</v>
      </c>
    </row>
    <row r="488" spans="1:10" x14ac:dyDescent="0.25">
      <c r="A488">
        <v>486</v>
      </c>
      <c r="B488" t="s">
        <v>1114</v>
      </c>
      <c r="C488" s="1">
        <v>46220</v>
      </c>
      <c r="D488">
        <v>88.5</v>
      </c>
      <c r="J488" t="b">
        <v>0</v>
      </c>
    </row>
    <row r="489" spans="1:10" x14ac:dyDescent="0.25">
      <c r="A489">
        <v>487</v>
      </c>
      <c r="B489" t="s">
        <v>1116</v>
      </c>
      <c r="C489" s="1">
        <v>46220</v>
      </c>
      <c r="D489">
        <v>100</v>
      </c>
      <c r="F489">
        <v>291.16009162</v>
      </c>
      <c r="H489">
        <v>7.1288843694741297</v>
      </c>
      <c r="J489" t="b">
        <v>0</v>
      </c>
    </row>
    <row r="490" spans="1:10" x14ac:dyDescent="0.25">
      <c r="A490">
        <v>488</v>
      </c>
      <c r="B490" t="s">
        <v>1118</v>
      </c>
      <c r="C490" s="1">
        <v>46220</v>
      </c>
      <c r="D490">
        <v>88.5</v>
      </c>
      <c r="F490">
        <v>483.22406512999999</v>
      </c>
      <c r="H490">
        <v>7.8149821842089198</v>
      </c>
      <c r="J490" t="b">
        <v>0</v>
      </c>
    </row>
    <row r="491" spans="1:10" x14ac:dyDescent="0.25">
      <c r="A491">
        <v>489</v>
      </c>
      <c r="B491" t="s">
        <v>1120</v>
      </c>
      <c r="C491" s="1">
        <v>46220</v>
      </c>
      <c r="J491" t="b">
        <v>0</v>
      </c>
    </row>
    <row r="492" spans="1:10" x14ac:dyDescent="0.25">
      <c r="A492">
        <v>490</v>
      </c>
      <c r="B492" t="s">
        <v>1122</v>
      </c>
      <c r="C492" s="1">
        <v>46220</v>
      </c>
      <c r="J492" t="b">
        <v>0</v>
      </c>
    </row>
    <row r="493" spans="1:10" x14ac:dyDescent="0.25">
      <c r="A493">
        <v>491</v>
      </c>
      <c r="B493" t="s">
        <v>1123</v>
      </c>
      <c r="C493" s="1">
        <v>46220</v>
      </c>
      <c r="D493">
        <v>87.875</v>
      </c>
      <c r="F493">
        <v>629.56555422999998</v>
      </c>
      <c r="H493">
        <v>10.3927841311835</v>
      </c>
      <c r="J493" t="b">
        <v>0</v>
      </c>
    </row>
    <row r="494" spans="1:10" x14ac:dyDescent="0.25">
      <c r="A494">
        <v>492</v>
      </c>
      <c r="B494" t="s">
        <v>1125</v>
      </c>
      <c r="C494" s="1">
        <v>46220</v>
      </c>
      <c r="D494">
        <v>94.875</v>
      </c>
      <c r="F494">
        <v>510.61351805999999</v>
      </c>
      <c r="H494">
        <v>9.2418276985909706</v>
      </c>
      <c r="J494" t="b">
        <v>0</v>
      </c>
    </row>
    <row r="495" spans="1:10" x14ac:dyDescent="0.25">
      <c r="A495">
        <v>493</v>
      </c>
      <c r="B495" t="s">
        <v>1127</v>
      </c>
      <c r="C495" s="1">
        <v>46220</v>
      </c>
      <c r="D495">
        <v>94.875</v>
      </c>
      <c r="F495">
        <v>818.73297020999996</v>
      </c>
      <c r="H495">
        <v>12.468258091922101</v>
      </c>
      <c r="J495" t="b">
        <v>0</v>
      </c>
    </row>
    <row r="496" spans="1:10" x14ac:dyDescent="0.25">
      <c r="A496">
        <v>494</v>
      </c>
      <c r="B496" t="s">
        <v>1131</v>
      </c>
      <c r="C496" s="1">
        <v>46220</v>
      </c>
      <c r="D496">
        <v>97.373019999999997</v>
      </c>
      <c r="E496">
        <v>730.59243068000001</v>
      </c>
      <c r="F496">
        <v>732.91485977000002</v>
      </c>
      <c r="G496">
        <v>730.59243068000001</v>
      </c>
      <c r="H496">
        <v>12.071749599497601</v>
      </c>
      <c r="J496" t="b">
        <v>0</v>
      </c>
    </row>
    <row r="497" spans="1:10" x14ac:dyDescent="0.25">
      <c r="A497">
        <v>495</v>
      </c>
      <c r="B497" t="s">
        <v>1135</v>
      </c>
      <c r="C497" s="1">
        <v>46220</v>
      </c>
      <c r="D497">
        <v>95.600764999999996</v>
      </c>
      <c r="E497">
        <v>385.51699300000001</v>
      </c>
      <c r="F497">
        <v>389.25137604000003</v>
      </c>
      <c r="G497">
        <v>385.51699300000001</v>
      </c>
      <c r="H497">
        <v>7.9887927134571202</v>
      </c>
      <c r="J497" t="b">
        <v>0</v>
      </c>
    </row>
    <row r="498" spans="1:10" x14ac:dyDescent="0.25">
      <c r="A498">
        <v>496</v>
      </c>
      <c r="B498" t="s">
        <v>1137</v>
      </c>
      <c r="C498" s="1">
        <v>46220</v>
      </c>
      <c r="D498">
        <v>86.823974999999905</v>
      </c>
      <c r="E498">
        <v>655.11930067000003</v>
      </c>
      <c r="F498">
        <v>656.95411696999997</v>
      </c>
      <c r="G498">
        <v>655.11930067000003</v>
      </c>
      <c r="H498">
        <v>10.809980834344699</v>
      </c>
      <c r="J498" t="b">
        <v>0</v>
      </c>
    </row>
    <row r="499" spans="1:10" x14ac:dyDescent="0.25">
      <c r="A499">
        <v>497</v>
      </c>
      <c r="B499" t="s">
        <v>1139</v>
      </c>
      <c r="C499" s="1">
        <v>46220</v>
      </c>
      <c r="D499">
        <v>91.314364999999995</v>
      </c>
      <c r="E499">
        <v>609.91918730999998</v>
      </c>
      <c r="F499">
        <v>611.81866057000002</v>
      </c>
      <c r="G499">
        <v>609.91918730999998</v>
      </c>
      <c r="H499">
        <v>10.5119312523536</v>
      </c>
      <c r="J499" t="b">
        <v>0</v>
      </c>
    </row>
    <row r="500" spans="1:10" x14ac:dyDescent="0.25">
      <c r="A500">
        <v>498</v>
      </c>
      <c r="B500" t="s">
        <v>1141</v>
      </c>
      <c r="C500" s="1">
        <v>46220</v>
      </c>
      <c r="D500">
        <v>94.683760000000007</v>
      </c>
      <c r="E500">
        <v>659.55068877999997</v>
      </c>
      <c r="F500">
        <v>661.52842682999994</v>
      </c>
      <c r="G500">
        <v>659.55068877999997</v>
      </c>
      <c r="H500">
        <v>11.489400011888501</v>
      </c>
      <c r="J500" t="b">
        <v>0</v>
      </c>
    </row>
    <row r="501" spans="1:10" x14ac:dyDescent="0.25">
      <c r="A501">
        <v>499</v>
      </c>
      <c r="B501" t="s">
        <v>1143</v>
      </c>
      <c r="C501" s="1">
        <v>46220</v>
      </c>
      <c r="D501">
        <v>83.25</v>
      </c>
      <c r="E501">
        <v>1282.4475377399999</v>
      </c>
      <c r="F501">
        <v>1284.2681469300001</v>
      </c>
      <c r="G501">
        <v>1282.4475377399999</v>
      </c>
      <c r="H501">
        <v>17.159806296400699</v>
      </c>
      <c r="I501">
        <v>26718</v>
      </c>
      <c r="J501" t="b">
        <v>0</v>
      </c>
    </row>
    <row r="502" spans="1:10" x14ac:dyDescent="0.25">
      <c r="A502">
        <v>500</v>
      </c>
      <c r="B502" t="s">
        <v>1145</v>
      </c>
      <c r="C502" s="1">
        <v>46220</v>
      </c>
      <c r="D502">
        <v>95.874870000000001</v>
      </c>
      <c r="E502">
        <v>711.23460066999996</v>
      </c>
      <c r="F502">
        <v>713.57386154000005</v>
      </c>
      <c r="G502">
        <v>711.23460066999996</v>
      </c>
      <c r="H502">
        <v>11.0891592798008</v>
      </c>
      <c r="J502" t="b">
        <v>0</v>
      </c>
    </row>
    <row r="503" spans="1:10" x14ac:dyDescent="0.25">
      <c r="A503">
        <v>501</v>
      </c>
      <c r="B503" t="s">
        <v>1147</v>
      </c>
      <c r="C503" s="1">
        <v>46220</v>
      </c>
      <c r="J503" t="b">
        <v>0</v>
      </c>
    </row>
    <row r="504" spans="1:10" x14ac:dyDescent="0.25">
      <c r="A504">
        <v>502</v>
      </c>
      <c r="B504" t="s">
        <v>1151</v>
      </c>
      <c r="C504" s="1">
        <v>46220</v>
      </c>
      <c r="D504">
        <v>94.875</v>
      </c>
      <c r="F504">
        <v>758.34756028000004</v>
      </c>
      <c r="H504">
        <v>11.797507854668901</v>
      </c>
      <c r="J504" t="b">
        <v>0</v>
      </c>
    </row>
    <row r="505" spans="1:10" x14ac:dyDescent="0.25">
      <c r="A505">
        <v>503</v>
      </c>
      <c r="B505" t="s">
        <v>1152</v>
      </c>
      <c r="C505" s="1">
        <v>46220</v>
      </c>
      <c r="J505" t="b">
        <v>0</v>
      </c>
    </row>
    <row r="506" spans="1:10" x14ac:dyDescent="0.25">
      <c r="A506">
        <v>504</v>
      </c>
      <c r="B506" t="s">
        <v>412</v>
      </c>
      <c r="C506" s="1">
        <v>46220</v>
      </c>
      <c r="D506">
        <v>76.786355</v>
      </c>
      <c r="E506">
        <v>780.90811232999999</v>
      </c>
      <c r="F506">
        <v>782.62731183999995</v>
      </c>
      <c r="G506">
        <v>780.90811232999999</v>
      </c>
      <c r="H506">
        <v>11.9724870256105</v>
      </c>
      <c r="J506" t="b">
        <v>0</v>
      </c>
    </row>
    <row r="507" spans="1:10" x14ac:dyDescent="0.25">
      <c r="A507">
        <v>505</v>
      </c>
      <c r="B507" t="s">
        <v>416</v>
      </c>
      <c r="C507" s="1">
        <v>46220</v>
      </c>
      <c r="D507">
        <v>105.48339999999899</v>
      </c>
      <c r="E507">
        <v>-308.42526480999999</v>
      </c>
      <c r="F507">
        <v>-307.78965663000002</v>
      </c>
      <c r="G507">
        <v>-308.42526480999999</v>
      </c>
      <c r="H507">
        <v>8.3710789044851399</v>
      </c>
      <c r="J507" t="b">
        <v>0</v>
      </c>
    </row>
    <row r="508" spans="1:10" x14ac:dyDescent="0.25">
      <c r="A508">
        <v>506</v>
      </c>
      <c r="B508" t="s">
        <v>418</v>
      </c>
      <c r="C508" s="1">
        <v>46220</v>
      </c>
      <c r="D508">
        <v>99.24015</v>
      </c>
      <c r="E508">
        <v>330.01194550999998</v>
      </c>
      <c r="F508">
        <v>331.10939081999999</v>
      </c>
      <c r="G508">
        <v>330.01194550999998</v>
      </c>
      <c r="H508">
        <v>7.3826312680663904</v>
      </c>
      <c r="J508" t="b">
        <v>0</v>
      </c>
    </row>
    <row r="509" spans="1:10" x14ac:dyDescent="0.25">
      <c r="A509">
        <v>507</v>
      </c>
      <c r="B509" t="s">
        <v>420</v>
      </c>
      <c r="C509" s="1">
        <v>46220</v>
      </c>
      <c r="D509">
        <v>99.755690000000001</v>
      </c>
      <c r="E509">
        <v>567.23264125000003</v>
      </c>
      <c r="F509">
        <v>568.4878592</v>
      </c>
      <c r="G509">
        <v>567.23264125000003</v>
      </c>
      <c r="H509">
        <v>9.7009143974736105</v>
      </c>
      <c r="J509" t="b">
        <v>0</v>
      </c>
    </row>
    <row r="510" spans="1:10" x14ac:dyDescent="0.25">
      <c r="A510">
        <v>508</v>
      </c>
      <c r="B510" t="s">
        <v>422</v>
      </c>
      <c r="C510" s="1">
        <v>46220</v>
      </c>
      <c r="D510">
        <v>71.533344999999997</v>
      </c>
      <c r="E510">
        <v>875.65260601</v>
      </c>
      <c r="F510">
        <v>877.24395121999999</v>
      </c>
      <c r="G510">
        <v>875.65260601</v>
      </c>
      <c r="H510">
        <v>13.009155742968799</v>
      </c>
      <c r="J510" t="b">
        <v>0</v>
      </c>
    </row>
    <row r="511" spans="1:10" x14ac:dyDescent="0.25">
      <c r="A511">
        <v>509</v>
      </c>
      <c r="B511" t="s">
        <v>424</v>
      </c>
      <c r="C511" s="1">
        <v>46220</v>
      </c>
      <c r="D511">
        <v>100.5</v>
      </c>
      <c r="F511">
        <v>206.05579933999999</v>
      </c>
      <c r="H511">
        <v>6.6697460725581701</v>
      </c>
      <c r="J511" t="b">
        <v>0</v>
      </c>
    </row>
    <row r="512" spans="1:10" x14ac:dyDescent="0.25">
      <c r="A512">
        <v>510</v>
      </c>
      <c r="B512" t="s">
        <v>426</v>
      </c>
      <c r="C512" s="1">
        <v>46220</v>
      </c>
      <c r="J512" t="b">
        <v>0</v>
      </c>
    </row>
    <row r="513" spans="1:10" x14ac:dyDescent="0.25">
      <c r="A513">
        <v>511</v>
      </c>
      <c r="B513" t="s">
        <v>1154</v>
      </c>
      <c r="C513" s="1">
        <v>46220</v>
      </c>
      <c r="D513">
        <v>84.748500000000007</v>
      </c>
      <c r="F513">
        <v>946.81908396999995</v>
      </c>
      <c r="H513">
        <v>13.371890993259999</v>
      </c>
      <c r="J513" t="b">
        <v>0</v>
      </c>
    </row>
    <row r="514" spans="1:10" x14ac:dyDescent="0.25">
      <c r="A514">
        <v>512</v>
      </c>
      <c r="B514" t="s">
        <v>566</v>
      </c>
      <c r="C514" s="1">
        <v>46220</v>
      </c>
      <c r="D514">
        <v>101.32745</v>
      </c>
      <c r="E514">
        <v>3461.8815242999999</v>
      </c>
      <c r="F514">
        <v>3463.7935812999999</v>
      </c>
      <c r="G514">
        <v>3461.8815242999999</v>
      </c>
      <c r="H514">
        <v>38.743206137629898</v>
      </c>
      <c r="J514" t="b">
        <v>0</v>
      </c>
    </row>
    <row r="515" spans="1:10" x14ac:dyDescent="0.25">
      <c r="A515">
        <v>513</v>
      </c>
      <c r="B515" t="s">
        <v>570</v>
      </c>
      <c r="C515" s="1">
        <v>46220</v>
      </c>
      <c r="J515" t="b">
        <v>0</v>
      </c>
    </row>
    <row r="516" spans="1:10" x14ac:dyDescent="0.25">
      <c r="A516">
        <v>514</v>
      </c>
      <c r="B516" t="s">
        <v>572</v>
      </c>
      <c r="C516" s="1">
        <v>46220</v>
      </c>
      <c r="J516" t="b">
        <v>0</v>
      </c>
    </row>
    <row r="517" spans="1:10" x14ac:dyDescent="0.25">
      <c r="A517">
        <v>515</v>
      </c>
      <c r="B517" t="s">
        <v>573</v>
      </c>
      <c r="C517" s="1">
        <v>46220</v>
      </c>
      <c r="D517">
        <v>52.913015000000001</v>
      </c>
      <c r="E517">
        <v>3952.6240973399999</v>
      </c>
      <c r="F517">
        <v>3955.5273017499999</v>
      </c>
      <c r="G517">
        <v>3952.6240973399999</v>
      </c>
      <c r="H517">
        <v>43.461035783408597</v>
      </c>
      <c r="J517" t="b">
        <v>0</v>
      </c>
    </row>
    <row r="518" spans="1:10" x14ac:dyDescent="0.25">
      <c r="A518">
        <v>516</v>
      </c>
      <c r="B518" t="s">
        <v>574</v>
      </c>
      <c r="C518" s="1">
        <v>46220</v>
      </c>
      <c r="D518">
        <v>85.967065000000005</v>
      </c>
      <c r="E518">
        <v>1441.7234075900001</v>
      </c>
      <c r="F518">
        <v>1443.8623900699999</v>
      </c>
      <c r="G518">
        <v>1441.7234075900001</v>
      </c>
      <c r="H518">
        <v>18.452850789365201</v>
      </c>
      <c r="J518" t="b">
        <v>0</v>
      </c>
    </row>
    <row r="519" spans="1:10" x14ac:dyDescent="0.25">
      <c r="A519">
        <v>517</v>
      </c>
      <c r="B519" t="s">
        <v>575</v>
      </c>
      <c r="C519" s="1">
        <v>46220</v>
      </c>
      <c r="D519">
        <v>99.302484999999905</v>
      </c>
      <c r="E519">
        <v>2588.8548753499999</v>
      </c>
      <c r="F519">
        <v>2591.52950818</v>
      </c>
      <c r="G519">
        <v>2588.8548753499999</v>
      </c>
      <c r="H519">
        <v>29.991943385004099</v>
      </c>
      <c r="J519" t="b">
        <v>0</v>
      </c>
    </row>
    <row r="520" spans="1:10" x14ac:dyDescent="0.25">
      <c r="A520">
        <v>518</v>
      </c>
      <c r="B520" t="s">
        <v>577</v>
      </c>
      <c r="C520" s="1">
        <v>46220</v>
      </c>
      <c r="J520" t="b">
        <v>0</v>
      </c>
    </row>
    <row r="521" spans="1:10" x14ac:dyDescent="0.25">
      <c r="A521">
        <v>519</v>
      </c>
      <c r="B521" t="s">
        <v>579</v>
      </c>
      <c r="C521" s="1">
        <v>46220</v>
      </c>
      <c r="D521">
        <v>81</v>
      </c>
      <c r="F521">
        <v>1324.27194009</v>
      </c>
      <c r="H521">
        <v>17.191782667628299</v>
      </c>
      <c r="J521" t="b">
        <v>0</v>
      </c>
    </row>
    <row r="522" spans="1:10" x14ac:dyDescent="0.25">
      <c r="A522">
        <v>520</v>
      </c>
      <c r="B522" t="s">
        <v>581</v>
      </c>
      <c r="C522" s="1">
        <v>46220</v>
      </c>
      <c r="D522">
        <v>80.5</v>
      </c>
      <c r="F522">
        <v>1280.1764054400001</v>
      </c>
      <c r="H522">
        <v>16.790230120498698</v>
      </c>
      <c r="J522" t="b">
        <v>0</v>
      </c>
    </row>
    <row r="523" spans="1:10" x14ac:dyDescent="0.25">
      <c r="A523">
        <v>521</v>
      </c>
      <c r="B523" t="s">
        <v>582</v>
      </c>
      <c r="C523" s="1">
        <v>46220</v>
      </c>
      <c r="D523">
        <v>46</v>
      </c>
      <c r="F523">
        <v>3988.2391658699999</v>
      </c>
      <c r="H523">
        <v>44.025899252004699</v>
      </c>
      <c r="J523" t="b">
        <v>0</v>
      </c>
    </row>
    <row r="524" spans="1:10" x14ac:dyDescent="0.25">
      <c r="A524">
        <v>522</v>
      </c>
      <c r="B524" t="s">
        <v>584</v>
      </c>
      <c r="C524" s="1">
        <v>46220</v>
      </c>
      <c r="J524" t="b">
        <v>0</v>
      </c>
    </row>
    <row r="525" spans="1:10" x14ac:dyDescent="0.25">
      <c r="A525">
        <v>523</v>
      </c>
      <c r="B525" t="s">
        <v>2670</v>
      </c>
      <c r="C525" s="1">
        <v>46220</v>
      </c>
      <c r="J525" t="b">
        <v>0</v>
      </c>
    </row>
    <row r="526" spans="1:10" x14ac:dyDescent="0.25">
      <c r="A526">
        <v>524</v>
      </c>
      <c r="B526" t="s">
        <v>2672</v>
      </c>
      <c r="C526" s="1">
        <v>46220</v>
      </c>
      <c r="J526" t="b">
        <v>0</v>
      </c>
    </row>
    <row r="527" spans="1:10" x14ac:dyDescent="0.25">
      <c r="A527">
        <v>525</v>
      </c>
      <c r="B527" t="s">
        <v>2674</v>
      </c>
      <c r="C527" s="1">
        <v>46220</v>
      </c>
      <c r="J527" t="b">
        <v>0</v>
      </c>
    </row>
    <row r="528" spans="1:10" x14ac:dyDescent="0.25">
      <c r="A528">
        <v>526</v>
      </c>
      <c r="B528" t="s">
        <v>3392</v>
      </c>
      <c r="C528" s="1">
        <v>46220</v>
      </c>
      <c r="D528">
        <v>90</v>
      </c>
      <c r="F528">
        <v>635.73735742999997</v>
      </c>
      <c r="H528">
        <v>10.3452386207421</v>
      </c>
      <c r="J528" t="b">
        <v>0</v>
      </c>
    </row>
    <row r="529" spans="1:10" x14ac:dyDescent="0.25">
      <c r="A529">
        <v>527</v>
      </c>
      <c r="B529" t="s">
        <v>3397</v>
      </c>
      <c r="C529" s="1">
        <v>46220</v>
      </c>
      <c r="D529">
        <v>97.875</v>
      </c>
      <c r="F529">
        <v>543.59331837000002</v>
      </c>
      <c r="H529">
        <v>9.35431702851767</v>
      </c>
      <c r="J529" t="b">
        <v>0</v>
      </c>
    </row>
    <row r="530" spans="1:10" x14ac:dyDescent="0.25">
      <c r="A530">
        <v>528</v>
      </c>
      <c r="B530" t="s">
        <v>3399</v>
      </c>
      <c r="C530" s="1">
        <v>46220</v>
      </c>
      <c r="J530" t="b">
        <v>0</v>
      </c>
    </row>
    <row r="531" spans="1:10" x14ac:dyDescent="0.25">
      <c r="A531">
        <v>529</v>
      </c>
      <c r="B531" t="s">
        <v>3401</v>
      </c>
      <c r="C531" s="1">
        <v>46220</v>
      </c>
      <c r="D531">
        <v>95.25</v>
      </c>
      <c r="F531">
        <v>847.98080599000002</v>
      </c>
      <c r="H531">
        <v>12.392411844192299</v>
      </c>
      <c r="J531" t="b">
        <v>0</v>
      </c>
    </row>
    <row r="532" spans="1:10" x14ac:dyDescent="0.25">
      <c r="A532">
        <v>530</v>
      </c>
      <c r="B532" t="s">
        <v>1195</v>
      </c>
      <c r="C532" s="1">
        <v>46220</v>
      </c>
      <c r="J532" t="b">
        <v>0</v>
      </c>
    </row>
    <row r="533" spans="1:10" x14ac:dyDescent="0.25">
      <c r="A533">
        <v>531</v>
      </c>
      <c r="B533" t="s">
        <v>1198</v>
      </c>
      <c r="C533" s="1">
        <v>46220</v>
      </c>
      <c r="D533">
        <v>79.652000000000001</v>
      </c>
      <c r="F533">
        <v>1176.8709532299999</v>
      </c>
      <c r="H533">
        <v>15.7381215605156</v>
      </c>
      <c r="J533" t="b">
        <v>0</v>
      </c>
    </row>
    <row r="534" spans="1:10" x14ac:dyDescent="0.25">
      <c r="A534">
        <v>532</v>
      </c>
      <c r="B534" t="s">
        <v>1200</v>
      </c>
      <c r="C534" s="1">
        <v>46220</v>
      </c>
      <c r="D534">
        <v>88.625</v>
      </c>
      <c r="F534">
        <v>1063.27701168</v>
      </c>
      <c r="H534">
        <v>14.5963815731791</v>
      </c>
      <c r="J534" t="b">
        <v>0</v>
      </c>
    </row>
    <row r="535" spans="1:10" x14ac:dyDescent="0.25">
      <c r="A535">
        <v>533</v>
      </c>
      <c r="B535" t="s">
        <v>1203</v>
      </c>
      <c r="C535" s="1">
        <v>46220</v>
      </c>
      <c r="J535" t="b">
        <v>0</v>
      </c>
    </row>
    <row r="536" spans="1:10" x14ac:dyDescent="0.25">
      <c r="A536">
        <v>534</v>
      </c>
      <c r="B536" t="s">
        <v>1225</v>
      </c>
      <c r="C536" s="1">
        <v>46220</v>
      </c>
      <c r="D536">
        <v>31.727844999999999</v>
      </c>
      <c r="E536">
        <v>4086.4184747099998</v>
      </c>
      <c r="F536">
        <v>4088.7071073100001</v>
      </c>
      <c r="G536">
        <v>4086.4184747099998</v>
      </c>
      <c r="H536">
        <v>44.874278203633096</v>
      </c>
      <c r="J536" t="b">
        <v>0</v>
      </c>
    </row>
    <row r="537" spans="1:10" x14ac:dyDescent="0.25">
      <c r="A537">
        <v>535</v>
      </c>
      <c r="B537" t="s">
        <v>1229</v>
      </c>
      <c r="C537" s="1">
        <v>46220</v>
      </c>
      <c r="D537">
        <v>70.674379999999999</v>
      </c>
      <c r="E537">
        <v>1378.18803445</v>
      </c>
      <c r="F537">
        <v>1379.8228289000001</v>
      </c>
      <c r="G537">
        <v>1378.18803445</v>
      </c>
      <c r="H537">
        <v>17.166153691810401</v>
      </c>
      <c r="J537" t="b">
        <v>0</v>
      </c>
    </row>
    <row r="538" spans="1:10" x14ac:dyDescent="0.25">
      <c r="A538">
        <v>536</v>
      </c>
      <c r="B538" t="s">
        <v>1231</v>
      </c>
      <c r="C538" s="1">
        <v>46220</v>
      </c>
      <c r="D538">
        <v>69</v>
      </c>
      <c r="F538">
        <v>1351.0194257999999</v>
      </c>
      <c r="H538">
        <v>17.491388297639698</v>
      </c>
      <c r="J538" t="b">
        <v>0</v>
      </c>
    </row>
    <row r="539" spans="1:10" x14ac:dyDescent="0.25">
      <c r="A539">
        <v>537</v>
      </c>
      <c r="B539" t="s">
        <v>1233</v>
      </c>
      <c r="C539" s="1">
        <v>46220</v>
      </c>
      <c r="J539" t="b">
        <v>0</v>
      </c>
    </row>
    <row r="540" spans="1:10" x14ac:dyDescent="0.25">
      <c r="A540">
        <v>538</v>
      </c>
      <c r="B540" t="s">
        <v>3403</v>
      </c>
      <c r="C540" s="1">
        <v>46220</v>
      </c>
      <c r="D540">
        <v>103</v>
      </c>
      <c r="F540">
        <v>411.73769965999998</v>
      </c>
      <c r="H540">
        <v>8.4367553757977092</v>
      </c>
      <c r="J540" t="b">
        <v>0</v>
      </c>
    </row>
    <row r="541" spans="1:10" x14ac:dyDescent="0.25">
      <c r="A541">
        <v>539</v>
      </c>
      <c r="B541" t="s">
        <v>3407</v>
      </c>
      <c r="C541" s="1">
        <v>46220</v>
      </c>
      <c r="D541">
        <v>75</v>
      </c>
      <c r="F541">
        <v>1180.6764790699999</v>
      </c>
      <c r="H541">
        <v>15.811112408687199</v>
      </c>
      <c r="J541" t="b">
        <v>0</v>
      </c>
    </row>
    <row r="542" spans="1:10" x14ac:dyDescent="0.25">
      <c r="A542">
        <v>540</v>
      </c>
      <c r="B542" t="s">
        <v>1235</v>
      </c>
      <c r="C542" s="1">
        <v>46220</v>
      </c>
      <c r="D542">
        <v>95.486000061035099</v>
      </c>
      <c r="E542">
        <v>562.83434504000002</v>
      </c>
      <c r="F542">
        <v>557.85379025999998</v>
      </c>
      <c r="G542">
        <v>562.83434504000002</v>
      </c>
      <c r="H542">
        <v>8.3146382863015305</v>
      </c>
      <c r="J542" t="b">
        <v>0</v>
      </c>
    </row>
    <row r="543" spans="1:10" x14ac:dyDescent="0.25">
      <c r="A543">
        <v>541</v>
      </c>
      <c r="B543" t="s">
        <v>1239</v>
      </c>
      <c r="C543" s="1">
        <v>46220</v>
      </c>
      <c r="D543">
        <v>95.366964999999993</v>
      </c>
      <c r="E543">
        <v>659.65071324999997</v>
      </c>
      <c r="F543">
        <v>663.34711222999999</v>
      </c>
      <c r="G543">
        <v>659.65071324999997</v>
      </c>
      <c r="H543">
        <v>10.518657697834801</v>
      </c>
      <c r="J543" t="b">
        <v>0</v>
      </c>
    </row>
    <row r="544" spans="1:10" x14ac:dyDescent="0.25">
      <c r="A544">
        <v>542</v>
      </c>
      <c r="B544" t="s">
        <v>1241</v>
      </c>
      <c r="C544" s="1">
        <v>46220</v>
      </c>
      <c r="D544">
        <v>85.519996643066406</v>
      </c>
      <c r="E544">
        <v>925.19987389999994</v>
      </c>
      <c r="F544">
        <v>922.67872304000002</v>
      </c>
      <c r="G544">
        <v>925.19987389999994</v>
      </c>
      <c r="H544">
        <v>12.209049097205799</v>
      </c>
      <c r="J544" t="b">
        <v>0</v>
      </c>
    </row>
    <row r="545" spans="1:10" x14ac:dyDescent="0.25">
      <c r="A545">
        <v>543</v>
      </c>
      <c r="B545" t="s">
        <v>1243</v>
      </c>
      <c r="C545" s="1">
        <v>46220</v>
      </c>
      <c r="D545">
        <v>82.470259999999996</v>
      </c>
      <c r="E545">
        <v>849.81955209</v>
      </c>
      <c r="F545">
        <v>851.80064284000002</v>
      </c>
      <c r="G545">
        <v>849.81955209</v>
      </c>
      <c r="H545">
        <v>12.571681714938901</v>
      </c>
      <c r="J545" t="b">
        <v>0</v>
      </c>
    </row>
    <row r="546" spans="1:10" x14ac:dyDescent="0.25">
      <c r="A546">
        <v>544</v>
      </c>
      <c r="B546" t="s">
        <v>1245</v>
      </c>
      <c r="C546" s="1">
        <v>46220</v>
      </c>
      <c r="D546">
        <v>82.540909999999997</v>
      </c>
      <c r="E546">
        <v>874.65835659000004</v>
      </c>
      <c r="F546">
        <v>876.17549658999997</v>
      </c>
      <c r="G546">
        <v>874.65835659000004</v>
      </c>
      <c r="H546">
        <v>12.9559779935205</v>
      </c>
      <c r="J546" t="b">
        <v>0</v>
      </c>
    </row>
    <row r="547" spans="1:10" x14ac:dyDescent="0.25">
      <c r="A547">
        <v>545</v>
      </c>
      <c r="B547" t="s">
        <v>1247</v>
      </c>
      <c r="C547" s="1">
        <v>46220</v>
      </c>
      <c r="D547">
        <v>85</v>
      </c>
      <c r="F547">
        <v>876.90514200999996</v>
      </c>
      <c r="H547">
        <v>11.632706218781999</v>
      </c>
      <c r="J547" t="b">
        <v>0</v>
      </c>
    </row>
    <row r="548" spans="1:10" x14ac:dyDescent="0.25">
      <c r="A548">
        <v>546</v>
      </c>
      <c r="B548" t="s">
        <v>1249</v>
      </c>
      <c r="C548" s="1">
        <v>46220</v>
      </c>
      <c r="D548">
        <v>84.5</v>
      </c>
      <c r="F548">
        <v>876.73775753999996</v>
      </c>
      <c r="H548">
        <v>12.743348503559799</v>
      </c>
      <c r="J548" t="b">
        <v>0</v>
      </c>
    </row>
    <row r="549" spans="1:10" x14ac:dyDescent="0.25">
      <c r="A549">
        <v>547</v>
      </c>
      <c r="B549" t="s">
        <v>1251</v>
      </c>
      <c r="C549" s="1">
        <v>46220</v>
      </c>
      <c r="D549">
        <v>100.1875</v>
      </c>
      <c r="F549">
        <v>309.74031351000002</v>
      </c>
      <c r="H549">
        <v>5.8439253724604097</v>
      </c>
      <c r="J549" t="b">
        <v>0</v>
      </c>
    </row>
    <row r="550" spans="1:10" x14ac:dyDescent="0.25">
      <c r="A550">
        <v>548</v>
      </c>
      <c r="B550" t="s">
        <v>1252</v>
      </c>
      <c r="C550" s="1">
        <v>46220</v>
      </c>
      <c r="D550">
        <v>73.5</v>
      </c>
      <c r="F550">
        <v>2280.8122082300001</v>
      </c>
      <c r="H550">
        <v>27.1504937710937</v>
      </c>
      <c r="J550" t="b">
        <v>0</v>
      </c>
    </row>
    <row r="551" spans="1:10" x14ac:dyDescent="0.25">
      <c r="A551">
        <v>549</v>
      </c>
      <c r="B551" t="s">
        <v>1256</v>
      </c>
      <c r="C551" s="1">
        <v>46220</v>
      </c>
      <c r="D551">
        <v>86.687020000000004</v>
      </c>
      <c r="E551">
        <v>1137.5501379299999</v>
      </c>
      <c r="F551">
        <v>1106.55037803</v>
      </c>
      <c r="G551">
        <v>1137.5501379299999</v>
      </c>
      <c r="H551">
        <v>14.476455535582501</v>
      </c>
      <c r="J551" t="b">
        <v>0</v>
      </c>
    </row>
    <row r="552" spans="1:10" x14ac:dyDescent="0.25">
      <c r="A552">
        <v>550</v>
      </c>
      <c r="B552" t="s">
        <v>1260</v>
      </c>
      <c r="C552" s="1">
        <v>46220</v>
      </c>
      <c r="J552" t="b">
        <v>0</v>
      </c>
    </row>
    <row r="553" spans="1:10" x14ac:dyDescent="0.25">
      <c r="A553">
        <v>551</v>
      </c>
      <c r="B553" t="s">
        <v>1262</v>
      </c>
      <c r="C553" s="1">
        <v>46220</v>
      </c>
      <c r="D553">
        <v>19</v>
      </c>
      <c r="F553">
        <v>6932.0345362500002</v>
      </c>
      <c r="H553">
        <v>73.148909769952297</v>
      </c>
      <c r="J553" t="b">
        <v>0</v>
      </c>
    </row>
    <row r="554" spans="1:10" x14ac:dyDescent="0.25">
      <c r="A554">
        <v>552</v>
      </c>
      <c r="B554" t="s">
        <v>1264</v>
      </c>
      <c r="C554" s="1">
        <v>46220</v>
      </c>
      <c r="D554">
        <v>29</v>
      </c>
      <c r="F554">
        <v>6198.7043799499997</v>
      </c>
      <c r="H554">
        <v>69.573115417733703</v>
      </c>
      <c r="J554" t="b">
        <v>0</v>
      </c>
    </row>
    <row r="555" spans="1:10" x14ac:dyDescent="0.25">
      <c r="A555">
        <v>553</v>
      </c>
      <c r="B555" t="s">
        <v>1266</v>
      </c>
      <c r="C555" s="1">
        <v>46220</v>
      </c>
      <c r="D555">
        <v>34.75</v>
      </c>
      <c r="J555" t="b">
        <v>0</v>
      </c>
    </row>
    <row r="556" spans="1:10" x14ac:dyDescent="0.25">
      <c r="A556">
        <v>554</v>
      </c>
      <c r="B556" t="s">
        <v>1268</v>
      </c>
      <c r="C556" s="1">
        <v>46220</v>
      </c>
      <c r="D556">
        <v>31.498999999999999</v>
      </c>
      <c r="F556">
        <v>6623.1726086999997</v>
      </c>
      <c r="H556">
        <v>45.773708517663103</v>
      </c>
      <c r="J556" t="b">
        <v>0</v>
      </c>
    </row>
    <row r="557" spans="1:10" x14ac:dyDescent="0.25">
      <c r="A557">
        <v>555</v>
      </c>
      <c r="B557" t="s">
        <v>1270</v>
      </c>
      <c r="C557" s="1">
        <v>46220</v>
      </c>
      <c r="D557">
        <v>40.25</v>
      </c>
      <c r="J557" t="b">
        <v>0</v>
      </c>
    </row>
    <row r="558" spans="1:10" x14ac:dyDescent="0.25">
      <c r="A558">
        <v>556</v>
      </c>
      <c r="B558" t="s">
        <v>1271</v>
      </c>
      <c r="C558" s="1">
        <v>46220</v>
      </c>
      <c r="D558">
        <v>61.9985</v>
      </c>
      <c r="F558">
        <v>2723.9896210400002</v>
      </c>
      <c r="H558">
        <v>31.386992893273899</v>
      </c>
      <c r="J558" t="b">
        <v>0</v>
      </c>
    </row>
    <row r="559" spans="1:10" x14ac:dyDescent="0.25">
      <c r="A559">
        <v>557</v>
      </c>
      <c r="B559" t="s">
        <v>1272</v>
      </c>
      <c r="C559" s="1">
        <v>46220</v>
      </c>
      <c r="D559">
        <v>97.5</v>
      </c>
      <c r="F559">
        <v>720.02655398000002</v>
      </c>
      <c r="H559">
        <v>11.137115653750101</v>
      </c>
      <c r="J559" t="b">
        <v>0</v>
      </c>
    </row>
    <row r="560" spans="1:10" x14ac:dyDescent="0.25">
      <c r="A560">
        <v>558</v>
      </c>
      <c r="B560" t="s">
        <v>3408</v>
      </c>
      <c r="C560" s="1">
        <v>46220</v>
      </c>
      <c r="D560">
        <v>18</v>
      </c>
      <c r="F560">
        <v>10865.35567529</v>
      </c>
      <c r="H560">
        <v>111.313277366571</v>
      </c>
      <c r="J560" t="b">
        <v>0</v>
      </c>
    </row>
    <row r="561" spans="1:10" x14ac:dyDescent="0.25">
      <c r="A561">
        <v>559</v>
      </c>
      <c r="B561" t="s">
        <v>3412</v>
      </c>
      <c r="C561" s="1">
        <v>46220</v>
      </c>
      <c r="D561">
        <v>46</v>
      </c>
      <c r="F561">
        <v>3956.7588676599999</v>
      </c>
      <c r="H561">
        <v>43.462009169161298</v>
      </c>
      <c r="J561" t="b">
        <v>0</v>
      </c>
    </row>
    <row r="562" spans="1:10" x14ac:dyDescent="0.25">
      <c r="A562">
        <v>560</v>
      </c>
      <c r="B562" t="s">
        <v>3414</v>
      </c>
      <c r="C562" s="1">
        <v>46220</v>
      </c>
      <c r="D562">
        <v>98.4375</v>
      </c>
      <c r="F562">
        <v>957.43214399999999</v>
      </c>
      <c r="H562">
        <v>13.4431347579182</v>
      </c>
      <c r="J562" t="b">
        <v>0</v>
      </c>
    </row>
    <row r="563" spans="1:10" x14ac:dyDescent="0.25">
      <c r="A563">
        <v>561</v>
      </c>
      <c r="B563" t="s">
        <v>1273</v>
      </c>
      <c r="C563" s="1">
        <v>46220</v>
      </c>
      <c r="D563">
        <v>95.511179999999996</v>
      </c>
      <c r="E563">
        <v>681.09461657999998</v>
      </c>
      <c r="F563">
        <v>682.53690047999999</v>
      </c>
      <c r="G563">
        <v>681.09461657999998</v>
      </c>
      <c r="H563">
        <v>10.6659809929488</v>
      </c>
      <c r="J563" t="b">
        <v>0</v>
      </c>
    </row>
    <row r="564" spans="1:10" x14ac:dyDescent="0.25">
      <c r="A564">
        <v>562</v>
      </c>
      <c r="B564" t="s">
        <v>1277</v>
      </c>
      <c r="C564" s="1">
        <v>46220</v>
      </c>
      <c r="J564" t="b">
        <v>0</v>
      </c>
    </row>
    <row r="565" spans="1:10" x14ac:dyDescent="0.25">
      <c r="A565">
        <v>563</v>
      </c>
      <c r="B565" t="s">
        <v>1279</v>
      </c>
      <c r="C565" s="1">
        <v>46220</v>
      </c>
      <c r="D565">
        <v>94.5</v>
      </c>
      <c r="F565">
        <v>595.59576442000002</v>
      </c>
      <c r="H565">
        <v>9.90698551468674</v>
      </c>
      <c r="J565" t="b">
        <v>0</v>
      </c>
    </row>
    <row r="566" spans="1:10" x14ac:dyDescent="0.25">
      <c r="A566">
        <v>564</v>
      </c>
      <c r="B566" t="s">
        <v>1281</v>
      </c>
      <c r="C566" s="1">
        <v>46220</v>
      </c>
      <c r="D566">
        <v>83.925460000000001</v>
      </c>
      <c r="E566">
        <v>673.12038243999996</v>
      </c>
      <c r="F566">
        <v>674.42702326000006</v>
      </c>
      <c r="G566">
        <v>673.12038243999996</v>
      </c>
      <c r="H566">
        <v>10.8965393307158</v>
      </c>
      <c r="J566" t="b">
        <v>0</v>
      </c>
    </row>
    <row r="567" spans="1:10" x14ac:dyDescent="0.25">
      <c r="A567">
        <v>565</v>
      </c>
      <c r="B567" t="s">
        <v>1285</v>
      </c>
      <c r="C567" s="1">
        <v>46220</v>
      </c>
      <c r="D567">
        <v>87</v>
      </c>
      <c r="F567">
        <v>586.68437285000005</v>
      </c>
      <c r="H567">
        <v>9.8782436187655396</v>
      </c>
      <c r="J567" t="b">
        <v>0</v>
      </c>
    </row>
    <row r="568" spans="1:10" x14ac:dyDescent="0.25">
      <c r="A568">
        <v>566</v>
      </c>
      <c r="B568" t="s">
        <v>1287</v>
      </c>
      <c r="C568" s="1">
        <v>46220</v>
      </c>
      <c r="J568" t="b">
        <v>0</v>
      </c>
    </row>
    <row r="569" spans="1:10" x14ac:dyDescent="0.25">
      <c r="A569">
        <v>567</v>
      </c>
      <c r="B569" t="s">
        <v>1289</v>
      </c>
      <c r="C569" s="1">
        <v>46220</v>
      </c>
      <c r="J569" t="b">
        <v>0</v>
      </c>
    </row>
    <row r="570" spans="1:10" x14ac:dyDescent="0.25">
      <c r="A570">
        <v>568</v>
      </c>
      <c r="B570" t="s">
        <v>3416</v>
      </c>
      <c r="C570" s="1">
        <v>46220</v>
      </c>
      <c r="D570">
        <v>104.3629</v>
      </c>
      <c r="E570">
        <v>142.92671006</v>
      </c>
      <c r="F570">
        <v>141.34103469999999</v>
      </c>
      <c r="G570">
        <v>142.92671006</v>
      </c>
      <c r="H570">
        <v>4.53643379816502</v>
      </c>
      <c r="J570" t="b">
        <v>0</v>
      </c>
    </row>
    <row r="571" spans="1:10" x14ac:dyDescent="0.25">
      <c r="A571">
        <v>569</v>
      </c>
      <c r="B571" t="s">
        <v>3420</v>
      </c>
      <c r="C571" s="1">
        <v>46220</v>
      </c>
      <c r="D571">
        <v>102.88515</v>
      </c>
      <c r="E571">
        <v>159.13260446000001</v>
      </c>
      <c r="F571">
        <v>156.86828356000001</v>
      </c>
      <c r="G571">
        <v>159.13260446000001</v>
      </c>
      <c r="H571">
        <v>5.0072434310064899</v>
      </c>
      <c r="J571" t="b">
        <v>0</v>
      </c>
    </row>
    <row r="572" spans="1:10" x14ac:dyDescent="0.25">
      <c r="A572">
        <v>570</v>
      </c>
      <c r="B572" t="s">
        <v>3422</v>
      </c>
      <c r="C572" s="1">
        <v>46220</v>
      </c>
      <c r="D572">
        <v>99.799250000000001</v>
      </c>
      <c r="E572">
        <v>157.65629738999999</v>
      </c>
      <c r="F572">
        <v>155.79247592999999</v>
      </c>
      <c r="G572">
        <v>157.65629738999999</v>
      </c>
      <c r="H572">
        <v>4.7955940739413601</v>
      </c>
      <c r="J572" t="b">
        <v>0</v>
      </c>
    </row>
    <row r="573" spans="1:10" x14ac:dyDescent="0.25">
      <c r="A573">
        <v>571</v>
      </c>
      <c r="B573" t="s">
        <v>3424</v>
      </c>
      <c r="C573" s="1">
        <v>46220</v>
      </c>
      <c r="D573">
        <v>95.029425000000003</v>
      </c>
      <c r="E573">
        <v>111.99944413999999</v>
      </c>
      <c r="F573">
        <v>111.93458687</v>
      </c>
      <c r="G573">
        <v>111.99944413999999</v>
      </c>
      <c r="H573">
        <v>4.1542224191551096</v>
      </c>
      <c r="J573" t="b">
        <v>0</v>
      </c>
    </row>
    <row r="574" spans="1:10" x14ac:dyDescent="0.25">
      <c r="A574">
        <v>572</v>
      </c>
      <c r="B574" t="s">
        <v>3426</v>
      </c>
      <c r="C574" s="1">
        <v>46220</v>
      </c>
      <c r="J574" t="b">
        <v>0</v>
      </c>
    </row>
    <row r="575" spans="1:10" x14ac:dyDescent="0.25">
      <c r="A575">
        <v>573</v>
      </c>
      <c r="B575" t="s">
        <v>3428</v>
      </c>
      <c r="C575" s="1">
        <v>46220</v>
      </c>
      <c r="J575" t="b">
        <v>0</v>
      </c>
    </row>
    <row r="576" spans="1:10" x14ac:dyDescent="0.25">
      <c r="A576">
        <v>574</v>
      </c>
      <c r="B576" t="s">
        <v>3430</v>
      </c>
      <c r="C576" s="1">
        <v>46220</v>
      </c>
      <c r="D576">
        <v>88</v>
      </c>
      <c r="F576">
        <v>602.33723715999997</v>
      </c>
      <c r="H576">
        <v>10.4755033938411</v>
      </c>
      <c r="J576" t="b">
        <v>0</v>
      </c>
    </row>
    <row r="577" spans="1:10" x14ac:dyDescent="0.25">
      <c r="A577">
        <v>575</v>
      </c>
      <c r="B577" t="s">
        <v>3432</v>
      </c>
      <c r="C577" s="1">
        <v>46220</v>
      </c>
      <c r="D577">
        <v>94</v>
      </c>
      <c r="F577">
        <v>507.32000905000001</v>
      </c>
      <c r="H577">
        <v>9.4198674468017796</v>
      </c>
      <c r="J577" t="b">
        <v>0</v>
      </c>
    </row>
    <row r="578" spans="1:10" x14ac:dyDescent="0.25">
      <c r="A578">
        <v>576</v>
      </c>
      <c r="B578" t="s">
        <v>3434</v>
      </c>
      <c r="C578" s="1">
        <v>46220</v>
      </c>
      <c r="J578" t="b">
        <v>0</v>
      </c>
    </row>
    <row r="579" spans="1:10" x14ac:dyDescent="0.25">
      <c r="A579">
        <v>577</v>
      </c>
      <c r="B579" t="s">
        <v>3437</v>
      </c>
      <c r="C579" s="1">
        <v>46220</v>
      </c>
      <c r="J579" t="b">
        <v>0</v>
      </c>
    </row>
    <row r="580" spans="1:10" x14ac:dyDescent="0.25">
      <c r="A580">
        <v>578</v>
      </c>
      <c r="B580" t="s">
        <v>1303</v>
      </c>
      <c r="C580" s="1">
        <v>46220</v>
      </c>
      <c r="D580">
        <v>99.584135000000003</v>
      </c>
      <c r="E580">
        <v>112.93894091999999</v>
      </c>
      <c r="F580">
        <v>119.89828751</v>
      </c>
      <c r="G580">
        <v>112.93894091999999</v>
      </c>
      <c r="H580">
        <v>4.9659051311616498</v>
      </c>
      <c r="J580" t="b">
        <v>0</v>
      </c>
    </row>
    <row r="581" spans="1:10" x14ac:dyDescent="0.25">
      <c r="A581">
        <v>579</v>
      </c>
      <c r="B581" t="s">
        <v>1307</v>
      </c>
      <c r="C581" s="1">
        <v>46220</v>
      </c>
      <c r="D581">
        <v>99.022220000000004</v>
      </c>
      <c r="E581">
        <v>122.18658702</v>
      </c>
      <c r="F581">
        <v>129.63831174000001</v>
      </c>
      <c r="G581">
        <v>122.18658702</v>
      </c>
      <c r="H581">
        <v>5.1985703152711604</v>
      </c>
      <c r="J581" t="b">
        <v>0</v>
      </c>
    </row>
    <row r="582" spans="1:10" x14ac:dyDescent="0.25">
      <c r="A582">
        <v>580</v>
      </c>
      <c r="B582" t="s">
        <v>1309</v>
      </c>
      <c r="C582" s="1">
        <v>46220</v>
      </c>
      <c r="D582">
        <v>61.977710000000002</v>
      </c>
      <c r="E582">
        <v>439.44882207000001</v>
      </c>
      <c r="F582">
        <v>438.57133261000001</v>
      </c>
      <c r="G582">
        <v>439.44882207000001</v>
      </c>
      <c r="H582">
        <v>8.8729856176184292</v>
      </c>
      <c r="J582" t="b">
        <v>0</v>
      </c>
    </row>
    <row r="583" spans="1:10" x14ac:dyDescent="0.25">
      <c r="A583">
        <v>581</v>
      </c>
      <c r="B583" t="s">
        <v>1311</v>
      </c>
      <c r="C583" s="1">
        <v>46220</v>
      </c>
      <c r="D583">
        <v>77.925074999999893</v>
      </c>
      <c r="E583">
        <v>468.97706305999998</v>
      </c>
      <c r="F583">
        <v>469.96083161000001</v>
      </c>
      <c r="G583">
        <v>468.97706305999998</v>
      </c>
      <c r="H583">
        <v>8.6141137747591507</v>
      </c>
      <c r="J583" t="b">
        <v>0</v>
      </c>
    </row>
    <row r="584" spans="1:10" x14ac:dyDescent="0.25">
      <c r="A584">
        <v>582</v>
      </c>
      <c r="B584" t="s">
        <v>1313</v>
      </c>
      <c r="C584" s="1">
        <v>46220</v>
      </c>
      <c r="D584">
        <v>63.301675000000003</v>
      </c>
      <c r="E584">
        <v>459.84038605000001</v>
      </c>
      <c r="F584">
        <v>458.71860371999998</v>
      </c>
      <c r="G584">
        <v>459.84038605000001</v>
      </c>
      <c r="H584">
        <v>9.0730596752315602</v>
      </c>
      <c r="J584" t="b">
        <v>0</v>
      </c>
    </row>
    <row r="585" spans="1:10" x14ac:dyDescent="0.25">
      <c r="A585">
        <v>583</v>
      </c>
      <c r="B585" t="s">
        <v>1315</v>
      </c>
      <c r="C585" s="1">
        <v>46220</v>
      </c>
      <c r="D585">
        <v>65.792315000000002</v>
      </c>
      <c r="E585">
        <v>486.06618197</v>
      </c>
      <c r="F585">
        <v>484.49640139000002</v>
      </c>
      <c r="G585">
        <v>486.06618197</v>
      </c>
      <c r="H585">
        <v>9.1642742375337001</v>
      </c>
      <c r="J585" t="b">
        <v>0</v>
      </c>
    </row>
    <row r="586" spans="1:10" x14ac:dyDescent="0.25">
      <c r="A586">
        <v>584</v>
      </c>
      <c r="B586" t="s">
        <v>1317</v>
      </c>
      <c r="C586" s="1">
        <v>46220</v>
      </c>
      <c r="D586">
        <v>72.034284999999997</v>
      </c>
      <c r="E586">
        <v>476.89895958</v>
      </c>
      <c r="F586">
        <v>474.98946560000002</v>
      </c>
      <c r="G586">
        <v>476.89895958</v>
      </c>
      <c r="H586">
        <v>9.0969970163531908</v>
      </c>
      <c r="J586" t="b">
        <v>0</v>
      </c>
    </row>
    <row r="587" spans="1:10" x14ac:dyDescent="0.25">
      <c r="A587">
        <v>585</v>
      </c>
      <c r="B587" t="s">
        <v>1319</v>
      </c>
      <c r="C587" s="1">
        <v>46220</v>
      </c>
      <c r="D587">
        <v>62.354529999999997</v>
      </c>
      <c r="E587">
        <v>441.71058522999999</v>
      </c>
      <c r="F587">
        <v>441.64767647000002</v>
      </c>
      <c r="G587">
        <v>441.71058522999999</v>
      </c>
      <c r="H587">
        <v>8.7015012449045894</v>
      </c>
      <c r="J587" t="b">
        <v>0</v>
      </c>
    </row>
    <row r="588" spans="1:10" x14ac:dyDescent="0.25">
      <c r="A588">
        <v>586</v>
      </c>
      <c r="B588" t="s">
        <v>1321</v>
      </c>
      <c r="C588" s="1">
        <v>46220</v>
      </c>
      <c r="D588">
        <v>62.898200000000003</v>
      </c>
      <c r="E588">
        <v>489.47848191999998</v>
      </c>
      <c r="F588">
        <v>488.54928066000002</v>
      </c>
      <c r="G588">
        <v>489.47848191999998</v>
      </c>
      <c r="H588">
        <v>9.2703631142539997</v>
      </c>
      <c r="J588" t="b">
        <v>0</v>
      </c>
    </row>
    <row r="589" spans="1:10" x14ac:dyDescent="0.25">
      <c r="A589">
        <v>587</v>
      </c>
      <c r="B589" t="s">
        <v>1323</v>
      </c>
      <c r="C589" s="1">
        <v>46220</v>
      </c>
      <c r="D589">
        <v>65.105009999999993</v>
      </c>
      <c r="E589">
        <v>471.35530674</v>
      </c>
      <c r="F589">
        <v>470.59755518999998</v>
      </c>
      <c r="G589">
        <v>471.35530674</v>
      </c>
      <c r="H589">
        <v>9.0117302690516201</v>
      </c>
      <c r="J589" t="b">
        <v>0</v>
      </c>
    </row>
    <row r="590" spans="1:10" x14ac:dyDescent="0.25">
      <c r="A590">
        <v>588</v>
      </c>
      <c r="B590" t="s">
        <v>1325</v>
      </c>
      <c r="C590" s="1">
        <v>46220</v>
      </c>
      <c r="D590">
        <v>59.661295000000003</v>
      </c>
      <c r="E590">
        <v>538.37890357000003</v>
      </c>
      <c r="F590">
        <v>537.68642137999996</v>
      </c>
      <c r="G590">
        <v>538.37890357000003</v>
      </c>
      <c r="H590">
        <v>9.6229845977784692</v>
      </c>
      <c r="J590" t="b">
        <v>0</v>
      </c>
    </row>
    <row r="591" spans="1:10" x14ac:dyDescent="0.25">
      <c r="A591">
        <v>589</v>
      </c>
      <c r="B591" t="s">
        <v>1327</v>
      </c>
      <c r="C591" s="1">
        <v>46220</v>
      </c>
      <c r="D591">
        <v>74.537880000000001</v>
      </c>
      <c r="E591">
        <v>481.53942510000002</v>
      </c>
      <c r="F591">
        <v>479.75573856</v>
      </c>
      <c r="G591">
        <v>481.53942510000002</v>
      </c>
      <c r="H591">
        <v>9.1437351608304809</v>
      </c>
      <c r="J591" t="b">
        <v>0</v>
      </c>
    </row>
    <row r="592" spans="1:10" x14ac:dyDescent="0.25">
      <c r="A592">
        <v>590</v>
      </c>
      <c r="B592" t="s">
        <v>1329</v>
      </c>
      <c r="C592" s="1">
        <v>46220</v>
      </c>
      <c r="D592">
        <v>85.044184999999999</v>
      </c>
      <c r="E592">
        <v>476.82003229999998</v>
      </c>
      <c r="F592">
        <v>475.94372786999998</v>
      </c>
      <c r="G592">
        <v>476.82003229999998</v>
      </c>
      <c r="H592">
        <v>9.0217263200986899</v>
      </c>
      <c r="J592" t="b">
        <v>0</v>
      </c>
    </row>
    <row r="593" spans="1:10" x14ac:dyDescent="0.25">
      <c r="A593">
        <v>591</v>
      </c>
      <c r="B593" t="s">
        <v>1331</v>
      </c>
      <c r="C593" s="1">
        <v>46220</v>
      </c>
      <c r="D593">
        <v>91.158550000000005</v>
      </c>
      <c r="E593">
        <v>407.91006485999998</v>
      </c>
      <c r="F593">
        <v>407.74186477000001</v>
      </c>
      <c r="G593">
        <v>407.91006485999998</v>
      </c>
      <c r="H593">
        <v>8.2182200516391894</v>
      </c>
      <c r="J593" t="b">
        <v>0</v>
      </c>
    </row>
    <row r="594" spans="1:10" x14ac:dyDescent="0.25">
      <c r="A594">
        <v>592</v>
      </c>
      <c r="B594" t="s">
        <v>1333</v>
      </c>
      <c r="C594" s="1">
        <v>46220</v>
      </c>
      <c r="D594">
        <v>87.916359999999997</v>
      </c>
      <c r="E594">
        <v>382.62397417</v>
      </c>
      <c r="F594">
        <v>383.84697669000002</v>
      </c>
      <c r="G594">
        <v>382.62397417</v>
      </c>
      <c r="H594">
        <v>7.9031976953546597</v>
      </c>
      <c r="J594" t="b">
        <v>0</v>
      </c>
    </row>
    <row r="595" spans="1:10" x14ac:dyDescent="0.25">
      <c r="A595">
        <v>593</v>
      </c>
      <c r="B595" t="s">
        <v>1335</v>
      </c>
      <c r="C595" s="1">
        <v>46220</v>
      </c>
      <c r="D595">
        <v>104.818649999999</v>
      </c>
      <c r="E595">
        <v>247.13322346999999</v>
      </c>
      <c r="F595">
        <v>248.82128338999999</v>
      </c>
      <c r="G595">
        <v>247.13322346999999</v>
      </c>
      <c r="H595">
        <v>6.56092789781923</v>
      </c>
      <c r="J595" t="b">
        <v>0</v>
      </c>
    </row>
    <row r="596" spans="1:10" x14ac:dyDescent="0.25">
      <c r="A596">
        <v>594</v>
      </c>
      <c r="B596" t="s">
        <v>1337</v>
      </c>
      <c r="C596" s="1">
        <v>46220</v>
      </c>
      <c r="D596">
        <v>83.992570000000001</v>
      </c>
      <c r="E596">
        <v>2864.9629362000001</v>
      </c>
      <c r="F596">
        <v>2866.9702726099999</v>
      </c>
      <c r="G596">
        <v>2864.9629362000001</v>
      </c>
      <c r="H596">
        <v>10.027213656001701</v>
      </c>
      <c r="J596" t="b">
        <v>0</v>
      </c>
    </row>
    <row r="597" spans="1:10" x14ac:dyDescent="0.25">
      <c r="A597">
        <v>595</v>
      </c>
      <c r="B597" t="s">
        <v>1339</v>
      </c>
      <c r="C597" s="1">
        <v>46220</v>
      </c>
      <c r="D597">
        <v>61.643439999999998</v>
      </c>
      <c r="E597">
        <v>446.08431123000003</v>
      </c>
      <c r="F597">
        <v>443.68201999000001</v>
      </c>
      <c r="G597">
        <v>446.08431123000003</v>
      </c>
      <c r="H597">
        <v>8.8376607744929103</v>
      </c>
      <c r="J597" t="b">
        <v>0</v>
      </c>
    </row>
    <row r="598" spans="1:10" x14ac:dyDescent="0.25">
      <c r="A598">
        <v>596</v>
      </c>
      <c r="B598" t="s">
        <v>1341</v>
      </c>
      <c r="C598" s="1">
        <v>46220</v>
      </c>
      <c r="D598">
        <v>85.719080000000005</v>
      </c>
      <c r="E598">
        <v>325.2921667</v>
      </c>
      <c r="F598">
        <v>326.81597025000002</v>
      </c>
      <c r="G598">
        <v>325.2921667</v>
      </c>
      <c r="H598">
        <v>7.27485023676702</v>
      </c>
      <c r="J598" t="b">
        <v>0</v>
      </c>
    </row>
    <row r="599" spans="1:10" x14ac:dyDescent="0.25">
      <c r="A599">
        <v>597</v>
      </c>
      <c r="B599" t="s">
        <v>1343</v>
      </c>
      <c r="C599" s="1">
        <v>46220</v>
      </c>
      <c r="D599">
        <v>92.313734999999994</v>
      </c>
      <c r="E599">
        <v>296.30631609</v>
      </c>
      <c r="F599">
        <v>298.13172128999997</v>
      </c>
      <c r="G599">
        <v>296.30631609</v>
      </c>
      <c r="H599">
        <v>6.9964786008605504</v>
      </c>
      <c r="J599" t="b">
        <v>0</v>
      </c>
    </row>
    <row r="600" spans="1:10" x14ac:dyDescent="0.25">
      <c r="A600">
        <v>598</v>
      </c>
      <c r="B600" t="s">
        <v>1345</v>
      </c>
      <c r="C600" s="1">
        <v>46220</v>
      </c>
      <c r="D600">
        <v>95.552430000000001</v>
      </c>
      <c r="E600">
        <v>192.87551428</v>
      </c>
      <c r="F600">
        <v>194.99471362</v>
      </c>
      <c r="G600">
        <v>192.87551428</v>
      </c>
      <c r="H600">
        <v>5.9574288439830596</v>
      </c>
      <c r="J600" t="b">
        <v>0</v>
      </c>
    </row>
    <row r="601" spans="1:10" x14ac:dyDescent="0.25">
      <c r="A601">
        <v>599</v>
      </c>
      <c r="B601" t="s">
        <v>1347</v>
      </c>
      <c r="C601" s="1">
        <v>46220</v>
      </c>
      <c r="D601">
        <v>97.17698</v>
      </c>
      <c r="E601">
        <v>129.22421130000001</v>
      </c>
      <c r="F601">
        <v>131.96343714</v>
      </c>
      <c r="G601">
        <v>129.22421130000001</v>
      </c>
      <c r="H601">
        <v>5.2948318690671501</v>
      </c>
      <c r="J601" t="b">
        <v>0</v>
      </c>
    </row>
    <row r="602" spans="1:10" x14ac:dyDescent="0.25">
      <c r="A602">
        <v>600</v>
      </c>
      <c r="B602" t="s">
        <v>1349</v>
      </c>
      <c r="C602" s="1">
        <v>46220</v>
      </c>
      <c r="D602">
        <v>97.176284999999993</v>
      </c>
      <c r="E602">
        <v>129.22421130000001</v>
      </c>
      <c r="F602">
        <v>131.96343714</v>
      </c>
      <c r="G602">
        <v>129.22421130000001</v>
      </c>
      <c r="H602">
        <v>5.2948318690671501</v>
      </c>
      <c r="J602" t="b">
        <v>0</v>
      </c>
    </row>
    <row r="603" spans="1:10" x14ac:dyDescent="0.25">
      <c r="A603">
        <v>601</v>
      </c>
      <c r="B603" t="s">
        <v>1350</v>
      </c>
      <c r="C603" s="1">
        <v>46220</v>
      </c>
      <c r="D603">
        <v>97.604259999999996</v>
      </c>
      <c r="E603">
        <v>91.419489200000001</v>
      </c>
      <c r="F603">
        <v>95.491520370000003</v>
      </c>
      <c r="G603">
        <v>91.419489200000001</v>
      </c>
      <c r="H603">
        <v>5.0124887623748497</v>
      </c>
      <c r="J603" t="b">
        <v>0</v>
      </c>
    </row>
    <row r="604" spans="1:10" x14ac:dyDescent="0.25">
      <c r="A604">
        <v>602</v>
      </c>
      <c r="B604" t="s">
        <v>1352</v>
      </c>
      <c r="C604" s="1">
        <v>46220</v>
      </c>
      <c r="D604">
        <v>79.820654999999903</v>
      </c>
      <c r="E604">
        <v>4329.72</v>
      </c>
      <c r="F604">
        <v>4336.42</v>
      </c>
      <c r="G604">
        <v>4329.72</v>
      </c>
      <c r="H604">
        <v>10.9772524104661</v>
      </c>
      <c r="J604" t="b">
        <v>0</v>
      </c>
    </row>
    <row r="605" spans="1:10" x14ac:dyDescent="0.25">
      <c r="A605">
        <v>603</v>
      </c>
      <c r="B605" t="s">
        <v>1354</v>
      </c>
      <c r="C605" s="1">
        <v>46220</v>
      </c>
      <c r="J605" t="b">
        <v>0</v>
      </c>
    </row>
    <row r="606" spans="1:10" x14ac:dyDescent="0.25">
      <c r="A606">
        <v>604</v>
      </c>
      <c r="B606" t="s">
        <v>3439</v>
      </c>
      <c r="C606" s="1">
        <v>46220</v>
      </c>
      <c r="J606" t="b">
        <v>0</v>
      </c>
    </row>
    <row r="607" spans="1:10" x14ac:dyDescent="0.25">
      <c r="A607">
        <v>605</v>
      </c>
      <c r="B607" t="s">
        <v>3442</v>
      </c>
      <c r="C607" s="1">
        <v>46220</v>
      </c>
      <c r="J607" t="b">
        <v>0</v>
      </c>
    </row>
    <row r="608" spans="1:10" x14ac:dyDescent="0.25">
      <c r="A608">
        <v>606</v>
      </c>
      <c r="B608" t="s">
        <v>3444</v>
      </c>
      <c r="C608" s="1">
        <v>46220</v>
      </c>
      <c r="D608">
        <v>91.25</v>
      </c>
      <c r="F608">
        <v>833.61877922999997</v>
      </c>
      <c r="H608">
        <v>12.474210832929099</v>
      </c>
      <c r="J608" t="b">
        <v>0</v>
      </c>
    </row>
    <row r="609" spans="1:10" x14ac:dyDescent="0.25">
      <c r="A609">
        <v>607</v>
      </c>
      <c r="B609" t="s">
        <v>1357</v>
      </c>
      <c r="C609" s="1">
        <v>46220</v>
      </c>
      <c r="D609">
        <v>93.5</v>
      </c>
      <c r="F609">
        <v>1065.1444109399999</v>
      </c>
      <c r="H609">
        <v>14.6977172378374</v>
      </c>
      <c r="J609" t="b">
        <v>0</v>
      </c>
    </row>
    <row r="610" spans="1:10" x14ac:dyDescent="0.25">
      <c r="A610">
        <v>608</v>
      </c>
      <c r="B610" t="s">
        <v>1362</v>
      </c>
      <c r="C610" s="1">
        <v>46220</v>
      </c>
      <c r="D610">
        <v>93.5</v>
      </c>
      <c r="F610">
        <v>1085.26159512</v>
      </c>
      <c r="H610">
        <v>14.8719176672894</v>
      </c>
      <c r="J610" t="b">
        <v>0</v>
      </c>
    </row>
    <row r="611" spans="1:10" x14ac:dyDescent="0.25">
      <c r="A611">
        <v>609</v>
      </c>
      <c r="B611" t="s">
        <v>3446</v>
      </c>
      <c r="C611" s="1">
        <v>46220</v>
      </c>
      <c r="D611">
        <v>82.936499999999995</v>
      </c>
      <c r="F611">
        <v>1635.27010025</v>
      </c>
      <c r="H611">
        <v>20.563146658160399</v>
      </c>
      <c r="J611" t="b">
        <v>0</v>
      </c>
    </row>
    <row r="612" spans="1:10" x14ac:dyDescent="0.25">
      <c r="A612">
        <v>610</v>
      </c>
      <c r="B612" t="s">
        <v>3449</v>
      </c>
      <c r="C612" s="1">
        <v>46220</v>
      </c>
      <c r="D612">
        <v>61</v>
      </c>
      <c r="F612">
        <v>2967.4080409200001</v>
      </c>
      <c r="H612">
        <v>33.581778061003803</v>
      </c>
      <c r="J612" t="b">
        <v>0</v>
      </c>
    </row>
    <row r="613" spans="1:10" x14ac:dyDescent="0.25">
      <c r="A613">
        <v>611</v>
      </c>
      <c r="B613" t="s">
        <v>1364</v>
      </c>
      <c r="C613" s="1">
        <v>46220</v>
      </c>
      <c r="D613">
        <v>91.301424999999995</v>
      </c>
      <c r="E613">
        <v>484.54343097999998</v>
      </c>
      <c r="F613">
        <v>487.03500412</v>
      </c>
      <c r="G613">
        <v>484.54343097999998</v>
      </c>
      <c r="H613">
        <v>9.0656897620568806</v>
      </c>
      <c r="J613" t="b">
        <v>0</v>
      </c>
    </row>
    <row r="614" spans="1:10" x14ac:dyDescent="0.25">
      <c r="A614">
        <v>612</v>
      </c>
      <c r="B614" t="s">
        <v>1368</v>
      </c>
      <c r="C614" s="1">
        <v>46220</v>
      </c>
      <c r="D614">
        <v>64.542739999999995</v>
      </c>
      <c r="E614">
        <v>3115.6994891600002</v>
      </c>
      <c r="F614">
        <v>3119.7308576199998</v>
      </c>
      <c r="G614">
        <v>3115.6994891600002</v>
      </c>
      <c r="H614">
        <v>35.329877413437899</v>
      </c>
      <c r="J614" t="b">
        <v>0</v>
      </c>
    </row>
    <row r="615" spans="1:10" x14ac:dyDescent="0.25">
      <c r="A615">
        <v>613</v>
      </c>
      <c r="B615" t="s">
        <v>1370</v>
      </c>
      <c r="C615" s="1">
        <v>46220</v>
      </c>
      <c r="D615">
        <v>87</v>
      </c>
      <c r="E615">
        <v>781.41048372</v>
      </c>
      <c r="F615">
        <v>783.74736476999999</v>
      </c>
      <c r="G615">
        <v>781.41048372</v>
      </c>
      <c r="H615">
        <v>11.848784217961001</v>
      </c>
      <c r="I615">
        <v>2500</v>
      </c>
      <c r="J615" t="b">
        <v>0</v>
      </c>
    </row>
    <row r="616" spans="1:10" x14ac:dyDescent="0.25">
      <c r="A616">
        <v>614</v>
      </c>
      <c r="B616" t="s">
        <v>1372</v>
      </c>
      <c r="C616" s="1">
        <v>46220</v>
      </c>
      <c r="J616" t="b">
        <v>0</v>
      </c>
    </row>
    <row r="617" spans="1:10" x14ac:dyDescent="0.25">
      <c r="A617">
        <v>615</v>
      </c>
      <c r="B617" t="s">
        <v>1374</v>
      </c>
      <c r="C617" s="1">
        <v>46220</v>
      </c>
      <c r="D617">
        <v>102</v>
      </c>
      <c r="F617">
        <v>424.42792207999997</v>
      </c>
      <c r="H617">
        <v>8.7583934345715306</v>
      </c>
      <c r="J617" t="b">
        <v>0</v>
      </c>
    </row>
    <row r="618" spans="1:10" x14ac:dyDescent="0.25">
      <c r="A618">
        <v>616</v>
      </c>
      <c r="B618" t="s">
        <v>1376</v>
      </c>
      <c r="C618" s="1">
        <v>46220</v>
      </c>
      <c r="J618" t="b">
        <v>0</v>
      </c>
    </row>
    <row r="619" spans="1:10" x14ac:dyDescent="0.25">
      <c r="A619">
        <v>617</v>
      </c>
      <c r="B619" t="s">
        <v>1378</v>
      </c>
      <c r="C619" s="1">
        <v>46220</v>
      </c>
      <c r="D619">
        <v>92.625</v>
      </c>
      <c r="F619">
        <v>731.48702895999998</v>
      </c>
      <c r="H619">
        <v>10.8142581569718</v>
      </c>
      <c r="J619" t="b">
        <v>0</v>
      </c>
    </row>
    <row r="620" spans="1:10" x14ac:dyDescent="0.25">
      <c r="A620">
        <v>618</v>
      </c>
      <c r="B620" t="s">
        <v>1379</v>
      </c>
      <c r="C620" s="1">
        <v>46220</v>
      </c>
      <c r="D620">
        <v>90.5</v>
      </c>
      <c r="F620">
        <v>1509.0207619</v>
      </c>
      <c r="H620">
        <v>19.045703742130499</v>
      </c>
      <c r="J620" t="b">
        <v>0</v>
      </c>
    </row>
    <row r="621" spans="1:10" x14ac:dyDescent="0.25">
      <c r="A621">
        <v>619</v>
      </c>
      <c r="B621" t="s">
        <v>1380</v>
      </c>
      <c r="C621" s="1">
        <v>46220</v>
      </c>
      <c r="D621">
        <v>66.497039999999998</v>
      </c>
      <c r="E621">
        <v>3099.6673568699998</v>
      </c>
      <c r="F621">
        <v>3103.3535624199999</v>
      </c>
      <c r="G621">
        <v>3099.6673568699998</v>
      </c>
      <c r="H621">
        <v>35.880210631468898</v>
      </c>
      <c r="J621" t="b">
        <v>0</v>
      </c>
    </row>
    <row r="622" spans="1:10" x14ac:dyDescent="0.25">
      <c r="A622">
        <v>620</v>
      </c>
      <c r="B622" t="s">
        <v>1384</v>
      </c>
      <c r="C622" s="1">
        <v>46220</v>
      </c>
      <c r="D622">
        <v>64.390998840332003</v>
      </c>
      <c r="E622">
        <v>3106.0970561499998</v>
      </c>
      <c r="F622">
        <v>3104.3331858900001</v>
      </c>
      <c r="G622">
        <v>3106.0970561499998</v>
      </c>
      <c r="H622">
        <v>36.558852235112496</v>
      </c>
      <c r="J622" t="b">
        <v>0</v>
      </c>
    </row>
    <row r="623" spans="1:10" x14ac:dyDescent="0.25">
      <c r="A623">
        <v>621</v>
      </c>
      <c r="B623" t="s">
        <v>1386</v>
      </c>
      <c r="C623" s="1">
        <v>46220</v>
      </c>
      <c r="D623">
        <v>71.869375000000005</v>
      </c>
      <c r="E623">
        <v>4172.2526962000002</v>
      </c>
      <c r="F623">
        <v>4173.1400304400004</v>
      </c>
      <c r="G623">
        <v>4172.2526962000002</v>
      </c>
      <c r="H623">
        <v>49.1912383685736</v>
      </c>
      <c r="J623" t="b">
        <v>0</v>
      </c>
    </row>
    <row r="624" spans="1:10" x14ac:dyDescent="0.25">
      <c r="A624">
        <v>622</v>
      </c>
      <c r="B624" t="s">
        <v>1388</v>
      </c>
      <c r="C624" s="1">
        <v>46220</v>
      </c>
      <c r="D624">
        <v>98.819989999999905</v>
      </c>
      <c r="E624">
        <v>625.76654180000003</v>
      </c>
      <c r="F624">
        <v>626.88268443000004</v>
      </c>
      <c r="G624">
        <v>625.76654180000003</v>
      </c>
      <c r="H624">
        <v>10.2634153739557</v>
      </c>
      <c r="J624" t="b">
        <v>0</v>
      </c>
    </row>
    <row r="625" spans="1:10" x14ac:dyDescent="0.25">
      <c r="A625">
        <v>623</v>
      </c>
      <c r="B625" t="s">
        <v>1390</v>
      </c>
      <c r="C625" s="1">
        <v>46220</v>
      </c>
      <c r="D625">
        <v>97.463996887207003</v>
      </c>
      <c r="E625">
        <v>246.27124183000001</v>
      </c>
      <c r="F625">
        <v>243.77836694999999</v>
      </c>
      <c r="G625">
        <v>246.27124183000001</v>
      </c>
      <c r="H625">
        <v>5.45241603989873</v>
      </c>
      <c r="J625" t="b">
        <v>0</v>
      </c>
    </row>
    <row r="626" spans="1:10" x14ac:dyDescent="0.25">
      <c r="A626">
        <v>624</v>
      </c>
      <c r="B626" t="s">
        <v>1393</v>
      </c>
      <c r="C626" s="1">
        <v>46220</v>
      </c>
      <c r="D626">
        <v>98.661003112792898</v>
      </c>
      <c r="E626">
        <v>294.25436251000002</v>
      </c>
      <c r="F626">
        <v>291.32577577000001</v>
      </c>
      <c r="G626">
        <v>294.25436251000002</v>
      </c>
      <c r="H626">
        <v>5.9432316230130997</v>
      </c>
      <c r="J626" t="b">
        <v>0</v>
      </c>
    </row>
    <row r="627" spans="1:10" x14ac:dyDescent="0.25">
      <c r="A627">
        <v>625</v>
      </c>
      <c r="B627" t="s">
        <v>1395</v>
      </c>
      <c r="C627" s="1">
        <v>46220</v>
      </c>
      <c r="D627">
        <v>97.994003295898395</v>
      </c>
      <c r="E627">
        <v>281.21199184</v>
      </c>
      <c r="F627">
        <v>278.37699884</v>
      </c>
      <c r="G627">
        <v>281.21199184</v>
      </c>
      <c r="H627">
        <v>5.8233866804027299</v>
      </c>
      <c r="J627" t="b">
        <v>0</v>
      </c>
    </row>
    <row r="628" spans="1:10" x14ac:dyDescent="0.25">
      <c r="A628">
        <v>626</v>
      </c>
      <c r="B628" t="s">
        <v>1397</v>
      </c>
      <c r="C628" s="1">
        <v>46220</v>
      </c>
      <c r="D628">
        <v>97.538325</v>
      </c>
      <c r="E628">
        <v>300.10559303000002</v>
      </c>
      <c r="F628">
        <v>301.58825927999999</v>
      </c>
      <c r="G628">
        <v>300.10559303000002</v>
      </c>
      <c r="H628">
        <v>7.0531607373037097</v>
      </c>
      <c r="J628" t="b">
        <v>0</v>
      </c>
    </row>
    <row r="629" spans="1:10" x14ac:dyDescent="0.25">
      <c r="A629">
        <v>627</v>
      </c>
      <c r="B629" t="s">
        <v>1399</v>
      </c>
      <c r="C629" s="1">
        <v>46220</v>
      </c>
      <c r="D629">
        <v>97.851690000000005</v>
      </c>
      <c r="E629">
        <v>326.82875216000002</v>
      </c>
      <c r="F629">
        <v>328.24143140000001</v>
      </c>
      <c r="G629">
        <v>326.82875216000002</v>
      </c>
      <c r="H629">
        <v>7.3317143593951002</v>
      </c>
      <c r="J629" t="b">
        <v>0</v>
      </c>
    </row>
    <row r="630" spans="1:10" x14ac:dyDescent="0.25">
      <c r="A630">
        <v>628</v>
      </c>
      <c r="B630" t="s">
        <v>1401</v>
      </c>
      <c r="C630" s="1">
        <v>46220</v>
      </c>
      <c r="D630">
        <v>97.722584999999995</v>
      </c>
      <c r="E630">
        <v>316.90290422999999</v>
      </c>
      <c r="F630">
        <v>318.41037332000002</v>
      </c>
      <c r="G630">
        <v>316.90290422999999</v>
      </c>
      <c r="H630">
        <v>7.0940413147514896</v>
      </c>
      <c r="J630" t="b">
        <v>0</v>
      </c>
    </row>
    <row r="631" spans="1:10" x14ac:dyDescent="0.25">
      <c r="A631">
        <v>629</v>
      </c>
      <c r="B631" t="s">
        <v>1403</v>
      </c>
      <c r="C631" s="1">
        <v>46220</v>
      </c>
      <c r="D631">
        <v>98.160335000000003</v>
      </c>
      <c r="E631">
        <v>342.40312720999998</v>
      </c>
      <c r="F631">
        <v>344.13758997999997</v>
      </c>
      <c r="G631">
        <v>342.40312720999998</v>
      </c>
      <c r="H631">
        <v>7.4134186147941001</v>
      </c>
      <c r="J631" t="b">
        <v>0</v>
      </c>
    </row>
    <row r="632" spans="1:10" x14ac:dyDescent="0.25">
      <c r="A632">
        <v>630</v>
      </c>
      <c r="B632" t="s">
        <v>1405</v>
      </c>
      <c r="C632" s="1">
        <v>46220</v>
      </c>
      <c r="D632">
        <v>102.716003417968</v>
      </c>
      <c r="E632">
        <v>203.05582421</v>
      </c>
      <c r="F632">
        <v>181.99670610000001</v>
      </c>
      <c r="G632">
        <v>203.05582421</v>
      </c>
      <c r="H632">
        <v>11.902072572537</v>
      </c>
      <c r="J632" t="b">
        <v>0</v>
      </c>
    </row>
    <row r="633" spans="1:10" x14ac:dyDescent="0.25">
      <c r="A633">
        <v>631</v>
      </c>
      <c r="B633" t="s">
        <v>1407</v>
      </c>
      <c r="C633" s="1">
        <v>46220</v>
      </c>
      <c r="D633">
        <v>101.7162</v>
      </c>
      <c r="E633">
        <v>212.58967142</v>
      </c>
      <c r="F633">
        <v>218.28780108000001</v>
      </c>
      <c r="G633">
        <v>212.58967142</v>
      </c>
      <c r="H633">
        <v>8.9013533709220791</v>
      </c>
      <c r="J633" t="b">
        <v>0</v>
      </c>
    </row>
    <row r="634" spans="1:10" x14ac:dyDescent="0.25">
      <c r="A634">
        <v>632</v>
      </c>
      <c r="B634" t="s">
        <v>1409</v>
      </c>
      <c r="C634" s="1">
        <v>46220</v>
      </c>
      <c r="D634">
        <v>98.610000610351506</v>
      </c>
      <c r="E634">
        <v>287.34164706000001</v>
      </c>
      <c r="F634">
        <v>284.63663394999998</v>
      </c>
      <c r="G634">
        <v>287.34164706000001</v>
      </c>
      <c r="H634">
        <v>5.8544089109074298</v>
      </c>
      <c r="J634" t="b">
        <v>0</v>
      </c>
    </row>
    <row r="635" spans="1:10" x14ac:dyDescent="0.25">
      <c r="A635">
        <v>633</v>
      </c>
      <c r="B635" t="s">
        <v>1411</v>
      </c>
      <c r="C635" s="1">
        <v>46220</v>
      </c>
      <c r="D635">
        <v>100.990997314453</v>
      </c>
      <c r="E635">
        <v>361.70615242999997</v>
      </c>
      <c r="F635">
        <v>355.87240995000002</v>
      </c>
      <c r="G635">
        <v>361.70615242999997</v>
      </c>
      <c r="H635">
        <v>6.9470455800586599</v>
      </c>
      <c r="J635" t="b">
        <v>0</v>
      </c>
    </row>
    <row r="636" spans="1:10" x14ac:dyDescent="0.25">
      <c r="A636">
        <v>634</v>
      </c>
      <c r="B636" t="s">
        <v>1413</v>
      </c>
      <c r="C636" s="1">
        <v>46220</v>
      </c>
      <c r="D636">
        <v>63.858959999999897</v>
      </c>
      <c r="E636">
        <v>1842.18249939</v>
      </c>
      <c r="F636">
        <v>1844.25396232</v>
      </c>
      <c r="G636">
        <v>1842.18249939</v>
      </c>
      <c r="H636">
        <v>22.541035010194101</v>
      </c>
      <c r="J636" t="b">
        <v>0</v>
      </c>
    </row>
    <row r="637" spans="1:10" x14ac:dyDescent="0.25">
      <c r="A637">
        <v>635</v>
      </c>
      <c r="B637" t="s">
        <v>1415</v>
      </c>
      <c r="C637" s="1">
        <v>46220</v>
      </c>
      <c r="D637">
        <v>64.329002380371094</v>
      </c>
      <c r="E637">
        <v>1656.8873607099999</v>
      </c>
      <c r="F637">
        <v>1654.70105044</v>
      </c>
      <c r="G637">
        <v>1656.8873607099999</v>
      </c>
      <c r="H637">
        <v>20.586902597264899</v>
      </c>
      <c r="J637" t="b">
        <v>0</v>
      </c>
    </row>
    <row r="638" spans="1:10" x14ac:dyDescent="0.25">
      <c r="A638">
        <v>636</v>
      </c>
      <c r="B638" t="s">
        <v>1417</v>
      </c>
      <c r="C638" s="1">
        <v>46220</v>
      </c>
      <c r="D638">
        <v>35.83813</v>
      </c>
      <c r="H638">
        <v>86.374573655554599</v>
      </c>
      <c r="J638" t="b">
        <v>1</v>
      </c>
    </row>
    <row r="639" spans="1:10" x14ac:dyDescent="0.25">
      <c r="A639">
        <v>637</v>
      </c>
      <c r="B639" t="s">
        <v>1419</v>
      </c>
      <c r="C639" s="1">
        <v>46220</v>
      </c>
      <c r="D639">
        <v>36.507999420166001</v>
      </c>
      <c r="H639">
        <v>181.971744546395</v>
      </c>
      <c r="J639" t="b">
        <v>1</v>
      </c>
    </row>
    <row r="640" spans="1:10" x14ac:dyDescent="0.25">
      <c r="A640">
        <v>638</v>
      </c>
      <c r="B640" t="s">
        <v>1421</v>
      </c>
      <c r="C640" s="1">
        <v>46220</v>
      </c>
      <c r="D640">
        <v>100</v>
      </c>
      <c r="J640" t="b">
        <v>0</v>
      </c>
    </row>
    <row r="641" spans="1:10" x14ac:dyDescent="0.25">
      <c r="A641">
        <v>639</v>
      </c>
      <c r="B641" t="s">
        <v>1423</v>
      </c>
      <c r="C641" s="1">
        <v>46220</v>
      </c>
      <c r="D641">
        <v>23.875</v>
      </c>
      <c r="E641">
        <v>16541.40908682</v>
      </c>
      <c r="F641">
        <v>16539.17946843</v>
      </c>
      <c r="G641">
        <v>16541.40908682</v>
      </c>
      <c r="H641">
        <v>142.77269275229699</v>
      </c>
      <c r="J641" t="b">
        <v>0</v>
      </c>
    </row>
    <row r="642" spans="1:10" x14ac:dyDescent="0.25">
      <c r="A642">
        <v>640</v>
      </c>
      <c r="B642" t="s">
        <v>1425</v>
      </c>
      <c r="C642" s="1">
        <v>46220</v>
      </c>
      <c r="D642">
        <v>96.5</v>
      </c>
      <c r="J642" t="b">
        <v>0</v>
      </c>
    </row>
    <row r="643" spans="1:10" x14ac:dyDescent="0.25">
      <c r="A643">
        <v>641</v>
      </c>
      <c r="B643" t="s">
        <v>1427</v>
      </c>
      <c r="C643" s="1">
        <v>46220</v>
      </c>
      <c r="D643">
        <v>100.125</v>
      </c>
      <c r="F643">
        <v>385.63894593999999</v>
      </c>
      <c r="H643">
        <v>6.7458694214495303</v>
      </c>
      <c r="J643" t="b">
        <v>0</v>
      </c>
    </row>
    <row r="644" spans="1:10" x14ac:dyDescent="0.25">
      <c r="A644">
        <v>642</v>
      </c>
      <c r="B644" t="s">
        <v>1429</v>
      </c>
      <c r="C644" s="1">
        <v>46220</v>
      </c>
      <c r="D644">
        <v>100.125</v>
      </c>
      <c r="F644">
        <v>388.43685110000001</v>
      </c>
      <c r="H644">
        <v>6.7472706415394903</v>
      </c>
      <c r="J644" t="b">
        <v>0</v>
      </c>
    </row>
    <row r="645" spans="1:10" x14ac:dyDescent="0.25">
      <c r="A645">
        <v>643</v>
      </c>
      <c r="B645" t="s">
        <v>1431</v>
      </c>
      <c r="C645" s="1">
        <v>46220</v>
      </c>
      <c r="D645">
        <v>102</v>
      </c>
      <c r="F645">
        <v>552.16088947000003</v>
      </c>
      <c r="H645">
        <v>8.8983348603132306</v>
      </c>
      <c r="J645" t="b">
        <v>0</v>
      </c>
    </row>
    <row r="646" spans="1:10" x14ac:dyDescent="0.25">
      <c r="A646">
        <v>644</v>
      </c>
      <c r="B646" t="s">
        <v>1433</v>
      </c>
      <c r="C646" s="1">
        <v>46220</v>
      </c>
      <c r="D646">
        <v>101</v>
      </c>
      <c r="F646">
        <v>368.70158386999998</v>
      </c>
      <c r="H646">
        <v>7.7178074655870903</v>
      </c>
      <c r="J646" t="b">
        <v>0</v>
      </c>
    </row>
    <row r="647" spans="1:10" x14ac:dyDescent="0.25">
      <c r="A647">
        <v>645</v>
      </c>
      <c r="B647" t="s">
        <v>1435</v>
      </c>
      <c r="C647" s="1">
        <v>46220</v>
      </c>
      <c r="D647">
        <v>100.5</v>
      </c>
      <c r="F647">
        <v>447.54330979000002</v>
      </c>
      <c r="H647">
        <v>8.5485445274396792</v>
      </c>
      <c r="J647" t="b">
        <v>0</v>
      </c>
    </row>
    <row r="648" spans="1:10" x14ac:dyDescent="0.25">
      <c r="A648">
        <v>646</v>
      </c>
      <c r="B648" t="s">
        <v>1437</v>
      </c>
      <c r="C648" s="1">
        <v>46220</v>
      </c>
      <c r="D648">
        <v>100.5</v>
      </c>
      <c r="F648">
        <v>495.4735915</v>
      </c>
      <c r="H648">
        <v>8.9932151828678997</v>
      </c>
      <c r="J648" t="b">
        <v>0</v>
      </c>
    </row>
    <row r="649" spans="1:10" x14ac:dyDescent="0.25">
      <c r="A649">
        <v>647</v>
      </c>
      <c r="B649" t="s">
        <v>1439</v>
      </c>
      <c r="C649" s="1">
        <v>46220</v>
      </c>
      <c r="D649">
        <v>102.25</v>
      </c>
      <c r="F649">
        <v>558.88498278999998</v>
      </c>
      <c r="H649">
        <v>10.0434791127149</v>
      </c>
      <c r="J649" t="b">
        <v>0</v>
      </c>
    </row>
    <row r="650" spans="1:10" x14ac:dyDescent="0.25">
      <c r="A650">
        <v>648</v>
      </c>
      <c r="B650" t="s">
        <v>1441</v>
      </c>
      <c r="C650" s="1">
        <v>46220</v>
      </c>
      <c r="J650" t="b">
        <v>0</v>
      </c>
    </row>
    <row r="651" spans="1:10" x14ac:dyDescent="0.25">
      <c r="A651">
        <v>649</v>
      </c>
      <c r="B651" t="s">
        <v>1443</v>
      </c>
      <c r="C651" s="1">
        <v>46220</v>
      </c>
      <c r="J651" t="b">
        <v>0</v>
      </c>
    </row>
    <row r="652" spans="1:10" x14ac:dyDescent="0.25">
      <c r="A652">
        <v>650</v>
      </c>
      <c r="B652" t="s">
        <v>1445</v>
      </c>
      <c r="C652" s="1">
        <v>46220</v>
      </c>
      <c r="D652">
        <v>71.5</v>
      </c>
      <c r="F652">
        <v>3300.8036679400002</v>
      </c>
      <c r="H652">
        <v>36.692420187458801</v>
      </c>
      <c r="J652" t="b">
        <v>0</v>
      </c>
    </row>
    <row r="653" spans="1:10" x14ac:dyDescent="0.25">
      <c r="A653">
        <v>651</v>
      </c>
      <c r="B653" t="s">
        <v>1447</v>
      </c>
      <c r="C653" s="1">
        <v>46220</v>
      </c>
      <c r="D653">
        <v>71.25</v>
      </c>
      <c r="F653">
        <v>3469.35396743</v>
      </c>
      <c r="H653">
        <v>38.472352853619803</v>
      </c>
      <c r="J653" t="b">
        <v>0</v>
      </c>
    </row>
    <row r="654" spans="1:10" x14ac:dyDescent="0.25">
      <c r="A654">
        <v>652</v>
      </c>
      <c r="B654" t="s">
        <v>1449</v>
      </c>
      <c r="C654" s="1">
        <v>46220</v>
      </c>
      <c r="D654">
        <v>71.5</v>
      </c>
      <c r="F654">
        <v>3456.4802141</v>
      </c>
      <c r="H654">
        <v>36.861291397194101</v>
      </c>
      <c r="J654" t="b">
        <v>0</v>
      </c>
    </row>
    <row r="655" spans="1:10" x14ac:dyDescent="0.25">
      <c r="A655">
        <v>653</v>
      </c>
      <c r="B655" t="s">
        <v>1451</v>
      </c>
      <c r="C655" s="1">
        <v>46220</v>
      </c>
      <c r="J655" t="b">
        <v>0</v>
      </c>
    </row>
    <row r="656" spans="1:10" x14ac:dyDescent="0.25">
      <c r="A656">
        <v>654</v>
      </c>
      <c r="B656" t="s">
        <v>1454</v>
      </c>
      <c r="C656" s="1">
        <v>46220</v>
      </c>
      <c r="J656" t="b">
        <v>0</v>
      </c>
    </row>
    <row r="657" spans="1:10" x14ac:dyDescent="0.25">
      <c r="A657">
        <v>655</v>
      </c>
      <c r="B657" t="s">
        <v>1457</v>
      </c>
      <c r="C657" s="1">
        <v>46220</v>
      </c>
      <c r="J657" t="b">
        <v>0</v>
      </c>
    </row>
    <row r="658" spans="1:10" x14ac:dyDescent="0.25">
      <c r="A658">
        <v>656</v>
      </c>
      <c r="B658" t="s">
        <v>1459</v>
      </c>
      <c r="C658" s="1">
        <v>46220</v>
      </c>
      <c r="D658">
        <v>88.707324999999997</v>
      </c>
      <c r="E658">
        <v>837.06956015000003</v>
      </c>
      <c r="F658">
        <v>838.90542848999996</v>
      </c>
      <c r="G658">
        <v>837.06956015000003</v>
      </c>
      <c r="H658">
        <v>12.520458435636099</v>
      </c>
      <c r="J658" t="b">
        <v>0</v>
      </c>
    </row>
    <row r="659" spans="1:10" x14ac:dyDescent="0.25">
      <c r="A659">
        <v>657</v>
      </c>
      <c r="B659" t="s">
        <v>1463</v>
      </c>
      <c r="C659" s="1">
        <v>46220</v>
      </c>
      <c r="D659">
        <v>84.309434999999993</v>
      </c>
      <c r="E659">
        <v>1003.8398204</v>
      </c>
      <c r="F659">
        <v>1006.24467448</v>
      </c>
      <c r="G659">
        <v>1003.8398204</v>
      </c>
      <c r="H659">
        <v>14.192900086841201</v>
      </c>
      <c r="J659" t="b">
        <v>0</v>
      </c>
    </row>
    <row r="660" spans="1:10" x14ac:dyDescent="0.25">
      <c r="A660">
        <v>658</v>
      </c>
      <c r="B660" t="s">
        <v>1465</v>
      </c>
      <c r="C660" s="1">
        <v>46220</v>
      </c>
      <c r="D660">
        <v>89.25</v>
      </c>
      <c r="F660">
        <v>985.93229846999998</v>
      </c>
      <c r="H660">
        <v>13.692206327491901</v>
      </c>
      <c r="J660" t="b">
        <v>0</v>
      </c>
    </row>
    <row r="661" spans="1:10" x14ac:dyDescent="0.25">
      <c r="A661">
        <v>659</v>
      </c>
      <c r="B661" t="s">
        <v>1467</v>
      </c>
      <c r="C661" s="1">
        <v>46220</v>
      </c>
      <c r="J661" t="b">
        <v>0</v>
      </c>
    </row>
    <row r="662" spans="1:10" x14ac:dyDescent="0.25">
      <c r="A662">
        <v>660</v>
      </c>
      <c r="B662" t="s">
        <v>1471</v>
      </c>
      <c r="C662" s="1">
        <v>46220</v>
      </c>
      <c r="J662" t="b">
        <v>0</v>
      </c>
    </row>
    <row r="663" spans="1:10" x14ac:dyDescent="0.25">
      <c r="A663">
        <v>661</v>
      </c>
      <c r="B663" t="s">
        <v>1473</v>
      </c>
      <c r="C663" s="1">
        <v>46220</v>
      </c>
      <c r="J663" t="b">
        <v>0</v>
      </c>
    </row>
    <row r="664" spans="1:10" x14ac:dyDescent="0.25">
      <c r="A664">
        <v>662</v>
      </c>
      <c r="B664" t="s">
        <v>1475</v>
      </c>
      <c r="C664" s="1">
        <v>46220</v>
      </c>
      <c r="J664" t="b">
        <v>0</v>
      </c>
    </row>
    <row r="665" spans="1:10" x14ac:dyDescent="0.25">
      <c r="A665">
        <v>663</v>
      </c>
      <c r="B665" t="s">
        <v>1476</v>
      </c>
      <c r="C665" s="1">
        <v>46220</v>
      </c>
      <c r="J665" t="b">
        <v>0</v>
      </c>
    </row>
    <row r="666" spans="1:10" x14ac:dyDescent="0.25">
      <c r="A666">
        <v>664</v>
      </c>
      <c r="B666" t="s">
        <v>1478</v>
      </c>
      <c r="C666" s="1">
        <v>46220</v>
      </c>
      <c r="D666">
        <v>17.5</v>
      </c>
      <c r="F666">
        <v>21951.101209140001</v>
      </c>
      <c r="H666">
        <v>141.13774481317901</v>
      </c>
      <c r="J666" t="b">
        <v>0</v>
      </c>
    </row>
    <row r="667" spans="1:10" x14ac:dyDescent="0.25">
      <c r="A667">
        <v>665</v>
      </c>
      <c r="B667" t="s">
        <v>1479</v>
      </c>
      <c r="C667" s="1">
        <v>46220</v>
      </c>
      <c r="D667">
        <v>37.5</v>
      </c>
      <c r="F667">
        <v>7288.8058246299997</v>
      </c>
      <c r="H667">
        <v>76.284112146396794</v>
      </c>
      <c r="J667" t="b">
        <v>0</v>
      </c>
    </row>
    <row r="668" spans="1:10" x14ac:dyDescent="0.25">
      <c r="A668">
        <v>666</v>
      </c>
      <c r="B668" t="s">
        <v>1480</v>
      </c>
      <c r="C668" s="1">
        <v>46220</v>
      </c>
      <c r="D668">
        <v>64.5</v>
      </c>
      <c r="F668">
        <v>3700.0392456200002</v>
      </c>
      <c r="H668">
        <v>40.888095361829201</v>
      </c>
      <c r="J668" t="b">
        <v>0</v>
      </c>
    </row>
    <row r="669" spans="1:10" x14ac:dyDescent="0.25">
      <c r="A669">
        <v>667</v>
      </c>
      <c r="B669" t="s">
        <v>1481</v>
      </c>
      <c r="C669" s="1">
        <v>46220</v>
      </c>
      <c r="D669">
        <v>98.75</v>
      </c>
      <c r="F669">
        <v>698.43166070999996</v>
      </c>
      <c r="H669">
        <v>10.9484920504401</v>
      </c>
      <c r="J669" t="b">
        <v>0</v>
      </c>
    </row>
    <row r="670" spans="1:10" x14ac:dyDescent="0.25">
      <c r="A670">
        <v>668</v>
      </c>
      <c r="B670" t="s">
        <v>1482</v>
      </c>
      <c r="C670" s="1">
        <v>46220</v>
      </c>
      <c r="J670" t="b">
        <v>0</v>
      </c>
    </row>
    <row r="671" spans="1:10" x14ac:dyDescent="0.25">
      <c r="A671">
        <v>669</v>
      </c>
      <c r="B671" t="s">
        <v>1483</v>
      </c>
      <c r="C671" s="1">
        <v>46220</v>
      </c>
      <c r="J671" t="b">
        <v>0</v>
      </c>
    </row>
    <row r="672" spans="1:10" x14ac:dyDescent="0.25">
      <c r="A672">
        <v>670</v>
      </c>
      <c r="B672" t="s">
        <v>1484</v>
      </c>
      <c r="C672" s="1">
        <v>46220</v>
      </c>
      <c r="J672" t="b">
        <v>0</v>
      </c>
    </row>
    <row r="673" spans="1:10" x14ac:dyDescent="0.25">
      <c r="A673">
        <v>671</v>
      </c>
      <c r="B673" t="s">
        <v>2679</v>
      </c>
      <c r="C673" s="1">
        <v>46220</v>
      </c>
      <c r="J673" t="b">
        <v>0</v>
      </c>
    </row>
    <row r="674" spans="1:10" x14ac:dyDescent="0.25">
      <c r="A674">
        <v>672</v>
      </c>
      <c r="B674" t="s">
        <v>3189</v>
      </c>
      <c r="C674" s="1">
        <v>46220</v>
      </c>
      <c r="D674">
        <v>102.97924999999999</v>
      </c>
      <c r="E674">
        <v>503.38275948</v>
      </c>
      <c r="F674">
        <v>505.60698070000001</v>
      </c>
      <c r="G674">
        <v>503.38275948</v>
      </c>
      <c r="H674">
        <v>9.6349598172115893</v>
      </c>
      <c r="J674" t="b">
        <v>0</v>
      </c>
    </row>
    <row r="675" spans="1:10" x14ac:dyDescent="0.25">
      <c r="A675">
        <v>673</v>
      </c>
      <c r="B675" t="s">
        <v>3194</v>
      </c>
      <c r="C675" s="1">
        <v>46220</v>
      </c>
      <c r="D675">
        <v>94.5</v>
      </c>
      <c r="F675">
        <v>536.66797666000002</v>
      </c>
      <c r="H675">
        <v>9.3335466737041504</v>
      </c>
      <c r="J675" t="b">
        <v>0</v>
      </c>
    </row>
    <row r="676" spans="1:10" x14ac:dyDescent="0.25">
      <c r="A676">
        <v>674</v>
      </c>
      <c r="B676" t="s">
        <v>1499</v>
      </c>
      <c r="C676" s="1">
        <v>46220</v>
      </c>
      <c r="D676">
        <v>98.960998535156193</v>
      </c>
      <c r="E676">
        <v>206.21197623</v>
      </c>
      <c r="F676">
        <v>209.95869557</v>
      </c>
      <c r="G676">
        <v>206.21197623</v>
      </c>
      <c r="H676">
        <v>4.8193072793079601</v>
      </c>
      <c r="J676" t="b">
        <v>0</v>
      </c>
    </row>
    <row r="677" spans="1:10" x14ac:dyDescent="0.25">
      <c r="A677">
        <v>675</v>
      </c>
      <c r="B677" t="s">
        <v>1504</v>
      </c>
      <c r="C677" s="1">
        <v>46220</v>
      </c>
      <c r="D677">
        <v>99.973905000000002</v>
      </c>
      <c r="E677">
        <v>269.65729878000002</v>
      </c>
      <c r="F677">
        <v>277.03559150000001</v>
      </c>
      <c r="G677">
        <v>269.65729878000002</v>
      </c>
      <c r="H677">
        <v>6.8056494598355002</v>
      </c>
      <c r="J677" t="b">
        <v>0</v>
      </c>
    </row>
    <row r="678" spans="1:10" x14ac:dyDescent="0.25">
      <c r="A678">
        <v>676</v>
      </c>
      <c r="B678" t="s">
        <v>1506</v>
      </c>
      <c r="C678" s="1">
        <v>46220</v>
      </c>
      <c r="D678">
        <v>101.126998901367</v>
      </c>
      <c r="E678">
        <v>208.02933290999999</v>
      </c>
      <c r="F678">
        <v>201.36007179000001</v>
      </c>
      <c r="G678">
        <v>208.02933290999999</v>
      </c>
      <c r="H678">
        <v>6.0126803188951996</v>
      </c>
      <c r="J678" t="b">
        <v>0</v>
      </c>
    </row>
    <row r="679" spans="1:10" x14ac:dyDescent="0.25">
      <c r="A679">
        <v>677</v>
      </c>
      <c r="B679" t="s">
        <v>1508</v>
      </c>
      <c r="C679" s="1">
        <v>46220</v>
      </c>
      <c r="D679">
        <v>93.681999206542898</v>
      </c>
      <c r="E679">
        <v>839.19382316999997</v>
      </c>
      <c r="F679">
        <v>836.32795141999998</v>
      </c>
      <c r="G679">
        <v>839.19382316999997</v>
      </c>
      <c r="H679">
        <v>11.436051875176201</v>
      </c>
      <c r="J679" t="b">
        <v>0</v>
      </c>
    </row>
    <row r="680" spans="1:10" x14ac:dyDescent="0.25">
      <c r="A680">
        <v>678</v>
      </c>
      <c r="B680" t="s">
        <v>1510</v>
      </c>
      <c r="C680" s="1">
        <v>46220</v>
      </c>
      <c r="D680">
        <v>93.303219999999996</v>
      </c>
      <c r="E680">
        <v>862.49203617000001</v>
      </c>
      <c r="F680">
        <v>864.18638926999995</v>
      </c>
      <c r="G680">
        <v>862.49203617000001</v>
      </c>
      <c r="H680">
        <v>12.6907694663384</v>
      </c>
      <c r="J680" t="b">
        <v>0</v>
      </c>
    </row>
    <row r="681" spans="1:10" x14ac:dyDescent="0.25">
      <c r="A681">
        <v>679</v>
      </c>
      <c r="B681" t="s">
        <v>1512</v>
      </c>
      <c r="C681" s="1">
        <v>46220</v>
      </c>
      <c r="D681">
        <v>99.177001953125</v>
      </c>
      <c r="E681">
        <v>383.06079347000002</v>
      </c>
      <c r="F681">
        <v>380.54686845999998</v>
      </c>
      <c r="G681">
        <v>383.06079347000002</v>
      </c>
      <c r="H681">
        <v>6.7289108944119898</v>
      </c>
      <c r="J681" t="b">
        <v>0</v>
      </c>
    </row>
    <row r="682" spans="1:10" x14ac:dyDescent="0.25">
      <c r="A682">
        <v>680</v>
      </c>
      <c r="B682" t="s">
        <v>1514</v>
      </c>
      <c r="C682" s="1">
        <v>46220</v>
      </c>
      <c r="D682">
        <v>98.801310000000001</v>
      </c>
      <c r="E682">
        <v>410.07425795</v>
      </c>
      <c r="F682">
        <v>412.00131615999999</v>
      </c>
      <c r="G682">
        <v>410.07425795</v>
      </c>
      <c r="H682">
        <v>8.0042622567101205</v>
      </c>
      <c r="J682" t="b">
        <v>0</v>
      </c>
    </row>
    <row r="683" spans="1:10" x14ac:dyDescent="0.25">
      <c r="A683">
        <v>681</v>
      </c>
      <c r="B683" t="s">
        <v>1516</v>
      </c>
      <c r="C683" s="1">
        <v>46220</v>
      </c>
      <c r="D683">
        <v>85.581001281738196</v>
      </c>
      <c r="E683">
        <v>868.58412394000004</v>
      </c>
      <c r="F683">
        <v>865.99486023999998</v>
      </c>
      <c r="G683">
        <v>868.58412394000004</v>
      </c>
      <c r="H683">
        <v>11.686533706526999</v>
      </c>
      <c r="J683" t="b">
        <v>0</v>
      </c>
    </row>
    <row r="684" spans="1:10" x14ac:dyDescent="0.25">
      <c r="A684">
        <v>682</v>
      </c>
      <c r="B684" t="s">
        <v>1518</v>
      </c>
      <c r="C684" s="1">
        <v>46220</v>
      </c>
      <c r="D684">
        <v>94.894996643066406</v>
      </c>
      <c r="E684">
        <v>416.86864098000001</v>
      </c>
      <c r="F684">
        <v>414.44959340000003</v>
      </c>
      <c r="G684">
        <v>416.86864098000001</v>
      </c>
      <c r="H684">
        <v>7.1454672855983796</v>
      </c>
      <c r="J684" t="b">
        <v>0</v>
      </c>
    </row>
    <row r="685" spans="1:10" x14ac:dyDescent="0.25">
      <c r="A685">
        <v>683</v>
      </c>
      <c r="B685" t="s">
        <v>1520</v>
      </c>
      <c r="C685" s="1">
        <v>46220</v>
      </c>
      <c r="D685">
        <v>96.113998413085895</v>
      </c>
      <c r="E685">
        <v>526.07833223</v>
      </c>
      <c r="F685">
        <v>523.31647973999998</v>
      </c>
      <c r="G685">
        <v>526.07833223</v>
      </c>
      <c r="H685">
        <v>8.3120703864798493</v>
      </c>
      <c r="J685" t="b">
        <v>0</v>
      </c>
    </row>
    <row r="686" spans="1:10" x14ac:dyDescent="0.25">
      <c r="A686">
        <v>684</v>
      </c>
      <c r="B686" t="s">
        <v>1522</v>
      </c>
      <c r="C686" s="1">
        <v>46220</v>
      </c>
      <c r="D686">
        <v>96.9739990234375</v>
      </c>
      <c r="E686">
        <v>557.17262153000001</v>
      </c>
      <c r="F686">
        <v>554.24442997999995</v>
      </c>
      <c r="G686">
        <v>557.17262153000001</v>
      </c>
      <c r="H686">
        <v>8.5943533128499201</v>
      </c>
      <c r="J686" t="b">
        <v>0</v>
      </c>
    </row>
    <row r="687" spans="1:10" x14ac:dyDescent="0.25">
      <c r="A687">
        <v>685</v>
      </c>
      <c r="B687" t="s">
        <v>1524</v>
      </c>
      <c r="C687" s="1">
        <v>46220</v>
      </c>
      <c r="J687" t="b">
        <v>0</v>
      </c>
    </row>
    <row r="688" spans="1:10" x14ac:dyDescent="0.25">
      <c r="A688">
        <v>686</v>
      </c>
      <c r="B688" t="s">
        <v>1526</v>
      </c>
      <c r="C688" s="1">
        <v>46220</v>
      </c>
      <c r="D688">
        <v>93</v>
      </c>
      <c r="F688">
        <v>569.14315295999995</v>
      </c>
      <c r="H688">
        <v>9.4279940658480896</v>
      </c>
      <c r="J688" t="b">
        <v>0</v>
      </c>
    </row>
    <row r="689" spans="1:10" x14ac:dyDescent="0.25">
      <c r="A689">
        <v>687</v>
      </c>
      <c r="B689" t="s">
        <v>1528</v>
      </c>
      <c r="C689" s="1">
        <v>46220</v>
      </c>
      <c r="D689">
        <v>89.375</v>
      </c>
      <c r="F689">
        <v>1102.3324134300001</v>
      </c>
      <c r="H689">
        <v>12.150207735771099</v>
      </c>
      <c r="J689" t="b">
        <v>0</v>
      </c>
    </row>
    <row r="690" spans="1:10" x14ac:dyDescent="0.25">
      <c r="A690">
        <v>688</v>
      </c>
      <c r="B690" t="s">
        <v>1530</v>
      </c>
      <c r="C690" s="1">
        <v>46220</v>
      </c>
      <c r="D690">
        <v>89</v>
      </c>
      <c r="F690">
        <v>532.51905717</v>
      </c>
      <c r="H690">
        <v>8.1260363904238897</v>
      </c>
      <c r="J690" t="b">
        <v>0</v>
      </c>
    </row>
    <row r="691" spans="1:10" x14ac:dyDescent="0.25">
      <c r="A691">
        <v>689</v>
      </c>
      <c r="B691" t="s">
        <v>1532</v>
      </c>
      <c r="C691" s="1">
        <v>46220</v>
      </c>
      <c r="D691">
        <v>92.5</v>
      </c>
      <c r="F691">
        <v>493.43412064</v>
      </c>
      <c r="H691">
        <v>9.0491976376772794</v>
      </c>
      <c r="J691" t="b">
        <v>0</v>
      </c>
    </row>
    <row r="692" spans="1:10" x14ac:dyDescent="0.25">
      <c r="A692">
        <v>690</v>
      </c>
      <c r="B692" t="s">
        <v>1534</v>
      </c>
      <c r="C692" s="1">
        <v>46220</v>
      </c>
      <c r="D692">
        <v>87</v>
      </c>
      <c r="F692">
        <v>845.38355761000003</v>
      </c>
      <c r="H692">
        <v>11.4121573154594</v>
      </c>
      <c r="J692" t="b">
        <v>0</v>
      </c>
    </row>
    <row r="693" spans="1:10" x14ac:dyDescent="0.25">
      <c r="A693">
        <v>691</v>
      </c>
      <c r="B693" t="s">
        <v>1536</v>
      </c>
      <c r="C693" s="1">
        <v>46220</v>
      </c>
      <c r="D693">
        <v>82.5</v>
      </c>
      <c r="F693">
        <v>871.89932954999995</v>
      </c>
      <c r="H693">
        <v>12.7356651225388</v>
      </c>
      <c r="J693" t="b">
        <v>0</v>
      </c>
    </row>
    <row r="694" spans="1:10" x14ac:dyDescent="0.25">
      <c r="A694">
        <v>692</v>
      </c>
      <c r="B694" t="s">
        <v>1538</v>
      </c>
      <c r="C694" s="1">
        <v>46220</v>
      </c>
      <c r="J694" t="b">
        <v>0</v>
      </c>
    </row>
    <row r="695" spans="1:10" x14ac:dyDescent="0.25">
      <c r="A695">
        <v>693</v>
      </c>
      <c r="B695" t="s">
        <v>1540</v>
      </c>
      <c r="C695" s="1">
        <v>46220</v>
      </c>
      <c r="J695" t="b">
        <v>0</v>
      </c>
    </row>
    <row r="696" spans="1:10" x14ac:dyDescent="0.25">
      <c r="A696">
        <v>694</v>
      </c>
      <c r="B696" t="s">
        <v>1541</v>
      </c>
      <c r="C696" s="1">
        <v>46220</v>
      </c>
      <c r="D696">
        <v>95.041499999999999</v>
      </c>
      <c r="F696">
        <v>462.84722289000001</v>
      </c>
      <c r="H696">
        <v>8.6136665607699499</v>
      </c>
      <c r="J696" t="b">
        <v>0</v>
      </c>
    </row>
    <row r="697" spans="1:10" x14ac:dyDescent="0.25">
      <c r="A697">
        <v>695</v>
      </c>
      <c r="B697" t="s">
        <v>1542</v>
      </c>
      <c r="C697" s="1">
        <v>46220</v>
      </c>
      <c r="D697">
        <v>91.25</v>
      </c>
      <c r="F697">
        <v>514.64590691000001</v>
      </c>
      <c r="H697">
        <v>8.10266346859175</v>
      </c>
      <c r="J697" t="b">
        <v>0</v>
      </c>
    </row>
    <row r="698" spans="1:10" x14ac:dyDescent="0.25">
      <c r="A698">
        <v>696</v>
      </c>
      <c r="B698" t="s">
        <v>1543</v>
      </c>
      <c r="C698" s="1">
        <v>46220</v>
      </c>
      <c r="D698">
        <v>89</v>
      </c>
      <c r="F698">
        <v>1032.39631945</v>
      </c>
      <c r="H698">
        <v>13.299009977424401</v>
      </c>
      <c r="J698" t="b">
        <v>0</v>
      </c>
    </row>
    <row r="699" spans="1:10" x14ac:dyDescent="0.25">
      <c r="A699">
        <v>697</v>
      </c>
      <c r="B699" t="s">
        <v>1544</v>
      </c>
      <c r="C699" s="1">
        <v>46220</v>
      </c>
      <c r="D699">
        <v>87.646000000000001</v>
      </c>
      <c r="F699">
        <v>976.88119538000001</v>
      </c>
      <c r="H699">
        <v>13.8769902938665</v>
      </c>
      <c r="J699" t="b">
        <v>0</v>
      </c>
    </row>
    <row r="700" spans="1:10" x14ac:dyDescent="0.25">
      <c r="A700">
        <v>698</v>
      </c>
      <c r="B700" t="s">
        <v>1545</v>
      </c>
      <c r="C700" s="1">
        <v>46220</v>
      </c>
      <c r="D700">
        <v>97.375</v>
      </c>
      <c r="F700">
        <v>449.05372018999998</v>
      </c>
      <c r="H700">
        <v>8.3830496305952096</v>
      </c>
      <c r="J700" t="b">
        <v>0</v>
      </c>
    </row>
    <row r="701" spans="1:10" x14ac:dyDescent="0.25">
      <c r="A701">
        <v>699</v>
      </c>
      <c r="B701" t="s">
        <v>1546</v>
      </c>
      <c r="C701" s="1">
        <v>46220</v>
      </c>
      <c r="D701">
        <v>95.5</v>
      </c>
      <c r="F701">
        <v>327.02606236999998</v>
      </c>
      <c r="H701">
        <v>6.19210696978966</v>
      </c>
      <c r="J701" t="b">
        <v>0</v>
      </c>
    </row>
    <row r="702" spans="1:10" x14ac:dyDescent="0.25">
      <c r="A702">
        <v>700</v>
      </c>
      <c r="B702" t="s">
        <v>1548</v>
      </c>
      <c r="C702" s="1">
        <v>46220</v>
      </c>
      <c r="J702" t="b">
        <v>0</v>
      </c>
    </row>
    <row r="703" spans="1:10" x14ac:dyDescent="0.25">
      <c r="A703">
        <v>701</v>
      </c>
      <c r="B703" t="s">
        <v>1551</v>
      </c>
      <c r="C703" s="1">
        <v>46220</v>
      </c>
      <c r="J703" t="b">
        <v>0</v>
      </c>
    </row>
    <row r="704" spans="1:10" x14ac:dyDescent="0.25">
      <c r="A704">
        <v>702</v>
      </c>
      <c r="B704" t="s">
        <v>1552</v>
      </c>
      <c r="C704" s="1">
        <v>46220</v>
      </c>
      <c r="D704">
        <v>83.25</v>
      </c>
      <c r="F704">
        <v>944.27895983999997</v>
      </c>
      <c r="H704">
        <v>13.5176256411906</v>
      </c>
      <c r="J704" t="b">
        <v>0</v>
      </c>
    </row>
    <row r="705" spans="1:10" x14ac:dyDescent="0.25">
      <c r="A705">
        <v>703</v>
      </c>
      <c r="B705" t="s">
        <v>1553</v>
      </c>
      <c r="C705" s="1">
        <v>46220</v>
      </c>
      <c r="D705">
        <v>88</v>
      </c>
      <c r="F705">
        <v>858.40706190000003</v>
      </c>
      <c r="H705">
        <v>11.5910363629429</v>
      </c>
      <c r="J705" t="b">
        <v>0</v>
      </c>
    </row>
    <row r="706" spans="1:10" x14ac:dyDescent="0.25">
      <c r="A706">
        <v>704</v>
      </c>
      <c r="B706" t="s">
        <v>1554</v>
      </c>
      <c r="C706" s="1">
        <v>46220</v>
      </c>
      <c r="J706" t="b">
        <v>0</v>
      </c>
    </row>
    <row r="707" spans="1:10" x14ac:dyDescent="0.25">
      <c r="A707">
        <v>705</v>
      </c>
      <c r="B707" t="s">
        <v>1555</v>
      </c>
      <c r="C707" s="1">
        <v>46220</v>
      </c>
      <c r="J707" t="b">
        <v>0</v>
      </c>
    </row>
    <row r="708" spans="1:10" x14ac:dyDescent="0.25">
      <c r="A708">
        <v>706</v>
      </c>
      <c r="B708" t="s">
        <v>1556</v>
      </c>
      <c r="C708" s="1">
        <v>46220</v>
      </c>
      <c r="J708" t="b">
        <v>0</v>
      </c>
    </row>
    <row r="709" spans="1:10" x14ac:dyDescent="0.25">
      <c r="A709">
        <v>707</v>
      </c>
      <c r="B709" t="s">
        <v>1559</v>
      </c>
      <c r="C709" s="1">
        <v>46220</v>
      </c>
      <c r="D709">
        <v>99.6875</v>
      </c>
      <c r="F709">
        <v>338.98403901</v>
      </c>
      <c r="H709">
        <v>7.20066171389891</v>
      </c>
      <c r="J709" t="b">
        <v>0</v>
      </c>
    </row>
    <row r="710" spans="1:10" x14ac:dyDescent="0.25">
      <c r="A710">
        <v>708</v>
      </c>
      <c r="B710" t="s">
        <v>1561</v>
      </c>
      <c r="C710" s="1">
        <v>46220</v>
      </c>
      <c r="D710">
        <v>99.75</v>
      </c>
      <c r="F710">
        <v>351.54915354000002</v>
      </c>
      <c r="H710">
        <v>4.9645363586621203</v>
      </c>
      <c r="J710" t="b">
        <v>0</v>
      </c>
    </row>
    <row r="711" spans="1:10" x14ac:dyDescent="0.25">
      <c r="A711">
        <v>709</v>
      </c>
      <c r="B711" t="s">
        <v>1562</v>
      </c>
      <c r="C711" s="1">
        <v>46220</v>
      </c>
      <c r="J711" t="b">
        <v>0</v>
      </c>
    </row>
    <row r="712" spans="1:10" x14ac:dyDescent="0.25">
      <c r="A712">
        <v>710</v>
      </c>
      <c r="B712" t="s">
        <v>3332</v>
      </c>
      <c r="C712" s="1">
        <v>46220</v>
      </c>
      <c r="D712">
        <v>94.75</v>
      </c>
      <c r="F712">
        <v>662.24747586000001</v>
      </c>
      <c r="H712">
        <v>9.8884230944037004</v>
      </c>
      <c r="J712" t="b">
        <v>0</v>
      </c>
    </row>
    <row r="713" spans="1:10" x14ac:dyDescent="0.25">
      <c r="A713">
        <v>711</v>
      </c>
      <c r="B713" t="s">
        <v>3333</v>
      </c>
      <c r="C713" s="1">
        <v>46220</v>
      </c>
      <c r="D713">
        <v>95.5</v>
      </c>
      <c r="F713">
        <v>616.63911384000005</v>
      </c>
      <c r="H713">
        <v>8.5069656956211492</v>
      </c>
      <c r="J713" t="b">
        <v>0</v>
      </c>
    </row>
    <row r="714" spans="1:10" x14ac:dyDescent="0.25">
      <c r="A714">
        <v>712</v>
      </c>
      <c r="B714" t="s">
        <v>1565</v>
      </c>
      <c r="C714" s="1">
        <v>46220</v>
      </c>
      <c r="D714">
        <v>78.519909999999996</v>
      </c>
      <c r="E714">
        <v>1265.47719396</v>
      </c>
      <c r="F714">
        <v>1266.6472666100001</v>
      </c>
      <c r="G714">
        <v>1265.47719396</v>
      </c>
      <c r="H714">
        <v>16.7741645723932</v>
      </c>
      <c r="J714" t="b">
        <v>0</v>
      </c>
    </row>
    <row r="715" spans="1:10" x14ac:dyDescent="0.25">
      <c r="A715">
        <v>713</v>
      </c>
      <c r="B715" t="s">
        <v>1569</v>
      </c>
      <c r="C715" s="1">
        <v>46220</v>
      </c>
      <c r="J715" t="b">
        <v>0</v>
      </c>
    </row>
    <row r="716" spans="1:10" x14ac:dyDescent="0.25">
      <c r="A716">
        <v>714</v>
      </c>
      <c r="B716" t="s">
        <v>1571</v>
      </c>
      <c r="C716" s="1">
        <v>46220</v>
      </c>
      <c r="D716">
        <v>91.25</v>
      </c>
      <c r="F716">
        <v>643.39632415000005</v>
      </c>
      <c r="H716">
        <v>10.3943884153617</v>
      </c>
      <c r="J716" t="b">
        <v>0</v>
      </c>
    </row>
    <row r="717" spans="1:10" x14ac:dyDescent="0.25">
      <c r="A717">
        <v>715</v>
      </c>
      <c r="B717" t="s">
        <v>3451</v>
      </c>
      <c r="C717" s="1">
        <v>46220</v>
      </c>
      <c r="D717">
        <v>97.011044999999996</v>
      </c>
      <c r="E717">
        <v>601.92781861000003</v>
      </c>
      <c r="F717">
        <v>604.61297698999999</v>
      </c>
      <c r="G717">
        <v>601.92781861000003</v>
      </c>
      <c r="H717">
        <v>10.1828345529774</v>
      </c>
      <c r="J717" t="b">
        <v>0</v>
      </c>
    </row>
    <row r="718" spans="1:10" x14ac:dyDescent="0.25">
      <c r="A718">
        <v>716</v>
      </c>
      <c r="B718" t="s">
        <v>3456</v>
      </c>
      <c r="C718" s="1">
        <v>46220</v>
      </c>
      <c r="J718" t="b">
        <v>0</v>
      </c>
    </row>
    <row r="719" spans="1:10" x14ac:dyDescent="0.25">
      <c r="A719">
        <v>717</v>
      </c>
      <c r="B719" t="s">
        <v>3458</v>
      </c>
      <c r="C719" s="1">
        <v>46220</v>
      </c>
      <c r="D719">
        <v>95.875</v>
      </c>
      <c r="F719">
        <v>707.32729394</v>
      </c>
      <c r="H719">
        <v>11.097053234075201</v>
      </c>
      <c r="J719" t="b">
        <v>0</v>
      </c>
    </row>
    <row r="720" spans="1:10" x14ac:dyDescent="0.25">
      <c r="A720">
        <v>718</v>
      </c>
      <c r="B720" t="s">
        <v>1573</v>
      </c>
      <c r="C720" s="1">
        <v>46220</v>
      </c>
      <c r="D720">
        <v>90.795085</v>
      </c>
      <c r="E720">
        <v>710.88200166000001</v>
      </c>
      <c r="F720">
        <v>712.86745715999996</v>
      </c>
      <c r="G720">
        <v>710.88200166000001</v>
      </c>
      <c r="H720">
        <v>11.1487755267576</v>
      </c>
      <c r="J720" t="b">
        <v>0</v>
      </c>
    </row>
    <row r="721" spans="1:10" x14ac:dyDescent="0.25">
      <c r="A721">
        <v>719</v>
      </c>
      <c r="B721" t="s">
        <v>1577</v>
      </c>
      <c r="C721" s="1">
        <v>46220</v>
      </c>
      <c r="D721">
        <v>90</v>
      </c>
      <c r="F721">
        <v>799.53009530999998</v>
      </c>
      <c r="H721">
        <v>11.509005588872199</v>
      </c>
      <c r="J721" t="b">
        <v>0</v>
      </c>
    </row>
    <row r="722" spans="1:10" x14ac:dyDescent="0.25">
      <c r="A722">
        <v>720</v>
      </c>
      <c r="B722" t="s">
        <v>1579</v>
      </c>
      <c r="C722" s="1">
        <v>46220</v>
      </c>
      <c r="D722">
        <v>15.726760000000001</v>
      </c>
      <c r="E722">
        <v>8621.6045933999994</v>
      </c>
      <c r="F722">
        <v>8623.3344601000008</v>
      </c>
      <c r="G722">
        <v>8621.6045933999994</v>
      </c>
      <c r="H722">
        <v>90.653872801241704</v>
      </c>
      <c r="J722" t="b">
        <v>0</v>
      </c>
    </row>
    <row r="723" spans="1:10" x14ac:dyDescent="0.25">
      <c r="A723">
        <v>721</v>
      </c>
      <c r="B723" t="s">
        <v>1583</v>
      </c>
      <c r="C723" s="1">
        <v>46220</v>
      </c>
      <c r="D723">
        <v>15.303134999999999</v>
      </c>
      <c r="E723">
        <v>8962.3196243500006</v>
      </c>
      <c r="F723">
        <v>8964.02286456</v>
      </c>
      <c r="G723">
        <v>8962.3196243500006</v>
      </c>
      <c r="H723">
        <v>93.611861952164901</v>
      </c>
      <c r="J723" t="b">
        <v>0</v>
      </c>
    </row>
    <row r="724" spans="1:10" x14ac:dyDescent="0.25">
      <c r="A724">
        <v>722</v>
      </c>
      <c r="B724" t="s">
        <v>1584</v>
      </c>
      <c r="C724" s="1">
        <v>46220</v>
      </c>
      <c r="D724">
        <v>16.130465000000001</v>
      </c>
      <c r="E724">
        <v>8673.4704214899994</v>
      </c>
      <c r="F724">
        <v>8675.1963126600003</v>
      </c>
      <c r="G724">
        <v>8673.4704214899994</v>
      </c>
      <c r="H724">
        <v>91.122775906891306</v>
      </c>
      <c r="J724" t="b">
        <v>0</v>
      </c>
    </row>
    <row r="725" spans="1:10" x14ac:dyDescent="0.25">
      <c r="A725">
        <v>723</v>
      </c>
      <c r="B725" t="s">
        <v>1586</v>
      </c>
      <c r="C725" s="1">
        <v>46220</v>
      </c>
      <c r="D725">
        <v>14.576824999999999</v>
      </c>
      <c r="E725">
        <v>10532.239345309999</v>
      </c>
      <c r="F725">
        <v>10533.826449</v>
      </c>
      <c r="G725">
        <v>10532.239345309999</v>
      </c>
      <c r="H725">
        <v>109.205986060672</v>
      </c>
      <c r="J725" t="b">
        <v>0</v>
      </c>
    </row>
    <row r="726" spans="1:10" x14ac:dyDescent="0.25">
      <c r="A726">
        <v>724</v>
      </c>
      <c r="B726" t="s">
        <v>1588</v>
      </c>
      <c r="C726" s="1">
        <v>46220</v>
      </c>
      <c r="D726">
        <v>55</v>
      </c>
      <c r="F726">
        <v>3570.11826741</v>
      </c>
      <c r="H726">
        <v>39.3961913372246</v>
      </c>
      <c r="J726" t="b">
        <v>0</v>
      </c>
    </row>
    <row r="727" spans="1:10" x14ac:dyDescent="0.25">
      <c r="A727">
        <v>725</v>
      </c>
      <c r="B727" t="s">
        <v>1590</v>
      </c>
      <c r="C727" s="1">
        <v>46220</v>
      </c>
      <c r="D727">
        <v>99.5</v>
      </c>
      <c r="F727">
        <v>458.56357998999999</v>
      </c>
      <c r="H727">
        <v>8.5048796580293509</v>
      </c>
      <c r="J727" t="b">
        <v>0</v>
      </c>
    </row>
    <row r="728" spans="1:10" x14ac:dyDescent="0.25">
      <c r="A728">
        <v>726</v>
      </c>
      <c r="B728" t="s">
        <v>1592</v>
      </c>
      <c r="C728" s="1">
        <v>46220</v>
      </c>
      <c r="D728">
        <v>54.875</v>
      </c>
      <c r="F728">
        <v>3652.2256952500002</v>
      </c>
      <c r="H728">
        <v>39.150181412542203</v>
      </c>
      <c r="J728" t="b">
        <v>0</v>
      </c>
    </row>
    <row r="729" spans="1:10" x14ac:dyDescent="0.25">
      <c r="A729">
        <v>727</v>
      </c>
      <c r="B729" t="s">
        <v>3460</v>
      </c>
      <c r="C729" s="1">
        <v>46220</v>
      </c>
      <c r="D729">
        <v>84</v>
      </c>
      <c r="J729" t="b">
        <v>0</v>
      </c>
    </row>
    <row r="730" spans="1:10" x14ac:dyDescent="0.25">
      <c r="A730">
        <v>728</v>
      </c>
      <c r="B730" t="s">
        <v>3465</v>
      </c>
      <c r="C730" s="1">
        <v>46220</v>
      </c>
      <c r="D730">
        <v>78</v>
      </c>
      <c r="F730">
        <v>894.20788297000001</v>
      </c>
      <c r="H730">
        <v>12.9620462190359</v>
      </c>
      <c r="J730" t="b">
        <v>0</v>
      </c>
    </row>
    <row r="731" spans="1:10" x14ac:dyDescent="0.25">
      <c r="A731">
        <v>729</v>
      </c>
      <c r="B731" t="s">
        <v>1594</v>
      </c>
      <c r="C731" s="1">
        <v>46220</v>
      </c>
      <c r="D731">
        <v>91.557294999999996</v>
      </c>
      <c r="E731">
        <v>804.33225252</v>
      </c>
      <c r="F731">
        <v>805.84330806000003</v>
      </c>
      <c r="G731">
        <v>804.33225252</v>
      </c>
      <c r="H731">
        <v>11.7923579733019</v>
      </c>
      <c r="J731" t="b">
        <v>0</v>
      </c>
    </row>
    <row r="732" spans="1:10" x14ac:dyDescent="0.25">
      <c r="A732">
        <v>730</v>
      </c>
      <c r="B732" t="s">
        <v>1598</v>
      </c>
      <c r="C732" s="1">
        <v>46220</v>
      </c>
      <c r="D732">
        <v>88.947999999999993</v>
      </c>
      <c r="F732">
        <v>760.37159416999998</v>
      </c>
      <c r="H732">
        <v>11.6113615732318</v>
      </c>
      <c r="J732" t="b">
        <v>0</v>
      </c>
    </row>
    <row r="733" spans="1:10" x14ac:dyDescent="0.25">
      <c r="A733">
        <v>731</v>
      </c>
      <c r="B733" t="s">
        <v>3466</v>
      </c>
      <c r="C733" s="1">
        <v>46220</v>
      </c>
      <c r="J733" t="b">
        <v>0</v>
      </c>
    </row>
    <row r="734" spans="1:10" x14ac:dyDescent="0.25">
      <c r="A734">
        <v>732</v>
      </c>
      <c r="B734" t="s">
        <v>3469</v>
      </c>
      <c r="C734" s="1">
        <v>46220</v>
      </c>
      <c r="D734">
        <v>16.5</v>
      </c>
      <c r="J734" t="b">
        <v>0</v>
      </c>
    </row>
    <row r="735" spans="1:10" x14ac:dyDescent="0.25">
      <c r="A735">
        <v>733</v>
      </c>
      <c r="B735" t="s">
        <v>3471</v>
      </c>
      <c r="C735" s="1">
        <v>46220</v>
      </c>
      <c r="D735">
        <v>48</v>
      </c>
      <c r="F735">
        <v>3964.6623461899999</v>
      </c>
      <c r="H735">
        <v>43.756764029744403</v>
      </c>
      <c r="J735" t="b">
        <v>0</v>
      </c>
    </row>
    <row r="736" spans="1:10" x14ac:dyDescent="0.25">
      <c r="A736">
        <v>734</v>
      </c>
      <c r="B736" t="s">
        <v>3473</v>
      </c>
      <c r="C736" s="1">
        <v>46220</v>
      </c>
      <c r="D736">
        <v>100.5</v>
      </c>
      <c r="F736">
        <v>551.02529809999999</v>
      </c>
      <c r="H736">
        <v>9.4795240725031196</v>
      </c>
      <c r="J736" t="b">
        <v>0</v>
      </c>
    </row>
    <row r="737" spans="1:10" x14ac:dyDescent="0.25">
      <c r="A737">
        <v>735</v>
      </c>
      <c r="B737" t="s">
        <v>3475</v>
      </c>
      <c r="C737" s="1">
        <v>46220</v>
      </c>
      <c r="D737">
        <v>40.248075</v>
      </c>
      <c r="F737">
        <v>8255.2385382199991</v>
      </c>
      <c r="H737">
        <v>57.598934753793003</v>
      </c>
      <c r="J737" t="b">
        <v>0</v>
      </c>
    </row>
    <row r="738" spans="1:10" x14ac:dyDescent="0.25">
      <c r="A738">
        <v>736</v>
      </c>
      <c r="B738" t="s">
        <v>3477</v>
      </c>
      <c r="C738" s="1">
        <v>46220</v>
      </c>
      <c r="D738">
        <v>16.872655000000002</v>
      </c>
      <c r="F738">
        <v>13399.39737748</v>
      </c>
      <c r="H738">
        <v>94.741442450322197</v>
      </c>
      <c r="J738" t="b">
        <v>0</v>
      </c>
    </row>
    <row r="739" spans="1:10" x14ac:dyDescent="0.25">
      <c r="A739">
        <v>737</v>
      </c>
      <c r="B739" t="s">
        <v>3479</v>
      </c>
      <c r="C739" s="1">
        <v>46220</v>
      </c>
      <c r="J739" t="b">
        <v>0</v>
      </c>
    </row>
    <row r="740" spans="1:10" x14ac:dyDescent="0.25">
      <c r="A740">
        <v>738</v>
      </c>
      <c r="B740" t="s">
        <v>3480</v>
      </c>
      <c r="C740" s="1">
        <v>46220</v>
      </c>
      <c r="D740">
        <v>50</v>
      </c>
      <c r="J740" t="b">
        <v>0</v>
      </c>
    </row>
    <row r="741" spans="1:10" x14ac:dyDescent="0.25">
      <c r="A741">
        <v>739</v>
      </c>
      <c r="B741" t="s">
        <v>1601</v>
      </c>
      <c r="C741" s="1">
        <v>46220</v>
      </c>
      <c r="D741">
        <v>92.955115000000006</v>
      </c>
      <c r="E741">
        <v>639.27182560000006</v>
      </c>
      <c r="F741">
        <v>641.26315818</v>
      </c>
      <c r="G741">
        <v>639.27182560000006</v>
      </c>
      <c r="H741">
        <v>10.371920219779399</v>
      </c>
      <c r="J741" t="b">
        <v>0</v>
      </c>
    </row>
    <row r="742" spans="1:10" x14ac:dyDescent="0.25">
      <c r="A742">
        <v>740</v>
      </c>
      <c r="B742" t="s">
        <v>1605</v>
      </c>
      <c r="C742" s="1">
        <v>46220</v>
      </c>
      <c r="D742">
        <v>93.5</v>
      </c>
      <c r="F742">
        <v>696.07307464999997</v>
      </c>
      <c r="H742">
        <v>11.0494511934649</v>
      </c>
      <c r="J742" t="b">
        <v>0</v>
      </c>
    </row>
    <row r="743" spans="1:10" x14ac:dyDescent="0.25">
      <c r="A743">
        <v>741</v>
      </c>
      <c r="B743" t="s">
        <v>1607</v>
      </c>
      <c r="C743" s="1">
        <v>46220</v>
      </c>
      <c r="J743" t="b">
        <v>0</v>
      </c>
    </row>
    <row r="744" spans="1:10" x14ac:dyDescent="0.25">
      <c r="A744">
        <v>742</v>
      </c>
      <c r="B744" t="s">
        <v>3672</v>
      </c>
      <c r="C744" s="1">
        <v>46220</v>
      </c>
      <c r="D744">
        <v>102.54204999999899</v>
      </c>
      <c r="E744">
        <v>206.00027875999999</v>
      </c>
      <c r="F744">
        <v>198.89646442</v>
      </c>
      <c r="G744">
        <v>206.00027875999999</v>
      </c>
      <c r="H744">
        <v>5.0711533116137897</v>
      </c>
      <c r="J744" t="b">
        <v>0</v>
      </c>
    </row>
    <row r="745" spans="1:10" x14ac:dyDescent="0.25">
      <c r="A745">
        <v>743</v>
      </c>
      <c r="B745" t="s">
        <v>1609</v>
      </c>
      <c r="C745" s="1">
        <v>46220</v>
      </c>
      <c r="D745">
        <v>100.88600158691401</v>
      </c>
      <c r="E745">
        <v>165.83600000000001</v>
      </c>
      <c r="F745">
        <v>153.429</v>
      </c>
      <c r="G745">
        <v>165.83600000000001</v>
      </c>
      <c r="H745">
        <v>6.8227488356164896</v>
      </c>
      <c r="J745" t="b">
        <v>0</v>
      </c>
    </row>
    <row r="746" spans="1:10" x14ac:dyDescent="0.25">
      <c r="A746">
        <v>744</v>
      </c>
      <c r="B746" t="s">
        <v>1613</v>
      </c>
      <c r="C746" s="1">
        <v>46220</v>
      </c>
      <c r="D746">
        <v>101.87899780273401</v>
      </c>
      <c r="E746">
        <v>317.46183998999999</v>
      </c>
      <c r="F746">
        <v>315.14082296999999</v>
      </c>
      <c r="G746">
        <v>317.46183998999999</v>
      </c>
      <c r="H746">
        <v>6.3772506181396498</v>
      </c>
      <c r="J746" t="b">
        <v>0</v>
      </c>
    </row>
    <row r="747" spans="1:10" x14ac:dyDescent="0.25">
      <c r="A747">
        <v>745</v>
      </c>
      <c r="B747" t="s">
        <v>1615</v>
      </c>
      <c r="C747" s="1">
        <v>46220</v>
      </c>
      <c r="D747">
        <v>65.674139999999994</v>
      </c>
      <c r="E747">
        <v>1204.365266</v>
      </c>
      <c r="F747">
        <v>1206.05511123</v>
      </c>
      <c r="G747">
        <v>1204.365266</v>
      </c>
      <c r="H747">
        <v>16.140841203324602</v>
      </c>
      <c r="J747" t="b">
        <v>0</v>
      </c>
    </row>
    <row r="748" spans="1:10" x14ac:dyDescent="0.25">
      <c r="A748">
        <v>746</v>
      </c>
      <c r="B748" t="s">
        <v>1617</v>
      </c>
      <c r="C748" s="1">
        <v>46220</v>
      </c>
      <c r="D748">
        <v>71.303415000000001</v>
      </c>
      <c r="E748">
        <v>1391.0828476500001</v>
      </c>
      <c r="F748">
        <v>1393.3396495500001</v>
      </c>
      <c r="G748">
        <v>1391.0828476500001</v>
      </c>
      <c r="H748">
        <v>17.997380831631801</v>
      </c>
      <c r="J748" t="b">
        <v>0</v>
      </c>
    </row>
    <row r="749" spans="1:10" x14ac:dyDescent="0.25">
      <c r="A749">
        <v>747</v>
      </c>
      <c r="B749" t="s">
        <v>1619</v>
      </c>
      <c r="C749" s="1">
        <v>46220</v>
      </c>
      <c r="D749">
        <v>101</v>
      </c>
      <c r="F749">
        <v>699.41607089000001</v>
      </c>
      <c r="H749">
        <v>10.9993500865783</v>
      </c>
      <c r="J749" t="b">
        <v>0</v>
      </c>
    </row>
    <row r="750" spans="1:10" x14ac:dyDescent="0.25">
      <c r="A750">
        <v>748</v>
      </c>
      <c r="B750" t="s">
        <v>1621</v>
      </c>
      <c r="C750" s="1">
        <v>46220</v>
      </c>
      <c r="D750">
        <v>101</v>
      </c>
      <c r="F750">
        <v>695.40238298999998</v>
      </c>
      <c r="H750">
        <v>10.9605185044358</v>
      </c>
      <c r="J750" t="b">
        <v>0</v>
      </c>
    </row>
    <row r="751" spans="1:10" x14ac:dyDescent="0.25">
      <c r="A751">
        <v>749</v>
      </c>
      <c r="B751" t="s">
        <v>1623</v>
      </c>
      <c r="C751" s="1">
        <v>46220</v>
      </c>
      <c r="J751" t="b">
        <v>0</v>
      </c>
    </row>
    <row r="752" spans="1:10" x14ac:dyDescent="0.25">
      <c r="A752">
        <v>750</v>
      </c>
      <c r="B752" t="s">
        <v>3481</v>
      </c>
      <c r="C752" s="1">
        <v>46220</v>
      </c>
      <c r="J752" t="b">
        <v>0</v>
      </c>
    </row>
    <row r="753" spans="1:10" x14ac:dyDescent="0.25">
      <c r="A753">
        <v>751</v>
      </c>
      <c r="B753" t="s">
        <v>1625</v>
      </c>
      <c r="C753" s="1">
        <v>46220</v>
      </c>
      <c r="J753" t="b">
        <v>0</v>
      </c>
    </row>
    <row r="754" spans="1:10" x14ac:dyDescent="0.25">
      <c r="A754">
        <v>752</v>
      </c>
      <c r="B754" t="s">
        <v>3483</v>
      </c>
      <c r="C754" s="1">
        <v>46220</v>
      </c>
      <c r="D754">
        <v>76.375</v>
      </c>
      <c r="F754">
        <v>1861.96144852</v>
      </c>
      <c r="H754">
        <v>22.272232319066401</v>
      </c>
      <c r="J754" t="b">
        <v>0</v>
      </c>
    </row>
    <row r="755" spans="1:10" x14ac:dyDescent="0.25">
      <c r="A755">
        <v>753</v>
      </c>
      <c r="B755" t="s">
        <v>3487</v>
      </c>
      <c r="C755" s="1">
        <v>46220</v>
      </c>
      <c r="D755">
        <v>47.5</v>
      </c>
      <c r="F755">
        <v>2850.5425505500002</v>
      </c>
      <c r="H755">
        <v>28.9212811850681</v>
      </c>
      <c r="J755" t="b">
        <v>0</v>
      </c>
    </row>
    <row r="756" spans="1:10" x14ac:dyDescent="0.25">
      <c r="A756">
        <v>754</v>
      </c>
      <c r="B756" t="s">
        <v>3489</v>
      </c>
      <c r="C756" s="1">
        <v>46220</v>
      </c>
      <c r="D756">
        <v>76.251000000000005</v>
      </c>
      <c r="F756">
        <v>1740.22805741</v>
      </c>
      <c r="H756">
        <v>21.459962582586101</v>
      </c>
      <c r="J756" t="b">
        <v>0</v>
      </c>
    </row>
    <row r="757" spans="1:10" x14ac:dyDescent="0.25">
      <c r="A757">
        <v>755</v>
      </c>
      <c r="B757" t="s">
        <v>3491</v>
      </c>
      <c r="C757" s="1">
        <v>46220</v>
      </c>
      <c r="J757" t="b">
        <v>0</v>
      </c>
    </row>
    <row r="758" spans="1:10" x14ac:dyDescent="0.25">
      <c r="A758">
        <v>756</v>
      </c>
      <c r="B758" t="s">
        <v>1627</v>
      </c>
      <c r="C758" s="1">
        <v>46220</v>
      </c>
      <c r="D758">
        <v>88</v>
      </c>
      <c r="F758">
        <v>753.70923909999999</v>
      </c>
      <c r="H758">
        <v>11.501990931980799</v>
      </c>
      <c r="J758" t="b">
        <v>0</v>
      </c>
    </row>
    <row r="759" spans="1:10" x14ac:dyDescent="0.25">
      <c r="A759">
        <v>757</v>
      </c>
      <c r="B759" t="s">
        <v>1645</v>
      </c>
      <c r="C759" s="1">
        <v>46220</v>
      </c>
      <c r="D759">
        <v>78</v>
      </c>
      <c r="F759">
        <v>887.99366641999995</v>
      </c>
      <c r="H759">
        <v>12.893686909228499</v>
      </c>
      <c r="J759" t="b">
        <v>0</v>
      </c>
    </row>
    <row r="760" spans="1:10" x14ac:dyDescent="0.25">
      <c r="A760">
        <v>758</v>
      </c>
      <c r="B760" t="s">
        <v>1649</v>
      </c>
      <c r="C760" s="1">
        <v>46220</v>
      </c>
      <c r="D760">
        <v>97.75</v>
      </c>
      <c r="F760">
        <v>349.15588643000001</v>
      </c>
      <c r="H760">
        <v>6.8938974721380797</v>
      </c>
      <c r="J760" t="b">
        <v>0</v>
      </c>
    </row>
    <row r="761" spans="1:10" x14ac:dyDescent="0.25">
      <c r="A761">
        <v>759</v>
      </c>
      <c r="B761" t="s">
        <v>1653</v>
      </c>
      <c r="C761" s="1">
        <v>46220</v>
      </c>
      <c r="D761">
        <v>85</v>
      </c>
      <c r="F761">
        <v>711.11446833000002</v>
      </c>
      <c r="H761">
        <v>11.042443706887401</v>
      </c>
      <c r="J761" t="b">
        <v>0</v>
      </c>
    </row>
    <row r="762" spans="1:10" x14ac:dyDescent="0.25">
      <c r="A762">
        <v>760</v>
      </c>
      <c r="B762" t="s">
        <v>1655</v>
      </c>
      <c r="C762" s="1">
        <v>46220</v>
      </c>
      <c r="D762">
        <v>94.5</v>
      </c>
      <c r="F762">
        <v>563.46752796999999</v>
      </c>
      <c r="H762">
        <v>9.65027961242148</v>
      </c>
      <c r="J762" t="b">
        <v>0</v>
      </c>
    </row>
    <row r="763" spans="1:10" x14ac:dyDescent="0.25">
      <c r="A763">
        <v>761</v>
      </c>
      <c r="B763" t="s">
        <v>1659</v>
      </c>
      <c r="C763" s="1">
        <v>46220</v>
      </c>
      <c r="D763">
        <v>93.875</v>
      </c>
      <c r="F763">
        <v>603.64075545000003</v>
      </c>
      <c r="H763">
        <v>8.9873890519641098</v>
      </c>
      <c r="J763" t="b">
        <v>0</v>
      </c>
    </row>
    <row r="764" spans="1:10" x14ac:dyDescent="0.25">
      <c r="A764">
        <v>762</v>
      </c>
      <c r="B764" t="s">
        <v>1661</v>
      </c>
      <c r="C764" s="1">
        <v>46220</v>
      </c>
      <c r="J764" t="b">
        <v>0</v>
      </c>
    </row>
    <row r="765" spans="1:10" x14ac:dyDescent="0.25">
      <c r="A765">
        <v>763</v>
      </c>
      <c r="B765" t="s">
        <v>1663</v>
      </c>
      <c r="C765" s="1">
        <v>46220</v>
      </c>
      <c r="D765">
        <v>89.5</v>
      </c>
      <c r="F765">
        <v>7120.7109713899999</v>
      </c>
      <c r="H765">
        <v>72.090166500900494</v>
      </c>
      <c r="J765" t="b">
        <v>0</v>
      </c>
    </row>
    <row r="766" spans="1:10" x14ac:dyDescent="0.25">
      <c r="A766">
        <v>764</v>
      </c>
      <c r="B766" t="s">
        <v>3492</v>
      </c>
      <c r="C766" s="1">
        <v>46220</v>
      </c>
      <c r="D766">
        <v>94.25</v>
      </c>
      <c r="F766">
        <v>657.30040899000005</v>
      </c>
      <c r="H766">
        <v>10.8246228924626</v>
      </c>
      <c r="J766" t="b">
        <v>0</v>
      </c>
    </row>
    <row r="767" spans="1:10" x14ac:dyDescent="0.25">
      <c r="A767">
        <v>765</v>
      </c>
      <c r="B767" t="s">
        <v>1204</v>
      </c>
      <c r="C767" s="1">
        <v>46220</v>
      </c>
      <c r="D767">
        <v>96.285439999999994</v>
      </c>
      <c r="E767">
        <v>657.88234545</v>
      </c>
      <c r="F767">
        <v>660.68992781999998</v>
      </c>
      <c r="G767">
        <v>657.88234545</v>
      </c>
      <c r="H767">
        <v>9.8935190826205908</v>
      </c>
      <c r="J767" t="b">
        <v>0</v>
      </c>
    </row>
    <row r="768" spans="1:10" x14ac:dyDescent="0.25">
      <c r="A768">
        <v>766</v>
      </c>
      <c r="B768" t="s">
        <v>1207</v>
      </c>
      <c r="C768" s="1">
        <v>46220</v>
      </c>
      <c r="D768">
        <v>96.003884999999997</v>
      </c>
      <c r="E768">
        <v>671.10347641999999</v>
      </c>
      <c r="F768">
        <v>673.13450448000003</v>
      </c>
      <c r="G768">
        <v>671.10347641999999</v>
      </c>
      <c r="H768">
        <v>10.0860601888986</v>
      </c>
      <c r="J768" t="b">
        <v>0</v>
      </c>
    </row>
    <row r="769" spans="1:10" x14ac:dyDescent="0.25">
      <c r="A769">
        <v>767</v>
      </c>
      <c r="B769" t="s">
        <v>1209</v>
      </c>
      <c r="C769" s="1">
        <v>46220</v>
      </c>
      <c r="D769">
        <v>97.139989999999997</v>
      </c>
      <c r="E769">
        <v>450.71079213000002</v>
      </c>
      <c r="F769">
        <v>452.58258290999999</v>
      </c>
      <c r="G769">
        <v>450.71079213000002</v>
      </c>
      <c r="H769">
        <v>8.3121000427477405</v>
      </c>
      <c r="J769" t="b">
        <v>0</v>
      </c>
    </row>
    <row r="770" spans="1:10" x14ac:dyDescent="0.25">
      <c r="A770">
        <v>768</v>
      </c>
      <c r="B770" t="s">
        <v>1211</v>
      </c>
      <c r="C770" s="1">
        <v>46220</v>
      </c>
      <c r="D770">
        <v>91.356594999999999</v>
      </c>
      <c r="E770">
        <v>495.86713742000001</v>
      </c>
      <c r="F770">
        <v>497.33072268000001</v>
      </c>
      <c r="G770">
        <v>495.86713742000001</v>
      </c>
      <c r="H770">
        <v>8.6343551367825899</v>
      </c>
      <c r="J770" t="b">
        <v>0</v>
      </c>
    </row>
    <row r="771" spans="1:10" x14ac:dyDescent="0.25">
      <c r="A771">
        <v>769</v>
      </c>
      <c r="B771" t="s">
        <v>1213</v>
      </c>
      <c r="C771" s="1">
        <v>46220</v>
      </c>
      <c r="D771">
        <v>91.308054999999996</v>
      </c>
      <c r="E771">
        <v>590.64051728000004</v>
      </c>
      <c r="F771">
        <v>592.82974375000003</v>
      </c>
      <c r="G771">
        <v>590.64051728000004</v>
      </c>
      <c r="H771">
        <v>9.3823947433099395</v>
      </c>
      <c r="J771" t="b">
        <v>0</v>
      </c>
    </row>
    <row r="772" spans="1:10" x14ac:dyDescent="0.25">
      <c r="A772">
        <v>770</v>
      </c>
      <c r="B772" t="s">
        <v>1215</v>
      </c>
      <c r="C772" s="1">
        <v>46220</v>
      </c>
      <c r="D772">
        <v>93.865589999999997</v>
      </c>
      <c r="E772">
        <v>330.21596774</v>
      </c>
      <c r="F772">
        <v>332.95227419999998</v>
      </c>
      <c r="G772">
        <v>330.21596774</v>
      </c>
      <c r="H772">
        <v>6.92689449815808</v>
      </c>
      <c r="J772" t="b">
        <v>0</v>
      </c>
    </row>
    <row r="773" spans="1:10" x14ac:dyDescent="0.25">
      <c r="A773">
        <v>771</v>
      </c>
      <c r="B773" t="s">
        <v>1217</v>
      </c>
      <c r="C773" s="1">
        <v>46220</v>
      </c>
      <c r="J773" t="b">
        <v>0</v>
      </c>
    </row>
    <row r="774" spans="1:10" x14ac:dyDescent="0.25">
      <c r="A774">
        <v>772</v>
      </c>
      <c r="B774" t="s">
        <v>1219</v>
      </c>
      <c r="C774" s="1">
        <v>46220</v>
      </c>
      <c r="D774">
        <v>92.25</v>
      </c>
      <c r="F774">
        <v>492.95132656999999</v>
      </c>
      <c r="H774">
        <v>8.6270327183145596</v>
      </c>
      <c r="J774" t="b">
        <v>0</v>
      </c>
    </row>
    <row r="775" spans="1:10" x14ac:dyDescent="0.25">
      <c r="A775">
        <v>773</v>
      </c>
      <c r="B775" t="s">
        <v>1221</v>
      </c>
      <c r="C775" s="1">
        <v>46220</v>
      </c>
      <c r="D775">
        <v>90.677999999999997</v>
      </c>
      <c r="F775">
        <v>480.48807601999999</v>
      </c>
      <c r="H775">
        <v>9.4740247738875993</v>
      </c>
      <c r="J775" t="b">
        <v>0</v>
      </c>
    </row>
    <row r="776" spans="1:10" x14ac:dyDescent="0.25">
      <c r="A776">
        <v>774</v>
      </c>
      <c r="B776" t="s">
        <v>1223</v>
      </c>
      <c r="C776" s="1">
        <v>46220</v>
      </c>
      <c r="J776" t="b">
        <v>0</v>
      </c>
    </row>
    <row r="777" spans="1:10" x14ac:dyDescent="0.25">
      <c r="A777">
        <v>775</v>
      </c>
      <c r="B777" t="s">
        <v>1005</v>
      </c>
      <c r="C777" s="1">
        <v>46220</v>
      </c>
      <c r="D777">
        <v>87.728210000000004</v>
      </c>
      <c r="E777">
        <v>559.09324465999998</v>
      </c>
      <c r="F777">
        <v>560.78087407999999</v>
      </c>
      <c r="G777">
        <v>559.09324465999998</v>
      </c>
      <c r="H777">
        <v>9.69785166691236</v>
      </c>
      <c r="J777" t="b">
        <v>0</v>
      </c>
    </row>
    <row r="778" spans="1:10" x14ac:dyDescent="0.25">
      <c r="A778">
        <v>776</v>
      </c>
      <c r="B778" t="s">
        <v>1009</v>
      </c>
      <c r="C778" s="1">
        <v>46220</v>
      </c>
      <c r="D778">
        <v>110.07055</v>
      </c>
      <c r="E778">
        <v>62.426868419999998</v>
      </c>
      <c r="F778">
        <v>69.880133839999999</v>
      </c>
      <c r="G778">
        <v>62.426868419999998</v>
      </c>
      <c r="H778">
        <v>7.7954714325652796</v>
      </c>
      <c r="J778" t="b">
        <v>0</v>
      </c>
    </row>
    <row r="779" spans="1:10" x14ac:dyDescent="0.25">
      <c r="A779">
        <v>777</v>
      </c>
      <c r="B779" t="s">
        <v>1011</v>
      </c>
      <c r="C779" s="1">
        <v>46220</v>
      </c>
      <c r="D779">
        <v>77.347994999999997</v>
      </c>
      <c r="E779">
        <v>511.93841020000002</v>
      </c>
      <c r="F779">
        <v>513.45893884999998</v>
      </c>
      <c r="G779">
        <v>511.93841020000002</v>
      </c>
      <c r="H779">
        <v>9.1436300336500498</v>
      </c>
      <c r="J779" t="b">
        <v>0</v>
      </c>
    </row>
    <row r="780" spans="1:10" x14ac:dyDescent="0.25">
      <c r="A780">
        <v>778</v>
      </c>
      <c r="B780" t="s">
        <v>1013</v>
      </c>
      <c r="C780" s="1">
        <v>46220</v>
      </c>
      <c r="D780">
        <v>103.640549999999</v>
      </c>
      <c r="E780">
        <v>292.00162717000001</v>
      </c>
      <c r="F780">
        <v>294.35872576000003</v>
      </c>
      <c r="G780">
        <v>292.00162717000001</v>
      </c>
      <c r="H780">
        <v>7.4453224582857196</v>
      </c>
      <c r="J780" t="b">
        <v>0</v>
      </c>
    </row>
    <row r="781" spans="1:10" x14ac:dyDescent="0.25">
      <c r="A781">
        <v>779</v>
      </c>
      <c r="B781" t="s">
        <v>1015</v>
      </c>
      <c r="C781" s="1">
        <v>46220</v>
      </c>
      <c r="D781">
        <v>80.165040000000005</v>
      </c>
      <c r="E781">
        <v>586.89551139000002</v>
      </c>
      <c r="F781">
        <v>588.65731668000001</v>
      </c>
      <c r="G781">
        <v>586.89551139000002</v>
      </c>
      <c r="H781">
        <v>9.9654196180187</v>
      </c>
      <c r="J781" t="b">
        <v>0</v>
      </c>
    </row>
    <row r="782" spans="1:10" x14ac:dyDescent="0.25">
      <c r="A782">
        <v>780</v>
      </c>
      <c r="B782" t="s">
        <v>1017</v>
      </c>
      <c r="C782" s="1">
        <v>46220</v>
      </c>
      <c r="D782">
        <v>88.5</v>
      </c>
      <c r="F782">
        <v>744.02788987999998</v>
      </c>
      <c r="H782">
        <v>11.5334296894678</v>
      </c>
      <c r="J782" t="b">
        <v>0</v>
      </c>
    </row>
    <row r="783" spans="1:10" x14ac:dyDescent="0.25">
      <c r="A783">
        <v>781</v>
      </c>
      <c r="B783" t="s">
        <v>1019</v>
      </c>
      <c r="C783" s="1">
        <v>46220</v>
      </c>
      <c r="D783">
        <v>87</v>
      </c>
      <c r="F783">
        <v>819.12050016000001</v>
      </c>
      <c r="H783">
        <v>12.281686782008901</v>
      </c>
      <c r="J783" t="b">
        <v>0</v>
      </c>
    </row>
    <row r="784" spans="1:10" x14ac:dyDescent="0.25">
      <c r="A784">
        <v>782</v>
      </c>
      <c r="B784" t="s">
        <v>1021</v>
      </c>
      <c r="C784" s="1">
        <v>46220</v>
      </c>
      <c r="D784">
        <v>90.9375</v>
      </c>
      <c r="F784">
        <v>964.25988255000004</v>
      </c>
      <c r="H784">
        <v>13.275469286046301</v>
      </c>
      <c r="J784" t="b">
        <v>0</v>
      </c>
    </row>
    <row r="785" spans="1:10" x14ac:dyDescent="0.25">
      <c r="A785">
        <v>783</v>
      </c>
      <c r="B785" t="s">
        <v>3496</v>
      </c>
      <c r="C785" s="1">
        <v>46220</v>
      </c>
      <c r="D785">
        <v>82.5</v>
      </c>
      <c r="F785">
        <v>1485.87842647</v>
      </c>
      <c r="H785">
        <v>18.8821794324402</v>
      </c>
      <c r="J785" t="b">
        <v>0</v>
      </c>
    </row>
    <row r="786" spans="1:10" x14ac:dyDescent="0.25">
      <c r="A786">
        <v>784</v>
      </c>
      <c r="B786" t="s">
        <v>3500</v>
      </c>
      <c r="C786" s="1">
        <v>46220</v>
      </c>
      <c r="D786">
        <v>65.5</v>
      </c>
      <c r="F786">
        <v>2271.68605901</v>
      </c>
      <c r="H786">
        <v>26.720251562073798</v>
      </c>
      <c r="J786" t="b">
        <v>0</v>
      </c>
    </row>
    <row r="787" spans="1:10" x14ac:dyDescent="0.25">
      <c r="A787">
        <v>785</v>
      </c>
      <c r="B787" t="s">
        <v>3502</v>
      </c>
      <c r="C787" s="1">
        <v>46220</v>
      </c>
      <c r="D787">
        <v>76</v>
      </c>
      <c r="F787">
        <v>1738.28593585</v>
      </c>
      <c r="H787">
        <v>21.9500443242076</v>
      </c>
      <c r="J787" t="b">
        <v>0</v>
      </c>
    </row>
    <row r="788" spans="1:10" x14ac:dyDescent="0.25">
      <c r="A788">
        <v>786</v>
      </c>
      <c r="B788" t="s">
        <v>1665</v>
      </c>
      <c r="C788" s="1">
        <v>46220</v>
      </c>
      <c r="J788" t="b">
        <v>0</v>
      </c>
    </row>
    <row r="789" spans="1:10" x14ac:dyDescent="0.25">
      <c r="A789">
        <v>787</v>
      </c>
      <c r="B789" t="s">
        <v>1669</v>
      </c>
      <c r="C789" s="1">
        <v>46220</v>
      </c>
      <c r="D789">
        <v>40</v>
      </c>
      <c r="F789">
        <v>3913.3879124499999</v>
      </c>
      <c r="H789">
        <v>43.124389811418901</v>
      </c>
      <c r="J789" t="b">
        <v>0</v>
      </c>
    </row>
    <row r="790" spans="1:10" x14ac:dyDescent="0.25">
      <c r="A790">
        <v>788</v>
      </c>
      <c r="B790" t="s">
        <v>1670</v>
      </c>
      <c r="C790" s="1">
        <v>46220</v>
      </c>
      <c r="D790">
        <v>70</v>
      </c>
      <c r="F790">
        <v>1923.20496209</v>
      </c>
      <c r="H790">
        <v>23.268308517136902</v>
      </c>
      <c r="J790" t="b">
        <v>0</v>
      </c>
    </row>
    <row r="791" spans="1:10" x14ac:dyDescent="0.25">
      <c r="A791">
        <v>789</v>
      </c>
      <c r="B791" t="s">
        <v>1672</v>
      </c>
      <c r="C791" s="1">
        <v>46220</v>
      </c>
      <c r="D791">
        <v>102.125</v>
      </c>
      <c r="F791">
        <v>411.07015034</v>
      </c>
      <c r="H791">
        <v>8.4862441149558201</v>
      </c>
      <c r="J791" t="b">
        <v>0</v>
      </c>
    </row>
    <row r="792" spans="1:10" x14ac:dyDescent="0.25">
      <c r="A792">
        <v>790</v>
      </c>
      <c r="B792" t="s">
        <v>1673</v>
      </c>
      <c r="C792" s="1">
        <v>46220</v>
      </c>
      <c r="D792">
        <v>31.03575</v>
      </c>
      <c r="F792">
        <v>8159.8559102899999</v>
      </c>
      <c r="H792">
        <v>56.245291465893303</v>
      </c>
      <c r="J792" t="b">
        <v>0</v>
      </c>
    </row>
    <row r="793" spans="1:10" x14ac:dyDescent="0.25">
      <c r="A793">
        <v>791</v>
      </c>
      <c r="B793" t="s">
        <v>1675</v>
      </c>
      <c r="C793" s="1">
        <v>46220</v>
      </c>
      <c r="J793" t="b">
        <v>1</v>
      </c>
    </row>
    <row r="794" spans="1:10" x14ac:dyDescent="0.25">
      <c r="A794">
        <v>792</v>
      </c>
      <c r="B794" t="s">
        <v>1682</v>
      </c>
      <c r="C794" s="1">
        <v>46220</v>
      </c>
      <c r="J794" t="b">
        <v>1</v>
      </c>
    </row>
    <row r="795" spans="1:10" x14ac:dyDescent="0.25">
      <c r="A795">
        <v>793</v>
      </c>
      <c r="B795" t="s">
        <v>1684</v>
      </c>
      <c r="C795" s="1">
        <v>46220</v>
      </c>
      <c r="D795">
        <v>94.145499999999998</v>
      </c>
      <c r="E795">
        <v>762.92870897</v>
      </c>
      <c r="F795">
        <v>764.91863417000002</v>
      </c>
      <c r="G795">
        <v>762.92870897</v>
      </c>
      <c r="H795">
        <v>11.709006729520301</v>
      </c>
      <c r="J795" t="b">
        <v>0</v>
      </c>
    </row>
    <row r="796" spans="1:10" x14ac:dyDescent="0.25">
      <c r="A796">
        <v>794</v>
      </c>
      <c r="B796" t="s">
        <v>1686</v>
      </c>
      <c r="C796" s="1">
        <v>46220</v>
      </c>
      <c r="J796" t="b">
        <v>1</v>
      </c>
    </row>
    <row r="797" spans="1:10" x14ac:dyDescent="0.25">
      <c r="A797">
        <v>795</v>
      </c>
      <c r="B797" t="s">
        <v>1688</v>
      </c>
      <c r="C797" s="1">
        <v>46220</v>
      </c>
      <c r="J797" t="b">
        <v>1</v>
      </c>
    </row>
    <row r="798" spans="1:10" x14ac:dyDescent="0.25">
      <c r="A798">
        <v>796</v>
      </c>
      <c r="B798" t="s">
        <v>1691</v>
      </c>
      <c r="C798" s="1">
        <v>46220</v>
      </c>
      <c r="J798" t="b">
        <v>1</v>
      </c>
    </row>
    <row r="799" spans="1:10" x14ac:dyDescent="0.25">
      <c r="A799">
        <v>797</v>
      </c>
      <c r="B799" t="s">
        <v>1692</v>
      </c>
      <c r="C799" s="1">
        <v>46220</v>
      </c>
      <c r="D799">
        <v>87.25</v>
      </c>
      <c r="F799">
        <v>987.83259867000004</v>
      </c>
      <c r="H799">
        <v>13.8536290641803</v>
      </c>
      <c r="J799" t="b">
        <v>0</v>
      </c>
    </row>
    <row r="800" spans="1:10" x14ac:dyDescent="0.25">
      <c r="A800">
        <v>798</v>
      </c>
      <c r="B800" t="s">
        <v>1696</v>
      </c>
      <c r="C800" s="1">
        <v>46220</v>
      </c>
      <c r="D800">
        <v>87.25</v>
      </c>
      <c r="F800">
        <v>997.76135902999999</v>
      </c>
      <c r="H800">
        <v>13.9154031153868</v>
      </c>
      <c r="J800" t="b">
        <v>0</v>
      </c>
    </row>
    <row r="801" spans="1:10" x14ac:dyDescent="0.25">
      <c r="A801">
        <v>799</v>
      </c>
      <c r="B801" t="s">
        <v>1698</v>
      </c>
      <c r="C801" s="1">
        <v>46220</v>
      </c>
      <c r="D801">
        <v>91.25</v>
      </c>
      <c r="F801">
        <v>831.33384533000003</v>
      </c>
      <c r="H801">
        <v>11.222877427261199</v>
      </c>
      <c r="J801" t="b">
        <v>0</v>
      </c>
    </row>
    <row r="802" spans="1:10" x14ac:dyDescent="0.25">
      <c r="A802">
        <v>800</v>
      </c>
      <c r="B802" t="s">
        <v>1700</v>
      </c>
      <c r="C802" s="1">
        <v>46220</v>
      </c>
      <c r="J802" t="b">
        <v>0</v>
      </c>
    </row>
    <row r="803" spans="1:10" x14ac:dyDescent="0.25">
      <c r="A803">
        <v>801</v>
      </c>
      <c r="B803" t="s">
        <v>1704</v>
      </c>
      <c r="C803" s="1">
        <v>46220</v>
      </c>
      <c r="J803" t="b">
        <v>0</v>
      </c>
    </row>
    <row r="804" spans="1:10" x14ac:dyDescent="0.25">
      <c r="A804">
        <v>802</v>
      </c>
      <c r="B804" t="s">
        <v>1706</v>
      </c>
      <c r="C804" s="1">
        <v>46220</v>
      </c>
      <c r="D804">
        <v>61.5</v>
      </c>
      <c r="F804">
        <v>2509.3897394099999</v>
      </c>
      <c r="H804">
        <v>29.352710323771099</v>
      </c>
      <c r="J804" t="b">
        <v>0</v>
      </c>
    </row>
    <row r="805" spans="1:10" x14ac:dyDescent="0.25">
      <c r="A805">
        <v>803</v>
      </c>
      <c r="B805" t="s">
        <v>1718</v>
      </c>
      <c r="C805" s="1">
        <v>46220</v>
      </c>
      <c r="D805">
        <v>50</v>
      </c>
      <c r="F805">
        <v>4723.1992629400002</v>
      </c>
      <c r="H805">
        <v>42.137381489397796</v>
      </c>
      <c r="J805" t="b">
        <v>0</v>
      </c>
    </row>
    <row r="806" spans="1:10" x14ac:dyDescent="0.25">
      <c r="A806">
        <v>804</v>
      </c>
      <c r="B806" t="s">
        <v>1722</v>
      </c>
      <c r="C806" s="1">
        <v>46220</v>
      </c>
      <c r="D806">
        <v>51.5</v>
      </c>
      <c r="F806">
        <v>4287.44973811</v>
      </c>
      <c r="H806">
        <v>46.272096427749602</v>
      </c>
      <c r="J806" t="b">
        <v>0</v>
      </c>
    </row>
    <row r="807" spans="1:10" x14ac:dyDescent="0.25">
      <c r="A807">
        <v>805</v>
      </c>
      <c r="B807" t="s">
        <v>1724</v>
      </c>
      <c r="C807" s="1">
        <v>46220</v>
      </c>
      <c r="J807" t="b">
        <v>0</v>
      </c>
    </row>
    <row r="808" spans="1:10" x14ac:dyDescent="0.25">
      <c r="A808">
        <v>806</v>
      </c>
      <c r="B808" t="s">
        <v>1728</v>
      </c>
      <c r="C808" s="1">
        <v>46220</v>
      </c>
      <c r="D808">
        <v>76</v>
      </c>
      <c r="F808">
        <v>2316.7049753000001</v>
      </c>
      <c r="H808">
        <v>26.9036755250279</v>
      </c>
      <c r="J808" t="b">
        <v>0</v>
      </c>
    </row>
    <row r="809" spans="1:10" x14ac:dyDescent="0.25">
      <c r="A809">
        <v>807</v>
      </c>
      <c r="B809" t="s">
        <v>1730</v>
      </c>
      <c r="C809" s="1">
        <v>46220</v>
      </c>
      <c r="D809">
        <v>100.75</v>
      </c>
      <c r="F809">
        <v>595.25087643999996</v>
      </c>
      <c r="H809">
        <v>8.46013388457167</v>
      </c>
      <c r="J809" t="b">
        <v>0</v>
      </c>
    </row>
    <row r="810" spans="1:10" x14ac:dyDescent="0.25">
      <c r="A810">
        <v>808</v>
      </c>
      <c r="B810" t="s">
        <v>1023</v>
      </c>
      <c r="C810" s="1">
        <v>46220</v>
      </c>
      <c r="D810">
        <v>72.139224999999996</v>
      </c>
      <c r="E810">
        <v>3158.91130488</v>
      </c>
      <c r="F810">
        <v>3161.9634166400001</v>
      </c>
      <c r="G810">
        <v>3158.91130488</v>
      </c>
      <c r="H810">
        <v>38.272982146507701</v>
      </c>
      <c r="J810" t="b">
        <v>0</v>
      </c>
    </row>
    <row r="811" spans="1:10" x14ac:dyDescent="0.25">
      <c r="A811">
        <v>809</v>
      </c>
      <c r="B811" t="s">
        <v>1027</v>
      </c>
      <c r="C811" s="1">
        <v>46220</v>
      </c>
      <c r="D811">
        <v>85.755250000000004</v>
      </c>
      <c r="E811">
        <v>2075.9769530799999</v>
      </c>
      <c r="F811">
        <v>2078.3526121700002</v>
      </c>
      <c r="G811">
        <v>2075.9769530799999</v>
      </c>
      <c r="H811">
        <v>24.857700534536502</v>
      </c>
      <c r="J811" t="b">
        <v>0</v>
      </c>
    </row>
    <row r="812" spans="1:10" x14ac:dyDescent="0.25">
      <c r="A812">
        <v>810</v>
      </c>
      <c r="B812" t="s">
        <v>1029</v>
      </c>
      <c r="C812" s="1">
        <v>46220</v>
      </c>
      <c r="D812">
        <v>89.857709999999997</v>
      </c>
      <c r="E812">
        <v>3205.3973644399998</v>
      </c>
      <c r="F812">
        <v>3144.6680997100002</v>
      </c>
      <c r="G812">
        <v>3205.3973644399998</v>
      </c>
      <c r="H812">
        <v>35.877207343047701</v>
      </c>
      <c r="J812" t="b">
        <v>0</v>
      </c>
    </row>
    <row r="813" spans="1:10" x14ac:dyDescent="0.25">
      <c r="A813">
        <v>811</v>
      </c>
      <c r="B813" t="s">
        <v>1031</v>
      </c>
      <c r="C813" s="1">
        <v>46220</v>
      </c>
      <c r="D813">
        <v>89.75</v>
      </c>
      <c r="F813">
        <v>3533.9556339199999</v>
      </c>
      <c r="H813">
        <v>38.093382997734302</v>
      </c>
      <c r="J813" t="b">
        <v>0</v>
      </c>
    </row>
    <row r="814" spans="1:10" x14ac:dyDescent="0.25">
      <c r="A814">
        <v>812</v>
      </c>
      <c r="B814" t="s">
        <v>2025</v>
      </c>
      <c r="C814" s="1">
        <v>46220</v>
      </c>
      <c r="D814">
        <v>102.48505</v>
      </c>
      <c r="E814">
        <v>552.02044734000003</v>
      </c>
      <c r="F814">
        <v>554.35020964</v>
      </c>
      <c r="G814">
        <v>552.02044734000003</v>
      </c>
      <c r="H814">
        <v>9.9704554942739705</v>
      </c>
      <c r="J814" t="b">
        <v>0</v>
      </c>
    </row>
    <row r="815" spans="1:10" x14ac:dyDescent="0.25">
      <c r="A815">
        <v>813</v>
      </c>
      <c r="B815" t="s">
        <v>2029</v>
      </c>
      <c r="C815" s="1">
        <v>46220</v>
      </c>
      <c r="D815">
        <v>103.87035</v>
      </c>
      <c r="E815">
        <v>343.91151359000003</v>
      </c>
      <c r="F815">
        <v>346.26389741999998</v>
      </c>
      <c r="G815">
        <v>343.91151359000003</v>
      </c>
      <c r="H815">
        <v>8.1124933613274504</v>
      </c>
      <c r="J815" t="b">
        <v>0</v>
      </c>
    </row>
    <row r="816" spans="1:10" x14ac:dyDescent="0.25">
      <c r="A816">
        <v>814</v>
      </c>
      <c r="B816" t="s">
        <v>2031</v>
      </c>
      <c r="C816" s="1">
        <v>46220</v>
      </c>
      <c r="D816">
        <v>111.4324</v>
      </c>
      <c r="E816">
        <v>497.27512073000003</v>
      </c>
      <c r="F816">
        <v>497.60924669000002</v>
      </c>
      <c r="G816">
        <v>497.27512073000003</v>
      </c>
      <c r="H816">
        <v>10.9943035627445</v>
      </c>
      <c r="J816" t="b">
        <v>0</v>
      </c>
    </row>
    <row r="817" spans="1:10" x14ac:dyDescent="0.25">
      <c r="A817">
        <v>815</v>
      </c>
      <c r="B817" t="s">
        <v>2033</v>
      </c>
      <c r="C817" s="1">
        <v>46220</v>
      </c>
      <c r="D817">
        <v>94.826965000000001</v>
      </c>
      <c r="E817">
        <v>524.74986966999995</v>
      </c>
      <c r="F817">
        <v>526.68057865000003</v>
      </c>
      <c r="G817">
        <v>524.74986966999995</v>
      </c>
      <c r="H817">
        <v>9.3029250746382406</v>
      </c>
      <c r="J817" t="b">
        <v>0</v>
      </c>
    </row>
    <row r="818" spans="1:10" x14ac:dyDescent="0.25">
      <c r="A818">
        <v>816</v>
      </c>
      <c r="B818" t="s">
        <v>2035</v>
      </c>
      <c r="C818" s="1">
        <v>46220</v>
      </c>
      <c r="D818">
        <v>101.50434999999899</v>
      </c>
      <c r="E818">
        <v>459.42110389999999</v>
      </c>
      <c r="F818">
        <v>460.97497664000002</v>
      </c>
      <c r="G818">
        <v>459.42110389999999</v>
      </c>
      <c r="H818">
        <v>8.8408114264338007</v>
      </c>
      <c r="J818" t="b">
        <v>0</v>
      </c>
    </row>
    <row r="819" spans="1:10" x14ac:dyDescent="0.25">
      <c r="A819">
        <v>817</v>
      </c>
      <c r="B819" t="s">
        <v>3566</v>
      </c>
      <c r="C819" s="1">
        <v>46220</v>
      </c>
      <c r="D819">
        <v>99.063855000000004</v>
      </c>
      <c r="E819">
        <v>890.81424641000001</v>
      </c>
      <c r="F819">
        <v>904.03898017999995</v>
      </c>
      <c r="G819">
        <v>890.81424641000001</v>
      </c>
      <c r="H819">
        <v>13.125815001892001</v>
      </c>
      <c r="J819" t="b">
        <v>0</v>
      </c>
    </row>
    <row r="820" spans="1:10" x14ac:dyDescent="0.25">
      <c r="A820">
        <v>818</v>
      </c>
      <c r="B820" t="s">
        <v>2037</v>
      </c>
      <c r="C820" s="1">
        <v>46220</v>
      </c>
      <c r="D820">
        <v>96.377645000000001</v>
      </c>
      <c r="F820">
        <v>787.05329158999996</v>
      </c>
      <c r="H820">
        <v>11.954679389995301</v>
      </c>
      <c r="J820" t="b">
        <v>0</v>
      </c>
    </row>
    <row r="821" spans="1:10" x14ac:dyDescent="0.25">
      <c r="A821">
        <v>819</v>
      </c>
      <c r="B821" t="s">
        <v>2039</v>
      </c>
      <c r="C821" s="1">
        <v>46220</v>
      </c>
      <c r="D821">
        <v>177.36429999999999</v>
      </c>
      <c r="F821">
        <v>-469.87869594</v>
      </c>
      <c r="H821">
        <v>-0.67438010568041695</v>
      </c>
      <c r="J821" t="b">
        <v>0</v>
      </c>
    </row>
    <row r="822" spans="1:10" x14ac:dyDescent="0.25">
      <c r="A822">
        <v>820</v>
      </c>
      <c r="B822" t="s">
        <v>2041</v>
      </c>
      <c r="C822" s="1">
        <v>46220</v>
      </c>
      <c r="J822" t="b">
        <v>0</v>
      </c>
    </row>
    <row r="823" spans="1:10" x14ac:dyDescent="0.25">
      <c r="A823">
        <v>821</v>
      </c>
      <c r="B823" t="s">
        <v>2043</v>
      </c>
      <c r="C823" s="1">
        <v>46220</v>
      </c>
      <c r="D823">
        <v>101</v>
      </c>
      <c r="F823">
        <v>541.96760744999995</v>
      </c>
      <c r="H823">
        <v>9.2747561293244694</v>
      </c>
      <c r="J823" t="b">
        <v>0</v>
      </c>
    </row>
    <row r="824" spans="1:10" x14ac:dyDescent="0.25">
      <c r="A824">
        <v>822</v>
      </c>
      <c r="B824" t="s">
        <v>1732</v>
      </c>
      <c r="C824" s="1">
        <v>46220</v>
      </c>
      <c r="D824">
        <v>67.5</v>
      </c>
      <c r="F824">
        <v>3055.0381914899999</v>
      </c>
      <c r="H824">
        <v>34.430259005707399</v>
      </c>
      <c r="J824" t="b">
        <v>0</v>
      </c>
    </row>
    <row r="825" spans="1:10" x14ac:dyDescent="0.25">
      <c r="A825">
        <v>823</v>
      </c>
      <c r="B825" t="s">
        <v>1736</v>
      </c>
      <c r="C825" s="1">
        <v>46220</v>
      </c>
      <c r="D825">
        <v>68.5</v>
      </c>
      <c r="F825">
        <v>2557.8279462400001</v>
      </c>
      <c r="H825">
        <v>29.1108172169758</v>
      </c>
      <c r="J825" t="b">
        <v>0</v>
      </c>
    </row>
    <row r="826" spans="1:10" x14ac:dyDescent="0.25">
      <c r="A826">
        <v>824</v>
      </c>
      <c r="B826" t="s">
        <v>1740</v>
      </c>
      <c r="C826" s="1">
        <v>46220</v>
      </c>
      <c r="D826">
        <v>85.5</v>
      </c>
      <c r="F826">
        <v>1536.90597813</v>
      </c>
      <c r="H826">
        <v>19.1802527664073</v>
      </c>
      <c r="J826" t="b">
        <v>0</v>
      </c>
    </row>
    <row r="827" spans="1:10" x14ac:dyDescent="0.25">
      <c r="A827">
        <v>825</v>
      </c>
      <c r="B827" t="s">
        <v>1775</v>
      </c>
      <c r="C827" s="1">
        <v>46220</v>
      </c>
      <c r="J827" t="b">
        <v>0</v>
      </c>
    </row>
    <row r="828" spans="1:10" x14ac:dyDescent="0.25">
      <c r="A828">
        <v>826</v>
      </c>
      <c r="B828" t="s">
        <v>1779</v>
      </c>
      <c r="C828" s="1">
        <v>46220</v>
      </c>
      <c r="D828">
        <v>21.738054999999999</v>
      </c>
      <c r="E828">
        <v>5798.8516805600002</v>
      </c>
      <c r="F828">
        <v>5800.73334712</v>
      </c>
      <c r="G828">
        <v>5798.8516805600002</v>
      </c>
      <c r="H828">
        <v>62.087617163954498</v>
      </c>
      <c r="J828" t="b">
        <v>0</v>
      </c>
    </row>
    <row r="829" spans="1:10" x14ac:dyDescent="0.25">
      <c r="A829">
        <v>827</v>
      </c>
      <c r="B829" t="s">
        <v>1780</v>
      </c>
      <c r="C829" s="1">
        <v>46220</v>
      </c>
      <c r="D829">
        <v>93.788619999999995</v>
      </c>
      <c r="E829">
        <v>6967.8282243200001</v>
      </c>
      <c r="F829">
        <v>6970.0551390600003</v>
      </c>
      <c r="G829">
        <v>6967.8282243200001</v>
      </c>
      <c r="H829">
        <v>74.8918170225529</v>
      </c>
      <c r="J829" t="b">
        <v>0</v>
      </c>
    </row>
    <row r="830" spans="1:10" x14ac:dyDescent="0.25">
      <c r="A830">
        <v>828</v>
      </c>
      <c r="B830" t="s">
        <v>1782</v>
      </c>
      <c r="C830" s="1">
        <v>46220</v>
      </c>
      <c r="D830">
        <v>97.625</v>
      </c>
      <c r="F830">
        <v>721.32320821999997</v>
      </c>
      <c r="H830">
        <v>10.802170866397899</v>
      </c>
      <c r="J830" t="b">
        <v>0</v>
      </c>
    </row>
    <row r="831" spans="1:10" x14ac:dyDescent="0.25">
      <c r="A831">
        <v>829</v>
      </c>
      <c r="B831" t="s">
        <v>1784</v>
      </c>
      <c r="C831" s="1">
        <v>46220</v>
      </c>
      <c r="D831">
        <v>57</v>
      </c>
      <c r="F831">
        <v>2319.06213338</v>
      </c>
      <c r="H831">
        <v>26.322156563401201</v>
      </c>
      <c r="J831" t="b">
        <v>0</v>
      </c>
    </row>
    <row r="832" spans="1:10" x14ac:dyDescent="0.25">
      <c r="A832">
        <v>830</v>
      </c>
      <c r="B832" t="s">
        <v>1786</v>
      </c>
      <c r="C832" s="1">
        <v>46220</v>
      </c>
      <c r="D832">
        <v>54</v>
      </c>
      <c r="F832">
        <v>2797.8673577999998</v>
      </c>
      <c r="H832">
        <v>30.966709228232499</v>
      </c>
      <c r="J832" t="b">
        <v>0</v>
      </c>
    </row>
    <row r="833" spans="1:10" x14ac:dyDescent="0.25">
      <c r="A833">
        <v>831</v>
      </c>
      <c r="B833" t="s">
        <v>1788</v>
      </c>
      <c r="C833" s="1">
        <v>46220</v>
      </c>
      <c r="D833">
        <v>17</v>
      </c>
      <c r="F833">
        <v>9397.7293275400007</v>
      </c>
      <c r="H833">
        <v>75.261884112842296</v>
      </c>
      <c r="J833" t="b">
        <v>0</v>
      </c>
    </row>
    <row r="834" spans="1:10" x14ac:dyDescent="0.25">
      <c r="A834">
        <v>832</v>
      </c>
      <c r="B834" t="s">
        <v>1790</v>
      </c>
      <c r="C834" s="1">
        <v>46220</v>
      </c>
      <c r="D834">
        <v>15</v>
      </c>
      <c r="F834">
        <v>10288.55706761</v>
      </c>
      <c r="H834">
        <v>80.283602792769599</v>
      </c>
      <c r="J834" t="b">
        <v>0</v>
      </c>
    </row>
    <row r="835" spans="1:10" x14ac:dyDescent="0.25">
      <c r="A835">
        <v>833</v>
      </c>
      <c r="B835" t="s">
        <v>1792</v>
      </c>
      <c r="C835" s="1">
        <v>46220</v>
      </c>
      <c r="D835">
        <v>96.25</v>
      </c>
      <c r="F835">
        <v>713.23485884000002</v>
      </c>
      <c r="H835">
        <v>10.9721976158009</v>
      </c>
      <c r="J835" t="b">
        <v>0</v>
      </c>
    </row>
    <row r="836" spans="1:10" x14ac:dyDescent="0.25">
      <c r="A836">
        <v>834</v>
      </c>
      <c r="B836" t="s">
        <v>1794</v>
      </c>
      <c r="C836" s="1">
        <v>46220</v>
      </c>
      <c r="D836">
        <v>38.5</v>
      </c>
      <c r="F836">
        <v>7382.2051972400004</v>
      </c>
      <c r="H836">
        <v>52.655888115987104</v>
      </c>
      <c r="J836" t="b">
        <v>0</v>
      </c>
    </row>
    <row r="837" spans="1:10" x14ac:dyDescent="0.25">
      <c r="A837">
        <v>835</v>
      </c>
      <c r="B837" t="s">
        <v>3727</v>
      </c>
      <c r="C837" s="1">
        <v>46220</v>
      </c>
      <c r="D837">
        <v>99.544560000000004</v>
      </c>
      <c r="E837">
        <v>717.24133881</v>
      </c>
      <c r="F837">
        <v>720.11387305000005</v>
      </c>
      <c r="G837">
        <v>717.24133881</v>
      </c>
      <c r="H837">
        <v>11.129867545251599</v>
      </c>
      <c r="J837" t="b">
        <v>0</v>
      </c>
    </row>
    <row r="838" spans="1:10" x14ac:dyDescent="0.25">
      <c r="A838">
        <v>836</v>
      </c>
      <c r="B838" t="s">
        <v>3731</v>
      </c>
      <c r="C838" s="1">
        <v>46220</v>
      </c>
      <c r="D838">
        <v>100.16085</v>
      </c>
      <c r="E838">
        <v>-144.30984455999999</v>
      </c>
      <c r="F838">
        <v>-130.27689802</v>
      </c>
      <c r="G838">
        <v>-144.30984455999999</v>
      </c>
      <c r="H838">
        <v>7.3290733941825197</v>
      </c>
      <c r="J838" t="b">
        <v>0</v>
      </c>
    </row>
    <row r="839" spans="1:10" x14ac:dyDescent="0.25">
      <c r="A839">
        <v>837</v>
      </c>
      <c r="B839" t="s">
        <v>3733</v>
      </c>
      <c r="C839" s="1">
        <v>46220</v>
      </c>
      <c r="D839">
        <v>97.830794999999995</v>
      </c>
      <c r="E839">
        <v>606.61800011000003</v>
      </c>
      <c r="F839">
        <v>608.43117253000003</v>
      </c>
      <c r="G839">
        <v>606.61800011000003</v>
      </c>
      <c r="H839">
        <v>10.050707714042</v>
      </c>
      <c r="J839" t="b">
        <v>0</v>
      </c>
    </row>
    <row r="840" spans="1:10" x14ac:dyDescent="0.25">
      <c r="A840">
        <v>838</v>
      </c>
      <c r="B840" t="s">
        <v>3735</v>
      </c>
      <c r="C840" s="1">
        <v>46220</v>
      </c>
      <c r="D840">
        <v>102.0985</v>
      </c>
      <c r="E840">
        <v>279.16752976999999</v>
      </c>
      <c r="F840">
        <v>282.00010943000001</v>
      </c>
      <c r="G840">
        <v>279.16752976999999</v>
      </c>
      <c r="H840">
        <v>7.2227740531871296</v>
      </c>
      <c r="J840" t="b">
        <v>0</v>
      </c>
    </row>
    <row r="841" spans="1:10" x14ac:dyDescent="0.25">
      <c r="A841">
        <v>839</v>
      </c>
      <c r="B841" t="s">
        <v>3737</v>
      </c>
      <c r="C841" s="1">
        <v>46220</v>
      </c>
      <c r="D841">
        <v>99.5</v>
      </c>
      <c r="F841">
        <v>345.69445911000003</v>
      </c>
      <c r="H841">
        <v>7.4018171729110698</v>
      </c>
      <c r="J841" t="b">
        <v>0</v>
      </c>
    </row>
    <row r="842" spans="1:10" x14ac:dyDescent="0.25">
      <c r="A842">
        <v>840</v>
      </c>
      <c r="B842" t="s">
        <v>3739</v>
      </c>
      <c r="C842" s="1">
        <v>46220</v>
      </c>
      <c r="D842">
        <v>99.5</v>
      </c>
      <c r="F842">
        <v>305.93852057999999</v>
      </c>
      <c r="H842">
        <v>6.8459904089222201</v>
      </c>
      <c r="J842" t="b">
        <v>0</v>
      </c>
    </row>
    <row r="843" spans="1:10" x14ac:dyDescent="0.25">
      <c r="A843">
        <v>841</v>
      </c>
      <c r="B843" t="s">
        <v>3741</v>
      </c>
      <c r="C843" s="1">
        <v>46220</v>
      </c>
      <c r="J843" t="b">
        <v>0</v>
      </c>
    </row>
    <row r="844" spans="1:10" x14ac:dyDescent="0.25">
      <c r="A844">
        <v>842</v>
      </c>
      <c r="B844" t="s">
        <v>1813</v>
      </c>
      <c r="C844" s="1">
        <v>46220</v>
      </c>
      <c r="D844">
        <v>75.5</v>
      </c>
      <c r="F844">
        <v>1676.2490684100001</v>
      </c>
      <c r="H844">
        <v>20.720580166822401</v>
      </c>
      <c r="J844" t="b">
        <v>0</v>
      </c>
    </row>
    <row r="845" spans="1:10" x14ac:dyDescent="0.25">
      <c r="A845">
        <v>843</v>
      </c>
      <c r="B845" t="s">
        <v>1819</v>
      </c>
      <c r="C845" s="1">
        <v>46220</v>
      </c>
      <c r="D845">
        <v>79</v>
      </c>
      <c r="F845">
        <v>963.72356271000001</v>
      </c>
      <c r="H845">
        <v>13.4345782455056</v>
      </c>
      <c r="J845" t="b">
        <v>0</v>
      </c>
    </row>
    <row r="846" spans="1:10" x14ac:dyDescent="0.25">
      <c r="A846">
        <v>844</v>
      </c>
      <c r="B846" t="s">
        <v>1823</v>
      </c>
      <c r="C846" s="1">
        <v>46220</v>
      </c>
      <c r="D846">
        <v>39</v>
      </c>
      <c r="H846">
        <v>27.058308042240601</v>
      </c>
      <c r="I846">
        <v>1250</v>
      </c>
      <c r="J846" t="b">
        <v>0</v>
      </c>
    </row>
    <row r="847" spans="1:10" x14ac:dyDescent="0.25">
      <c r="A847">
        <v>845</v>
      </c>
      <c r="B847" t="s">
        <v>1827</v>
      </c>
      <c r="C847" s="1">
        <v>46220</v>
      </c>
      <c r="D847">
        <v>49.480505000000001</v>
      </c>
      <c r="E847">
        <v>3431.83375406</v>
      </c>
      <c r="F847">
        <v>3433.5791450800002</v>
      </c>
      <c r="G847">
        <v>3431.83375406</v>
      </c>
      <c r="H847">
        <v>36.989317744637503</v>
      </c>
      <c r="J847" t="b">
        <v>0</v>
      </c>
    </row>
    <row r="848" spans="1:10" x14ac:dyDescent="0.25">
      <c r="A848">
        <v>846</v>
      </c>
      <c r="B848" t="s">
        <v>1829</v>
      </c>
      <c r="C848" s="1">
        <v>46220</v>
      </c>
      <c r="D848">
        <v>87.75</v>
      </c>
      <c r="F848">
        <v>934.27320824000003</v>
      </c>
      <c r="H848">
        <v>12.445497956418</v>
      </c>
      <c r="J848" t="b">
        <v>0</v>
      </c>
    </row>
    <row r="849" spans="1:10" x14ac:dyDescent="0.25">
      <c r="A849">
        <v>847</v>
      </c>
      <c r="B849" t="s">
        <v>1831</v>
      </c>
      <c r="C849" s="1">
        <v>46220</v>
      </c>
      <c r="D849">
        <v>102.5</v>
      </c>
      <c r="F849">
        <v>455.81336438</v>
      </c>
      <c r="H849">
        <v>8.7017085666537692</v>
      </c>
      <c r="J849" t="b">
        <v>0</v>
      </c>
    </row>
    <row r="850" spans="1:10" x14ac:dyDescent="0.25">
      <c r="A850">
        <v>848</v>
      </c>
      <c r="B850" t="s">
        <v>1832</v>
      </c>
      <c r="C850" s="1">
        <v>46220</v>
      </c>
      <c r="J850" t="b">
        <v>0</v>
      </c>
    </row>
    <row r="851" spans="1:10" x14ac:dyDescent="0.25">
      <c r="A851">
        <v>849</v>
      </c>
      <c r="B851" t="s">
        <v>2076</v>
      </c>
      <c r="C851" s="1">
        <v>46220</v>
      </c>
      <c r="D851">
        <v>56.172845000000002</v>
      </c>
      <c r="E851">
        <v>4373.3940440400002</v>
      </c>
      <c r="F851">
        <v>4375.3387361699997</v>
      </c>
      <c r="G851">
        <v>4373.3940440400002</v>
      </c>
      <c r="H851">
        <v>47.967439133086899</v>
      </c>
      <c r="J851" t="b">
        <v>0</v>
      </c>
    </row>
    <row r="852" spans="1:10" x14ac:dyDescent="0.25">
      <c r="A852">
        <v>850</v>
      </c>
      <c r="B852" t="s">
        <v>2080</v>
      </c>
      <c r="C852" s="1">
        <v>46220</v>
      </c>
      <c r="D852">
        <v>58.192070000000001</v>
      </c>
      <c r="E852">
        <v>2544.0708039699998</v>
      </c>
      <c r="F852">
        <v>2546.8801834999999</v>
      </c>
      <c r="G852">
        <v>2544.0708039699998</v>
      </c>
      <c r="H852">
        <v>29.547110907946301</v>
      </c>
      <c r="J852" t="b">
        <v>0</v>
      </c>
    </row>
    <row r="853" spans="1:10" x14ac:dyDescent="0.25">
      <c r="A853">
        <v>851</v>
      </c>
      <c r="B853" t="s">
        <v>2082</v>
      </c>
      <c r="C853" s="1">
        <v>46220</v>
      </c>
      <c r="D853">
        <v>58.192070000000001</v>
      </c>
      <c r="E853">
        <v>2542.79557763</v>
      </c>
      <c r="F853">
        <v>2545.60497657</v>
      </c>
      <c r="G853">
        <v>2542.79557763</v>
      </c>
      <c r="H853">
        <v>29.537045998515001</v>
      </c>
      <c r="J853" t="b">
        <v>0</v>
      </c>
    </row>
    <row r="854" spans="1:10" x14ac:dyDescent="0.25">
      <c r="A854">
        <v>852</v>
      </c>
      <c r="B854" t="s">
        <v>2083</v>
      </c>
      <c r="C854" s="1">
        <v>46220</v>
      </c>
      <c r="J854" t="b">
        <v>0</v>
      </c>
    </row>
    <row r="855" spans="1:10" x14ac:dyDescent="0.25">
      <c r="A855">
        <v>853</v>
      </c>
      <c r="B855" t="s">
        <v>2085</v>
      </c>
      <c r="C855" s="1">
        <v>46220</v>
      </c>
      <c r="J855" t="b">
        <v>0</v>
      </c>
    </row>
    <row r="856" spans="1:10" x14ac:dyDescent="0.25">
      <c r="A856">
        <v>854</v>
      </c>
      <c r="B856" t="s">
        <v>3503</v>
      </c>
      <c r="C856" s="1">
        <v>46220</v>
      </c>
      <c r="D856">
        <v>94.75</v>
      </c>
      <c r="F856">
        <v>615.36479622000002</v>
      </c>
      <c r="H856">
        <v>10.1843013499786</v>
      </c>
      <c r="J856" t="b">
        <v>0</v>
      </c>
    </row>
    <row r="857" spans="1:10" x14ac:dyDescent="0.25">
      <c r="A857">
        <v>855</v>
      </c>
      <c r="B857" t="s">
        <v>3507</v>
      </c>
      <c r="C857" s="1">
        <v>46220</v>
      </c>
      <c r="J857" t="b">
        <v>0</v>
      </c>
    </row>
    <row r="858" spans="1:10" x14ac:dyDescent="0.25">
      <c r="A858">
        <v>856</v>
      </c>
      <c r="B858" t="s">
        <v>3510</v>
      </c>
      <c r="C858" s="1">
        <v>46220</v>
      </c>
      <c r="J858" t="b">
        <v>0</v>
      </c>
    </row>
    <row r="859" spans="1:10" x14ac:dyDescent="0.25">
      <c r="A859">
        <v>857</v>
      </c>
      <c r="B859" t="s">
        <v>3512</v>
      </c>
      <c r="C859" s="1">
        <v>46220</v>
      </c>
      <c r="D859">
        <v>86.718999999999994</v>
      </c>
      <c r="F859">
        <v>1237.1751188000001</v>
      </c>
      <c r="H859">
        <v>16.440861486820499</v>
      </c>
      <c r="J859" t="b">
        <v>0</v>
      </c>
    </row>
    <row r="860" spans="1:10" x14ac:dyDescent="0.25">
      <c r="A860">
        <v>858</v>
      </c>
      <c r="B860" t="s">
        <v>1835</v>
      </c>
      <c r="C860" s="1">
        <v>46220</v>
      </c>
      <c r="D860">
        <v>1.0298385000000001</v>
      </c>
      <c r="H860">
        <v>3804.8082346074102</v>
      </c>
      <c r="J860" t="b">
        <v>1</v>
      </c>
    </row>
    <row r="861" spans="1:10" x14ac:dyDescent="0.25">
      <c r="A861">
        <v>859</v>
      </c>
      <c r="B861" t="s">
        <v>1839</v>
      </c>
      <c r="C861" s="1">
        <v>46220</v>
      </c>
      <c r="D861">
        <v>2.30800008773803</v>
      </c>
      <c r="H861">
        <v>2001.8337280493099</v>
      </c>
      <c r="J861" t="b">
        <v>0</v>
      </c>
    </row>
    <row r="862" spans="1:10" x14ac:dyDescent="0.25">
      <c r="A862">
        <v>860</v>
      </c>
      <c r="B862" t="s">
        <v>1841</v>
      </c>
      <c r="C862" s="1">
        <v>46220</v>
      </c>
      <c r="D862">
        <v>100.35800170898401</v>
      </c>
      <c r="E862">
        <v>192.28727720000001</v>
      </c>
      <c r="F862">
        <v>190.13242944999999</v>
      </c>
      <c r="G862">
        <v>192.28727720000001</v>
      </c>
      <c r="H862">
        <v>4.9284632331800298</v>
      </c>
      <c r="J862" t="b">
        <v>0</v>
      </c>
    </row>
    <row r="863" spans="1:10" x14ac:dyDescent="0.25">
      <c r="A863">
        <v>861</v>
      </c>
      <c r="B863" t="s">
        <v>1843</v>
      </c>
      <c r="C863" s="1">
        <v>46220</v>
      </c>
      <c r="D863">
        <v>101.15455</v>
      </c>
      <c r="E863">
        <v>185.86268763999999</v>
      </c>
      <c r="F863">
        <v>187.96082687000001</v>
      </c>
      <c r="G863">
        <v>185.86268763999999</v>
      </c>
      <c r="H863">
        <v>5.9491129603407096</v>
      </c>
      <c r="J863" t="b">
        <v>0</v>
      </c>
    </row>
    <row r="864" spans="1:10" x14ac:dyDescent="0.25">
      <c r="A864">
        <v>862</v>
      </c>
      <c r="B864" t="s">
        <v>1845</v>
      </c>
      <c r="C864" s="1">
        <v>46220</v>
      </c>
      <c r="D864">
        <v>92.294780000000003</v>
      </c>
      <c r="F864">
        <v>942.93520335999995</v>
      </c>
      <c r="H864">
        <v>13.439307160244301</v>
      </c>
      <c r="J864" t="b">
        <v>0</v>
      </c>
    </row>
    <row r="865" spans="1:10" x14ac:dyDescent="0.25">
      <c r="A865">
        <v>863</v>
      </c>
      <c r="B865" t="s">
        <v>1846</v>
      </c>
      <c r="C865" s="1">
        <v>46220</v>
      </c>
      <c r="D865">
        <v>92.116996765136705</v>
      </c>
      <c r="F865">
        <v>1045.09350079</v>
      </c>
      <c r="H865">
        <v>13.349698552118801</v>
      </c>
      <c r="J865" t="b">
        <v>0</v>
      </c>
    </row>
    <row r="866" spans="1:10" x14ac:dyDescent="0.25">
      <c r="A866">
        <v>864</v>
      </c>
      <c r="B866" t="s">
        <v>1848</v>
      </c>
      <c r="C866" s="1">
        <v>46220</v>
      </c>
      <c r="D866">
        <v>106.24724999999999</v>
      </c>
      <c r="E866">
        <v>343.96925874999999</v>
      </c>
      <c r="F866">
        <v>344.19825424999999</v>
      </c>
      <c r="G866">
        <v>343.96925874999999</v>
      </c>
      <c r="H866">
        <v>7.8332962245519804</v>
      </c>
      <c r="J866" t="b">
        <v>0</v>
      </c>
    </row>
    <row r="867" spans="1:10" x14ac:dyDescent="0.25">
      <c r="A867">
        <v>865</v>
      </c>
      <c r="B867" t="s">
        <v>1850</v>
      </c>
      <c r="C867" s="1">
        <v>46220</v>
      </c>
      <c r="D867">
        <v>95.696998596191406</v>
      </c>
      <c r="E867">
        <v>153.06390211999999</v>
      </c>
      <c r="F867">
        <v>151.13566268</v>
      </c>
      <c r="G867">
        <v>153.06390211999999</v>
      </c>
      <c r="H867">
        <v>4.5570773922458203</v>
      </c>
      <c r="J867" t="b">
        <v>0</v>
      </c>
    </row>
    <row r="868" spans="1:10" x14ac:dyDescent="0.25">
      <c r="A868">
        <v>866</v>
      </c>
      <c r="B868" t="s">
        <v>1852</v>
      </c>
      <c r="C868" s="1">
        <v>46220</v>
      </c>
      <c r="D868">
        <v>96.920997619628906</v>
      </c>
      <c r="E868">
        <v>58.27740695</v>
      </c>
      <c r="F868">
        <v>56.34982651</v>
      </c>
      <c r="G868">
        <v>58.27740695</v>
      </c>
      <c r="H868">
        <v>3.5271819946083101</v>
      </c>
      <c r="J868" t="b">
        <v>0</v>
      </c>
    </row>
    <row r="869" spans="1:10" x14ac:dyDescent="0.25">
      <c r="A869">
        <v>867</v>
      </c>
      <c r="B869" t="s">
        <v>1854</v>
      </c>
      <c r="C869" s="1">
        <v>46220</v>
      </c>
      <c r="D869">
        <v>95.249484999999893</v>
      </c>
      <c r="E869">
        <v>172.04641207</v>
      </c>
      <c r="F869">
        <v>174.31504881000001</v>
      </c>
      <c r="G869">
        <v>172.04641207</v>
      </c>
      <c r="H869">
        <v>5.7722672762919096</v>
      </c>
      <c r="J869" t="b">
        <v>0</v>
      </c>
    </row>
    <row r="870" spans="1:10" x14ac:dyDescent="0.25">
      <c r="A870">
        <v>868</v>
      </c>
      <c r="B870" t="s">
        <v>1856</v>
      </c>
      <c r="C870" s="1">
        <v>46220</v>
      </c>
      <c r="D870">
        <v>96.158159999999995</v>
      </c>
      <c r="E870">
        <v>117.14331386000001</v>
      </c>
      <c r="F870">
        <v>119.77728154</v>
      </c>
      <c r="G870">
        <v>117.14331386000001</v>
      </c>
      <c r="H870">
        <v>5.2408848787651801</v>
      </c>
      <c r="J870" t="b">
        <v>0</v>
      </c>
    </row>
    <row r="871" spans="1:10" x14ac:dyDescent="0.25">
      <c r="A871">
        <v>869</v>
      </c>
      <c r="B871" t="s">
        <v>1858</v>
      </c>
      <c r="C871" s="1">
        <v>46220</v>
      </c>
      <c r="J871" t="b">
        <v>0</v>
      </c>
    </row>
    <row r="872" spans="1:10" x14ac:dyDescent="0.25">
      <c r="A872">
        <v>870</v>
      </c>
      <c r="B872" t="s">
        <v>310</v>
      </c>
      <c r="C872" s="1">
        <v>46220</v>
      </c>
      <c r="D872">
        <v>16.169719999999899</v>
      </c>
      <c r="H872">
        <v>108.834617751153</v>
      </c>
      <c r="J872" t="b">
        <v>0</v>
      </c>
    </row>
    <row r="873" spans="1:10" x14ac:dyDescent="0.25">
      <c r="A873">
        <v>871</v>
      </c>
      <c r="B873" t="s">
        <v>316</v>
      </c>
      <c r="C873" s="1">
        <v>46220</v>
      </c>
      <c r="D873">
        <v>33.994084999999998</v>
      </c>
      <c r="H873">
        <v>55.886010243637003</v>
      </c>
      <c r="J873" t="b">
        <v>1</v>
      </c>
    </row>
    <row r="874" spans="1:10" x14ac:dyDescent="0.25">
      <c r="A874">
        <v>872</v>
      </c>
      <c r="B874" t="s">
        <v>3215</v>
      </c>
      <c r="C874" s="1">
        <v>46220</v>
      </c>
      <c r="D874">
        <v>95.591534999999993</v>
      </c>
      <c r="E874">
        <v>1069.32519084</v>
      </c>
      <c r="F874">
        <v>1021.34937365</v>
      </c>
      <c r="G874">
        <v>1069.32519084</v>
      </c>
      <c r="H874">
        <v>14.214498216872199</v>
      </c>
      <c r="J874" t="b">
        <v>0</v>
      </c>
    </row>
    <row r="875" spans="1:10" x14ac:dyDescent="0.25">
      <c r="A875">
        <v>873</v>
      </c>
      <c r="B875" t="s">
        <v>318</v>
      </c>
      <c r="C875" s="1">
        <v>46220</v>
      </c>
      <c r="D875">
        <v>16.176015</v>
      </c>
      <c r="H875">
        <v>2882.4965981998198</v>
      </c>
      <c r="J875" t="b">
        <v>0</v>
      </c>
    </row>
    <row r="876" spans="1:10" x14ac:dyDescent="0.25">
      <c r="A876">
        <v>874</v>
      </c>
      <c r="B876" t="s">
        <v>320</v>
      </c>
      <c r="C876" s="1">
        <v>46220</v>
      </c>
      <c r="J876" t="b">
        <v>0</v>
      </c>
    </row>
    <row r="877" spans="1:10" x14ac:dyDescent="0.25">
      <c r="A877">
        <v>875</v>
      </c>
      <c r="B877" t="s">
        <v>323</v>
      </c>
      <c r="C877" s="1">
        <v>46220</v>
      </c>
      <c r="D877">
        <v>50</v>
      </c>
      <c r="H877">
        <v>37.899135158212196</v>
      </c>
      <c r="J877" t="b">
        <v>1</v>
      </c>
    </row>
    <row r="878" spans="1:10" x14ac:dyDescent="0.25">
      <c r="A878">
        <v>876</v>
      </c>
      <c r="B878" t="s">
        <v>1193</v>
      </c>
      <c r="C878" s="1">
        <v>46220</v>
      </c>
      <c r="D878">
        <v>71.5</v>
      </c>
      <c r="J878" t="b">
        <v>1</v>
      </c>
    </row>
    <row r="879" spans="1:10" x14ac:dyDescent="0.25">
      <c r="A879">
        <v>877</v>
      </c>
      <c r="B879" t="s">
        <v>325</v>
      </c>
      <c r="C879" s="1">
        <v>46220</v>
      </c>
      <c r="D879">
        <v>57</v>
      </c>
      <c r="J879" t="b">
        <v>1</v>
      </c>
    </row>
    <row r="880" spans="1:10" x14ac:dyDescent="0.25">
      <c r="A880">
        <v>878</v>
      </c>
      <c r="B880" t="s">
        <v>3216</v>
      </c>
      <c r="C880" s="1">
        <v>46220</v>
      </c>
      <c r="D880">
        <v>40</v>
      </c>
      <c r="J880" t="b">
        <v>1</v>
      </c>
    </row>
    <row r="881" spans="1:10" x14ac:dyDescent="0.25">
      <c r="A881">
        <v>879</v>
      </c>
      <c r="B881" t="s">
        <v>328</v>
      </c>
      <c r="C881" s="1">
        <v>46220</v>
      </c>
      <c r="J881" t="b">
        <v>0</v>
      </c>
    </row>
    <row r="882" spans="1:10" x14ac:dyDescent="0.25">
      <c r="A882">
        <v>880</v>
      </c>
      <c r="B882" t="s">
        <v>330</v>
      </c>
      <c r="C882" s="1">
        <v>46220</v>
      </c>
      <c r="D882">
        <v>0.94999998807907104</v>
      </c>
      <c r="I882">
        <v>40565</v>
      </c>
      <c r="J882" t="b">
        <v>0</v>
      </c>
    </row>
    <row r="883" spans="1:10" x14ac:dyDescent="0.25">
      <c r="A883">
        <v>881</v>
      </c>
      <c r="B883" t="s">
        <v>535</v>
      </c>
      <c r="C883" s="1">
        <v>46220</v>
      </c>
      <c r="D883">
        <v>98.675555000000003</v>
      </c>
      <c r="E883">
        <v>573.68736195999998</v>
      </c>
      <c r="F883">
        <v>575.96715924</v>
      </c>
      <c r="G883">
        <v>573.68736195999998</v>
      </c>
      <c r="H883">
        <v>9.9201328326065692</v>
      </c>
      <c r="J883" t="b">
        <v>0</v>
      </c>
    </row>
    <row r="884" spans="1:10" x14ac:dyDescent="0.25">
      <c r="A884">
        <v>882</v>
      </c>
      <c r="B884" t="s">
        <v>540</v>
      </c>
      <c r="C884" s="1">
        <v>46220</v>
      </c>
      <c r="D884">
        <v>94.429109999999994</v>
      </c>
      <c r="E884">
        <v>569.03213808999999</v>
      </c>
      <c r="F884">
        <v>571.03242329</v>
      </c>
      <c r="G884">
        <v>569.03213808999999</v>
      </c>
      <c r="H884">
        <v>9.9308081798583103</v>
      </c>
      <c r="J884" t="b">
        <v>0</v>
      </c>
    </row>
    <row r="885" spans="1:10" x14ac:dyDescent="0.25">
      <c r="A885">
        <v>883</v>
      </c>
      <c r="B885" t="s">
        <v>542</v>
      </c>
      <c r="C885" s="1">
        <v>46220</v>
      </c>
      <c r="D885">
        <v>88.004764999999907</v>
      </c>
      <c r="E885">
        <v>709.48337962999994</v>
      </c>
      <c r="F885">
        <v>708.54037807999998</v>
      </c>
      <c r="G885">
        <v>709.48337962999994</v>
      </c>
      <c r="H885">
        <v>10.0187360117647</v>
      </c>
      <c r="J885" t="b">
        <v>0</v>
      </c>
    </row>
    <row r="886" spans="1:10" x14ac:dyDescent="0.25">
      <c r="A886">
        <v>884</v>
      </c>
      <c r="B886" t="s">
        <v>544</v>
      </c>
      <c r="C886" s="1">
        <v>46220</v>
      </c>
      <c r="D886">
        <v>89.403729999999996</v>
      </c>
      <c r="E886">
        <v>619.30437814000004</v>
      </c>
      <c r="F886">
        <v>621.02806299999997</v>
      </c>
      <c r="G886">
        <v>619.30437814000004</v>
      </c>
      <c r="H886">
        <v>10.3191307519844</v>
      </c>
      <c r="J886" t="b">
        <v>0</v>
      </c>
    </row>
    <row r="887" spans="1:10" x14ac:dyDescent="0.25">
      <c r="A887">
        <v>885</v>
      </c>
      <c r="B887" t="s">
        <v>546</v>
      </c>
      <c r="C887" s="1">
        <v>46220</v>
      </c>
      <c r="D887">
        <v>90.716854999999995</v>
      </c>
      <c r="E887">
        <v>612.69082348999996</v>
      </c>
      <c r="F887">
        <v>614.51106775999995</v>
      </c>
      <c r="G887">
        <v>612.69082348999996</v>
      </c>
      <c r="H887">
        <v>10.1743126850865</v>
      </c>
      <c r="J887" t="b">
        <v>0</v>
      </c>
    </row>
    <row r="888" spans="1:10" x14ac:dyDescent="0.25">
      <c r="A888">
        <v>886</v>
      </c>
      <c r="B888" t="s">
        <v>548</v>
      </c>
      <c r="C888" s="1">
        <v>46220</v>
      </c>
      <c r="D888">
        <v>88.485669999999999</v>
      </c>
      <c r="E888">
        <v>601.83065065999995</v>
      </c>
      <c r="F888">
        <v>603.80900292000001</v>
      </c>
      <c r="G888">
        <v>601.83065065999995</v>
      </c>
      <c r="H888">
        <v>10.1541341389382</v>
      </c>
      <c r="J888" t="b">
        <v>0</v>
      </c>
    </row>
    <row r="889" spans="1:10" x14ac:dyDescent="0.25">
      <c r="A889">
        <v>887</v>
      </c>
      <c r="B889" t="s">
        <v>550</v>
      </c>
      <c r="C889" s="1">
        <v>46220</v>
      </c>
      <c r="J889" t="b">
        <v>0</v>
      </c>
    </row>
    <row r="890" spans="1:10" x14ac:dyDescent="0.25">
      <c r="A890">
        <v>888</v>
      </c>
      <c r="B890" t="s">
        <v>3515</v>
      </c>
      <c r="C890" s="1">
        <v>46220</v>
      </c>
      <c r="D890">
        <v>87.666499999999999</v>
      </c>
      <c r="F890">
        <v>746.23968521999996</v>
      </c>
      <c r="H890">
        <v>11.447763749598</v>
      </c>
      <c r="J890" t="b">
        <v>0</v>
      </c>
    </row>
    <row r="891" spans="1:10" x14ac:dyDescent="0.25">
      <c r="A891">
        <v>889</v>
      </c>
      <c r="B891" t="s">
        <v>3743</v>
      </c>
      <c r="C891" s="1">
        <v>46220</v>
      </c>
      <c r="D891">
        <v>96.710829999999902</v>
      </c>
      <c r="E891">
        <v>513.21600579000005</v>
      </c>
      <c r="F891">
        <v>516.33384943999999</v>
      </c>
      <c r="G891">
        <v>513.21600579000005</v>
      </c>
      <c r="H891">
        <v>9.1934130506361402</v>
      </c>
      <c r="J891" t="b">
        <v>0</v>
      </c>
    </row>
    <row r="892" spans="1:10" x14ac:dyDescent="0.25">
      <c r="A892">
        <v>890</v>
      </c>
      <c r="B892" t="s">
        <v>3747</v>
      </c>
      <c r="C892" s="1">
        <v>46220</v>
      </c>
      <c r="D892">
        <v>106.95815</v>
      </c>
      <c r="E892">
        <v>364.21681683000003</v>
      </c>
      <c r="F892">
        <v>371.65931664999999</v>
      </c>
      <c r="G892">
        <v>364.21681683000003</v>
      </c>
      <c r="H892">
        <v>9.2639002379268796</v>
      </c>
      <c r="J892" t="b">
        <v>0</v>
      </c>
    </row>
    <row r="893" spans="1:10" x14ac:dyDescent="0.25">
      <c r="A893">
        <v>891</v>
      </c>
      <c r="B893" t="s">
        <v>3749</v>
      </c>
      <c r="C893" s="1">
        <v>46220</v>
      </c>
      <c r="D893">
        <v>106.9693</v>
      </c>
      <c r="E893">
        <v>502.49144052999998</v>
      </c>
      <c r="F893">
        <v>503.79839279999999</v>
      </c>
      <c r="G893">
        <v>502.49144052999998</v>
      </c>
      <c r="H893">
        <v>9.4697613068674897</v>
      </c>
      <c r="J893" t="b">
        <v>0</v>
      </c>
    </row>
    <row r="894" spans="1:10" x14ac:dyDescent="0.25">
      <c r="A894">
        <v>892</v>
      </c>
      <c r="B894" t="s">
        <v>3751</v>
      </c>
      <c r="C894" s="1">
        <v>46220</v>
      </c>
      <c r="D894">
        <v>102.83105</v>
      </c>
      <c r="E894">
        <v>491.87047990999997</v>
      </c>
      <c r="F894">
        <v>493.70158402999999</v>
      </c>
      <c r="G894">
        <v>491.87047990999997</v>
      </c>
      <c r="H894">
        <v>9.22743767695321</v>
      </c>
      <c r="J894" t="b">
        <v>0</v>
      </c>
    </row>
    <row r="895" spans="1:10" x14ac:dyDescent="0.25">
      <c r="A895">
        <v>893</v>
      </c>
      <c r="B895" t="s">
        <v>3753</v>
      </c>
      <c r="C895" s="1">
        <v>46220</v>
      </c>
      <c r="D895">
        <v>92.992535000000004</v>
      </c>
      <c r="E895">
        <v>328.10321016</v>
      </c>
      <c r="F895">
        <v>329.80623817999998</v>
      </c>
      <c r="G895">
        <v>328.10321016</v>
      </c>
      <c r="H895">
        <v>7.4297364347558004</v>
      </c>
      <c r="J895" t="b">
        <v>0</v>
      </c>
    </row>
    <row r="896" spans="1:10" x14ac:dyDescent="0.25">
      <c r="A896">
        <v>894</v>
      </c>
      <c r="B896" t="s">
        <v>3755</v>
      </c>
      <c r="C896" s="1">
        <v>46220</v>
      </c>
      <c r="D896">
        <v>87.873674999999906</v>
      </c>
      <c r="E896">
        <v>618.26295281</v>
      </c>
      <c r="F896">
        <v>620.10925987999997</v>
      </c>
      <c r="G896">
        <v>618.26295281</v>
      </c>
      <c r="H896">
        <v>10.1547954827277</v>
      </c>
      <c r="J896" t="b">
        <v>0</v>
      </c>
    </row>
    <row r="897" spans="1:10" x14ac:dyDescent="0.25">
      <c r="A897">
        <v>895</v>
      </c>
      <c r="B897" t="s">
        <v>3757</v>
      </c>
      <c r="C897" s="1">
        <v>46220</v>
      </c>
      <c r="D897">
        <v>91.214939999999999</v>
      </c>
      <c r="E897">
        <v>297.50280089</v>
      </c>
      <c r="F897">
        <v>299.47068295999998</v>
      </c>
      <c r="G897">
        <v>297.50280089</v>
      </c>
      <c r="H897">
        <v>7.0432994704013803</v>
      </c>
      <c r="J897" t="b">
        <v>0</v>
      </c>
    </row>
    <row r="898" spans="1:10" x14ac:dyDescent="0.25">
      <c r="A898">
        <v>896</v>
      </c>
      <c r="B898" t="s">
        <v>3759</v>
      </c>
      <c r="C898" s="1">
        <v>46220</v>
      </c>
      <c r="D898">
        <v>98.307034999999999</v>
      </c>
      <c r="E898">
        <v>361.01011850999998</v>
      </c>
      <c r="F898">
        <v>362.94253456000001</v>
      </c>
      <c r="G898">
        <v>361.01011850999998</v>
      </c>
      <c r="H898">
        <v>7.5489436923156799</v>
      </c>
      <c r="J898" t="b">
        <v>0</v>
      </c>
    </row>
    <row r="899" spans="1:10" x14ac:dyDescent="0.25">
      <c r="A899">
        <v>897</v>
      </c>
      <c r="B899" t="s">
        <v>3761</v>
      </c>
      <c r="C899" s="1">
        <v>46220</v>
      </c>
      <c r="D899">
        <v>98.874279999999999</v>
      </c>
      <c r="E899">
        <v>246.77559201</v>
      </c>
      <c r="F899">
        <v>249.25625747999999</v>
      </c>
      <c r="G899">
        <v>246.77559201</v>
      </c>
      <c r="H899">
        <v>6.4861378906651197</v>
      </c>
      <c r="J899" t="b">
        <v>0</v>
      </c>
    </row>
    <row r="900" spans="1:10" x14ac:dyDescent="0.25">
      <c r="A900">
        <v>898</v>
      </c>
      <c r="B900" t="s">
        <v>3763</v>
      </c>
      <c r="C900" s="1">
        <v>46220</v>
      </c>
      <c r="J900" t="b">
        <v>0</v>
      </c>
    </row>
    <row r="901" spans="1:10" x14ac:dyDescent="0.25">
      <c r="A901">
        <v>899</v>
      </c>
      <c r="B901" t="s">
        <v>3765</v>
      </c>
      <c r="C901" s="1">
        <v>46220</v>
      </c>
      <c r="J901" t="b">
        <v>0</v>
      </c>
    </row>
    <row r="902" spans="1:10" x14ac:dyDescent="0.25">
      <c r="A902">
        <v>900</v>
      </c>
      <c r="B902" t="s">
        <v>3766</v>
      </c>
      <c r="C902" s="1">
        <v>46220</v>
      </c>
      <c r="J902" t="b">
        <v>0</v>
      </c>
    </row>
    <row r="903" spans="1:10" x14ac:dyDescent="0.25">
      <c r="A903">
        <v>901</v>
      </c>
      <c r="B903" t="s">
        <v>3768</v>
      </c>
      <c r="C903" s="1">
        <v>46220</v>
      </c>
      <c r="D903">
        <v>100.25</v>
      </c>
      <c r="F903">
        <v>738.58195615</v>
      </c>
      <c r="H903">
        <v>10.741973272475001</v>
      </c>
      <c r="J903" t="b">
        <v>0</v>
      </c>
    </row>
    <row r="904" spans="1:10" x14ac:dyDescent="0.25">
      <c r="A904">
        <v>902</v>
      </c>
      <c r="B904" t="s">
        <v>1860</v>
      </c>
      <c r="C904" s="1">
        <v>46220</v>
      </c>
      <c r="D904">
        <v>85.514999389648395</v>
      </c>
      <c r="E904">
        <v>924.40800000000002</v>
      </c>
      <c r="F904">
        <v>886.43100000000004</v>
      </c>
      <c r="G904">
        <v>924.40800000000002</v>
      </c>
      <c r="H904">
        <v>11.678046333971</v>
      </c>
      <c r="J904" t="b">
        <v>0</v>
      </c>
    </row>
    <row r="905" spans="1:10" x14ac:dyDescent="0.25">
      <c r="A905">
        <v>903</v>
      </c>
      <c r="B905" t="s">
        <v>1864</v>
      </c>
      <c r="C905" s="1">
        <v>46220</v>
      </c>
      <c r="D905">
        <v>85.654998779296804</v>
      </c>
      <c r="E905">
        <v>785.69658086000004</v>
      </c>
      <c r="F905">
        <v>783.63855431000002</v>
      </c>
      <c r="G905">
        <v>785.69658086000004</v>
      </c>
      <c r="H905">
        <v>10.9594845460028</v>
      </c>
      <c r="J905" t="b">
        <v>0</v>
      </c>
    </row>
    <row r="906" spans="1:10" x14ac:dyDescent="0.25">
      <c r="A906">
        <v>904</v>
      </c>
      <c r="B906" t="s">
        <v>1866</v>
      </c>
      <c r="C906" s="1">
        <v>46220</v>
      </c>
      <c r="D906">
        <v>86</v>
      </c>
      <c r="F906">
        <v>1107.32617168</v>
      </c>
      <c r="H906">
        <v>14.1685174398367</v>
      </c>
      <c r="J906" t="b">
        <v>0</v>
      </c>
    </row>
    <row r="907" spans="1:10" x14ac:dyDescent="0.25">
      <c r="A907">
        <v>905</v>
      </c>
      <c r="B907" t="s">
        <v>1868</v>
      </c>
      <c r="C907" s="1">
        <v>46220</v>
      </c>
      <c r="D907">
        <v>83.5</v>
      </c>
      <c r="F907">
        <v>1273.2356273099999</v>
      </c>
      <c r="H907">
        <v>16.962071858407299</v>
      </c>
      <c r="J907" t="b">
        <v>0</v>
      </c>
    </row>
    <row r="908" spans="1:10" x14ac:dyDescent="0.25">
      <c r="A908">
        <v>906</v>
      </c>
      <c r="B908" t="s">
        <v>1870</v>
      </c>
      <c r="C908" s="1">
        <v>46220</v>
      </c>
      <c r="D908">
        <v>86</v>
      </c>
      <c r="F908">
        <v>1066.6187492199999</v>
      </c>
      <c r="H908">
        <v>13.5027615690934</v>
      </c>
      <c r="J908" t="b">
        <v>0</v>
      </c>
    </row>
    <row r="909" spans="1:10" x14ac:dyDescent="0.25">
      <c r="A909">
        <v>907</v>
      </c>
      <c r="B909" t="s">
        <v>1871</v>
      </c>
      <c r="C909" s="1">
        <v>46220</v>
      </c>
      <c r="J909" t="b">
        <v>0</v>
      </c>
    </row>
    <row r="910" spans="1:10" x14ac:dyDescent="0.25">
      <c r="A910">
        <v>908</v>
      </c>
      <c r="B910" t="s">
        <v>1485</v>
      </c>
      <c r="C910" s="1">
        <v>46220</v>
      </c>
      <c r="J910" t="b">
        <v>0</v>
      </c>
    </row>
    <row r="911" spans="1:10" x14ac:dyDescent="0.25">
      <c r="A911">
        <v>909</v>
      </c>
      <c r="B911" t="s">
        <v>1491</v>
      </c>
      <c r="C911" s="1">
        <v>46220</v>
      </c>
      <c r="J911" t="b">
        <v>0</v>
      </c>
    </row>
    <row r="912" spans="1:10" x14ac:dyDescent="0.25">
      <c r="A912">
        <v>910</v>
      </c>
      <c r="B912" t="s">
        <v>1493</v>
      </c>
      <c r="C912" s="1">
        <v>46220</v>
      </c>
      <c r="J912" t="b">
        <v>0</v>
      </c>
    </row>
    <row r="913" spans="1:10" x14ac:dyDescent="0.25">
      <c r="A913">
        <v>911</v>
      </c>
      <c r="B913" t="s">
        <v>1495</v>
      </c>
      <c r="C913" s="1">
        <v>46220</v>
      </c>
      <c r="D913">
        <v>78.282074999999907</v>
      </c>
      <c r="E913">
        <v>1437.6224726299999</v>
      </c>
      <c r="F913">
        <v>1439.81075035</v>
      </c>
      <c r="G913">
        <v>1437.6224726299999</v>
      </c>
      <c r="H913">
        <v>18.608812185927</v>
      </c>
      <c r="J913" t="b">
        <v>0</v>
      </c>
    </row>
    <row r="914" spans="1:10" x14ac:dyDescent="0.25">
      <c r="A914">
        <v>912</v>
      </c>
      <c r="B914" t="s">
        <v>1497</v>
      </c>
      <c r="C914" s="1">
        <v>46220</v>
      </c>
      <c r="D914">
        <v>87</v>
      </c>
      <c r="F914">
        <v>906.63939276999997</v>
      </c>
      <c r="H914">
        <v>13.106569505085499</v>
      </c>
      <c r="J914" t="b">
        <v>0</v>
      </c>
    </row>
    <row r="915" spans="1:10" x14ac:dyDescent="0.25">
      <c r="A915">
        <v>913</v>
      </c>
      <c r="B915" t="s">
        <v>1873</v>
      </c>
      <c r="C915" s="1">
        <v>46220</v>
      </c>
      <c r="J915" t="b">
        <v>0</v>
      </c>
    </row>
    <row r="916" spans="1:10" x14ac:dyDescent="0.25">
      <c r="A916">
        <v>914</v>
      </c>
      <c r="B916" t="s">
        <v>1877</v>
      </c>
      <c r="C916" s="1">
        <v>46220</v>
      </c>
      <c r="J916" t="b">
        <v>0</v>
      </c>
    </row>
    <row r="917" spans="1:10" x14ac:dyDescent="0.25">
      <c r="A917">
        <v>915</v>
      </c>
      <c r="B917" t="s">
        <v>1879</v>
      </c>
      <c r="C917" s="1">
        <v>46220</v>
      </c>
      <c r="D917">
        <v>91.1875</v>
      </c>
      <c r="F917">
        <v>776.84529637000003</v>
      </c>
      <c r="H917">
        <v>11.2000179091515</v>
      </c>
      <c r="J917" t="b">
        <v>0</v>
      </c>
    </row>
    <row r="918" spans="1:10" x14ac:dyDescent="0.25">
      <c r="A918">
        <v>916</v>
      </c>
      <c r="B918" t="s">
        <v>1880</v>
      </c>
      <c r="C918" s="1">
        <v>46220</v>
      </c>
      <c r="J918" t="b">
        <v>0</v>
      </c>
    </row>
    <row r="919" spans="1:10" x14ac:dyDescent="0.25">
      <c r="A919">
        <v>917</v>
      </c>
      <c r="B919" t="s">
        <v>1882</v>
      </c>
      <c r="C919" s="1">
        <v>46220</v>
      </c>
      <c r="D919">
        <v>61.5</v>
      </c>
      <c r="F919">
        <v>3392.0237990700002</v>
      </c>
      <c r="H919">
        <v>32.695281376152202</v>
      </c>
      <c r="J919" t="b">
        <v>0</v>
      </c>
    </row>
    <row r="920" spans="1:10" x14ac:dyDescent="0.25">
      <c r="A920">
        <v>918</v>
      </c>
      <c r="B920" t="s">
        <v>1884</v>
      </c>
      <c r="C920" s="1">
        <v>46220</v>
      </c>
      <c r="D920">
        <v>66.75</v>
      </c>
      <c r="F920">
        <v>3706.82541128</v>
      </c>
      <c r="H920">
        <v>40.451946684258402</v>
      </c>
      <c r="J920" t="b">
        <v>0</v>
      </c>
    </row>
    <row r="921" spans="1:10" x14ac:dyDescent="0.25">
      <c r="A921">
        <v>919</v>
      </c>
      <c r="B921" t="s">
        <v>1885</v>
      </c>
      <c r="C921" s="1">
        <v>46220</v>
      </c>
      <c r="D921">
        <v>93</v>
      </c>
      <c r="F921">
        <v>640.81990451000001</v>
      </c>
      <c r="H921">
        <v>10.234239455946399</v>
      </c>
      <c r="J921" t="b">
        <v>0</v>
      </c>
    </row>
    <row r="922" spans="1:10" x14ac:dyDescent="0.25">
      <c r="A922">
        <v>920</v>
      </c>
      <c r="B922" t="s">
        <v>3519</v>
      </c>
      <c r="C922" s="1">
        <v>46220</v>
      </c>
      <c r="D922">
        <v>33.5</v>
      </c>
      <c r="F922">
        <v>4562.3611772800004</v>
      </c>
      <c r="H922">
        <v>49.5196653530001</v>
      </c>
      <c r="J922" t="b">
        <v>0</v>
      </c>
    </row>
    <row r="923" spans="1:10" x14ac:dyDescent="0.25">
      <c r="A923">
        <v>921</v>
      </c>
      <c r="B923" t="s">
        <v>3524</v>
      </c>
      <c r="C923" s="1">
        <v>46220</v>
      </c>
      <c r="D923">
        <v>68.5</v>
      </c>
      <c r="F923">
        <v>1927.7621755299999</v>
      </c>
      <c r="H923">
        <v>23.235929723060401</v>
      </c>
      <c r="J923" t="b">
        <v>0</v>
      </c>
    </row>
    <row r="924" spans="1:10" x14ac:dyDescent="0.25">
      <c r="A924">
        <v>922</v>
      </c>
      <c r="B924" t="s">
        <v>3526</v>
      </c>
      <c r="C924" s="1">
        <v>46220</v>
      </c>
      <c r="D924">
        <v>78.25</v>
      </c>
      <c r="F924">
        <v>1013.90721265</v>
      </c>
      <c r="H924">
        <v>14.271295093931201</v>
      </c>
      <c r="J924" t="b">
        <v>0</v>
      </c>
    </row>
    <row r="925" spans="1:10" x14ac:dyDescent="0.25">
      <c r="A925">
        <v>923</v>
      </c>
      <c r="B925" t="s">
        <v>3532</v>
      </c>
      <c r="C925" s="1">
        <v>46220</v>
      </c>
      <c r="D925">
        <v>83.375</v>
      </c>
      <c r="F925">
        <v>952.80988313</v>
      </c>
      <c r="H925">
        <v>11.494092157125401</v>
      </c>
      <c r="J925" t="b">
        <v>0</v>
      </c>
    </row>
    <row r="926" spans="1:10" x14ac:dyDescent="0.25">
      <c r="A926">
        <v>924</v>
      </c>
      <c r="B926" t="s">
        <v>3534</v>
      </c>
      <c r="C926" s="1">
        <v>46220</v>
      </c>
      <c r="D926">
        <v>79.938999999999993</v>
      </c>
      <c r="F926">
        <v>1059.93126611</v>
      </c>
      <c r="H926">
        <v>14.5813164766877</v>
      </c>
      <c r="J926" t="b">
        <v>0</v>
      </c>
    </row>
    <row r="927" spans="1:10" x14ac:dyDescent="0.25">
      <c r="A927">
        <v>925</v>
      </c>
      <c r="B927" t="s">
        <v>1910</v>
      </c>
      <c r="C927" s="1">
        <v>46220</v>
      </c>
      <c r="D927">
        <v>55.5</v>
      </c>
      <c r="F927">
        <v>2871.9738941999999</v>
      </c>
      <c r="H927">
        <v>32.415851984863899</v>
      </c>
      <c r="J927" t="b">
        <v>0</v>
      </c>
    </row>
    <row r="928" spans="1:10" x14ac:dyDescent="0.25">
      <c r="A928">
        <v>926</v>
      </c>
      <c r="B928" t="s">
        <v>1914</v>
      </c>
      <c r="C928" s="1">
        <v>46220</v>
      </c>
      <c r="D928">
        <v>52.5</v>
      </c>
      <c r="F928">
        <v>2410.63801401</v>
      </c>
      <c r="H928">
        <v>28.180508944205901</v>
      </c>
      <c r="J928" t="b">
        <v>0</v>
      </c>
    </row>
    <row r="929" spans="1:10" x14ac:dyDescent="0.25">
      <c r="A929">
        <v>927</v>
      </c>
      <c r="B929" t="s">
        <v>1915</v>
      </c>
      <c r="C929" s="1">
        <v>46220</v>
      </c>
      <c r="D929">
        <v>62.5</v>
      </c>
      <c r="J929" t="b">
        <v>0</v>
      </c>
    </row>
    <row r="930" spans="1:10" x14ac:dyDescent="0.25">
      <c r="A930">
        <v>928</v>
      </c>
      <c r="B930" t="s">
        <v>3536</v>
      </c>
      <c r="C930" s="1">
        <v>46220</v>
      </c>
      <c r="D930">
        <v>43.931165</v>
      </c>
      <c r="E930">
        <v>7246.8692489300001</v>
      </c>
      <c r="F930">
        <v>7250.5075815700002</v>
      </c>
      <c r="G930">
        <v>7246.8692489300001</v>
      </c>
      <c r="H930">
        <v>77.036843622460495</v>
      </c>
      <c r="J930" t="b">
        <v>0</v>
      </c>
    </row>
    <row r="931" spans="1:10" x14ac:dyDescent="0.25">
      <c r="A931">
        <v>929</v>
      </c>
      <c r="B931" t="s">
        <v>3540</v>
      </c>
      <c r="C931" s="1">
        <v>46220</v>
      </c>
      <c r="D931">
        <v>21.149830000000001</v>
      </c>
      <c r="E931">
        <v>6354.3340050300003</v>
      </c>
      <c r="F931">
        <v>6355.8909059699999</v>
      </c>
      <c r="G931">
        <v>6354.3340050300003</v>
      </c>
      <c r="H931">
        <v>67.334422020382405</v>
      </c>
      <c r="J931" t="b">
        <v>0</v>
      </c>
    </row>
    <row r="932" spans="1:10" x14ac:dyDescent="0.25">
      <c r="A932">
        <v>930</v>
      </c>
      <c r="B932" t="s">
        <v>3542</v>
      </c>
      <c r="C932" s="1">
        <v>46220</v>
      </c>
      <c r="D932">
        <v>45.5</v>
      </c>
      <c r="F932">
        <v>2167.09099156</v>
      </c>
      <c r="H932">
        <v>24.393911403603799</v>
      </c>
      <c r="J932" t="b">
        <v>0</v>
      </c>
    </row>
    <row r="933" spans="1:10" x14ac:dyDescent="0.25">
      <c r="A933">
        <v>931</v>
      </c>
      <c r="B933" t="s">
        <v>3544</v>
      </c>
      <c r="C933" s="1">
        <v>46220</v>
      </c>
      <c r="D933">
        <v>48</v>
      </c>
      <c r="F933">
        <v>2826.6767589800002</v>
      </c>
      <c r="H933">
        <v>32.109047379344702</v>
      </c>
      <c r="J933" t="b">
        <v>0</v>
      </c>
    </row>
    <row r="934" spans="1:10" x14ac:dyDescent="0.25">
      <c r="A934">
        <v>932</v>
      </c>
      <c r="B934" t="s">
        <v>3546</v>
      </c>
      <c r="C934" s="1">
        <v>46220</v>
      </c>
      <c r="D934">
        <v>48</v>
      </c>
      <c r="F934">
        <v>2761.5040322200002</v>
      </c>
      <c r="H934">
        <v>31.443576654419299</v>
      </c>
      <c r="J934" t="b">
        <v>0</v>
      </c>
    </row>
    <row r="935" spans="1:10" x14ac:dyDescent="0.25">
      <c r="A935">
        <v>933</v>
      </c>
      <c r="B935" t="s">
        <v>3548</v>
      </c>
      <c r="C935" s="1">
        <v>46220</v>
      </c>
      <c r="D935">
        <v>99.25</v>
      </c>
      <c r="F935">
        <v>600.64664949999997</v>
      </c>
      <c r="H935">
        <v>8.8404760956094197</v>
      </c>
      <c r="J935" t="b">
        <v>0</v>
      </c>
    </row>
    <row r="936" spans="1:10" x14ac:dyDescent="0.25">
      <c r="A936">
        <v>934</v>
      </c>
      <c r="B936" t="s">
        <v>3550</v>
      </c>
      <c r="C936" s="1">
        <v>46220</v>
      </c>
      <c r="D936">
        <v>100.125</v>
      </c>
      <c r="F936">
        <v>696.46274550999999</v>
      </c>
      <c r="H936">
        <v>10.8664411939901</v>
      </c>
      <c r="J936" t="b">
        <v>0</v>
      </c>
    </row>
    <row r="937" spans="1:10" x14ac:dyDescent="0.25">
      <c r="A937">
        <v>935</v>
      </c>
      <c r="B937" t="s">
        <v>1932</v>
      </c>
      <c r="C937" s="1">
        <v>46220</v>
      </c>
      <c r="D937">
        <v>93.75</v>
      </c>
      <c r="F937">
        <v>556.72953999000003</v>
      </c>
      <c r="H937">
        <v>9.4236063785769009</v>
      </c>
      <c r="J937" t="b">
        <v>0</v>
      </c>
    </row>
    <row r="938" spans="1:10" x14ac:dyDescent="0.25">
      <c r="A938">
        <v>936</v>
      </c>
      <c r="B938" t="s">
        <v>1946</v>
      </c>
      <c r="C938" s="1">
        <v>46220</v>
      </c>
      <c r="D938">
        <v>85.5</v>
      </c>
      <c r="F938">
        <v>2888.4888226799999</v>
      </c>
      <c r="H938">
        <v>32.483817018431303</v>
      </c>
      <c r="J938" t="b">
        <v>0</v>
      </c>
    </row>
    <row r="939" spans="1:10" x14ac:dyDescent="0.25">
      <c r="A939">
        <v>937</v>
      </c>
      <c r="B939" t="s">
        <v>1936</v>
      </c>
      <c r="C939" s="1">
        <v>46220</v>
      </c>
      <c r="J939" t="b">
        <v>0</v>
      </c>
    </row>
    <row r="940" spans="1:10" x14ac:dyDescent="0.25">
      <c r="A940">
        <v>938</v>
      </c>
      <c r="B940" t="s">
        <v>1940</v>
      </c>
      <c r="C940" s="1">
        <v>46220</v>
      </c>
      <c r="D940">
        <v>67.875</v>
      </c>
      <c r="J940" t="b">
        <v>0</v>
      </c>
    </row>
    <row r="941" spans="1:10" x14ac:dyDescent="0.25">
      <c r="A941">
        <v>939</v>
      </c>
      <c r="B941" t="s">
        <v>1942</v>
      </c>
      <c r="C941" s="1">
        <v>46220</v>
      </c>
      <c r="J941" t="b">
        <v>0</v>
      </c>
    </row>
    <row r="942" spans="1:10" x14ac:dyDescent="0.25">
      <c r="A942">
        <v>940</v>
      </c>
      <c r="B942" t="s">
        <v>1944</v>
      </c>
      <c r="C942" s="1">
        <v>46220</v>
      </c>
      <c r="D942">
        <v>68.5</v>
      </c>
      <c r="F942">
        <v>5874.6333507199997</v>
      </c>
      <c r="H942">
        <v>41.268409613617301</v>
      </c>
      <c r="J942" t="b">
        <v>0</v>
      </c>
    </row>
    <row r="943" spans="1:10" x14ac:dyDescent="0.25">
      <c r="A943">
        <v>941</v>
      </c>
      <c r="B943" t="s">
        <v>1950</v>
      </c>
      <c r="C943" s="1">
        <v>46220</v>
      </c>
      <c r="D943">
        <v>94.375</v>
      </c>
      <c r="F943">
        <v>669.95241785999997</v>
      </c>
      <c r="H943">
        <v>10.7229819604455</v>
      </c>
      <c r="J943" t="b">
        <v>0</v>
      </c>
    </row>
    <row r="944" spans="1:10" x14ac:dyDescent="0.25">
      <c r="A944">
        <v>942</v>
      </c>
      <c r="B944" t="s">
        <v>1954</v>
      </c>
      <c r="C944" s="1">
        <v>46220</v>
      </c>
      <c r="D944">
        <v>98</v>
      </c>
      <c r="F944">
        <v>709.01700413000003</v>
      </c>
      <c r="H944">
        <v>10.976519055978001</v>
      </c>
      <c r="J944" t="b">
        <v>0</v>
      </c>
    </row>
    <row r="945" spans="1:10" x14ac:dyDescent="0.25">
      <c r="A945">
        <v>943</v>
      </c>
      <c r="B945" t="s">
        <v>1956</v>
      </c>
      <c r="C945" s="1">
        <v>46220</v>
      </c>
      <c r="D945">
        <v>56</v>
      </c>
      <c r="F945">
        <v>2590.852198</v>
      </c>
      <c r="H945">
        <v>30.116175471738298</v>
      </c>
      <c r="J945" t="b">
        <v>0</v>
      </c>
    </row>
    <row r="946" spans="1:10" x14ac:dyDescent="0.25">
      <c r="A946">
        <v>944</v>
      </c>
      <c r="B946" t="s">
        <v>1958</v>
      </c>
      <c r="C946" s="1">
        <v>46220</v>
      </c>
      <c r="D946">
        <v>56</v>
      </c>
      <c r="F946">
        <v>3419.23659606</v>
      </c>
      <c r="H946">
        <v>37.675396587717202</v>
      </c>
      <c r="J946" t="b">
        <v>0</v>
      </c>
    </row>
    <row r="947" spans="1:10" x14ac:dyDescent="0.25">
      <c r="A947">
        <v>945</v>
      </c>
      <c r="B947" t="s">
        <v>1960</v>
      </c>
      <c r="C947" s="1">
        <v>46220</v>
      </c>
      <c r="D947">
        <v>7.5</v>
      </c>
      <c r="F947">
        <v>13898.76203828</v>
      </c>
      <c r="H947">
        <v>143.34686128422601</v>
      </c>
      <c r="J947" t="b">
        <v>0</v>
      </c>
    </row>
    <row r="948" spans="1:10" x14ac:dyDescent="0.25">
      <c r="A948">
        <v>946</v>
      </c>
      <c r="B948" t="s">
        <v>1962</v>
      </c>
      <c r="C948" s="1">
        <v>46220</v>
      </c>
      <c r="D948">
        <v>7.5</v>
      </c>
      <c r="F948">
        <v>14497.75309342</v>
      </c>
      <c r="H948">
        <v>148.97199421841199</v>
      </c>
      <c r="J948" t="b">
        <v>0</v>
      </c>
    </row>
    <row r="949" spans="1:10" x14ac:dyDescent="0.25">
      <c r="A949">
        <v>947</v>
      </c>
      <c r="B949" t="s">
        <v>1964</v>
      </c>
      <c r="C949" s="1">
        <v>46220</v>
      </c>
      <c r="D949">
        <v>15.904135</v>
      </c>
      <c r="F949">
        <v>16340.351152069999</v>
      </c>
      <c r="H949">
        <v>114.595810649916</v>
      </c>
      <c r="J949" t="b">
        <v>0</v>
      </c>
    </row>
    <row r="950" spans="1:10" x14ac:dyDescent="0.25">
      <c r="A950">
        <v>948</v>
      </c>
      <c r="B950" t="s">
        <v>1966</v>
      </c>
      <c r="C950" s="1">
        <v>46220</v>
      </c>
      <c r="D950">
        <v>42.778279999999903</v>
      </c>
      <c r="F950">
        <v>9767.0865886699994</v>
      </c>
      <c r="H950">
        <v>65.119543228537907</v>
      </c>
      <c r="J950" t="b">
        <v>0</v>
      </c>
    </row>
    <row r="951" spans="1:10" x14ac:dyDescent="0.25">
      <c r="A951">
        <v>949</v>
      </c>
      <c r="B951" t="s">
        <v>1917</v>
      </c>
      <c r="C951" s="1">
        <v>46220</v>
      </c>
      <c r="D951">
        <v>67.621679999999998</v>
      </c>
      <c r="E951">
        <v>1400.8789385099999</v>
      </c>
      <c r="F951">
        <v>1401.3992487999999</v>
      </c>
      <c r="G951">
        <v>1400.8789385099999</v>
      </c>
      <c r="H951">
        <v>18.072007798485199</v>
      </c>
      <c r="J951" t="b">
        <v>0</v>
      </c>
    </row>
    <row r="952" spans="1:10" x14ac:dyDescent="0.25">
      <c r="A952">
        <v>950</v>
      </c>
      <c r="B952" t="s">
        <v>1921</v>
      </c>
      <c r="C952" s="1">
        <v>46220</v>
      </c>
      <c r="D952">
        <v>67.388689999999997</v>
      </c>
      <c r="E952">
        <v>1404.60234642</v>
      </c>
      <c r="F952">
        <v>1405.1213459400001</v>
      </c>
      <c r="G952">
        <v>1404.60234642</v>
      </c>
      <c r="H952">
        <v>18.904210918717101</v>
      </c>
      <c r="J952" t="b">
        <v>0</v>
      </c>
    </row>
    <row r="953" spans="1:10" x14ac:dyDescent="0.25">
      <c r="A953">
        <v>951</v>
      </c>
      <c r="B953" t="s">
        <v>1922</v>
      </c>
      <c r="C953" s="1">
        <v>46220</v>
      </c>
      <c r="D953">
        <v>95.565860000000001</v>
      </c>
      <c r="E953">
        <v>623.00916280000001</v>
      </c>
      <c r="F953">
        <v>624.37921722999999</v>
      </c>
      <c r="G953">
        <v>623.00916280000001</v>
      </c>
      <c r="H953">
        <v>9.9951408924088394</v>
      </c>
      <c r="J953" t="b">
        <v>0</v>
      </c>
    </row>
    <row r="954" spans="1:10" x14ac:dyDescent="0.25">
      <c r="A954">
        <v>952</v>
      </c>
      <c r="B954" t="s">
        <v>1924</v>
      </c>
      <c r="C954" s="1">
        <v>46220</v>
      </c>
      <c r="D954">
        <v>58.758355000000002</v>
      </c>
      <c r="E954">
        <v>1979.7701242099999</v>
      </c>
      <c r="F954">
        <v>1981.6104231700001</v>
      </c>
      <c r="G954">
        <v>1979.7701242099999</v>
      </c>
      <c r="H954">
        <v>23.654361891428199</v>
      </c>
      <c r="J954" t="b">
        <v>0</v>
      </c>
    </row>
    <row r="955" spans="1:10" x14ac:dyDescent="0.25">
      <c r="A955">
        <v>953</v>
      </c>
      <c r="B955" t="s">
        <v>1926</v>
      </c>
      <c r="C955" s="1">
        <v>46220</v>
      </c>
      <c r="D955">
        <v>78.17586</v>
      </c>
      <c r="E955">
        <v>1064.6075245899999</v>
      </c>
      <c r="F955">
        <v>1067.77527308</v>
      </c>
      <c r="G955">
        <v>1064.6075245899999</v>
      </c>
      <c r="H955">
        <v>14.7432765111179</v>
      </c>
      <c r="J955" t="b">
        <v>0</v>
      </c>
    </row>
    <row r="956" spans="1:10" x14ac:dyDescent="0.25">
      <c r="A956">
        <v>954</v>
      </c>
      <c r="B956" t="s">
        <v>1928</v>
      </c>
      <c r="C956" s="1">
        <v>46220</v>
      </c>
      <c r="D956">
        <v>95.5</v>
      </c>
      <c r="F956">
        <v>587.90490900999998</v>
      </c>
      <c r="H956">
        <v>9.8951769420416298</v>
      </c>
      <c r="J956" t="b">
        <v>0</v>
      </c>
    </row>
    <row r="957" spans="1:10" x14ac:dyDescent="0.25">
      <c r="A957">
        <v>955</v>
      </c>
      <c r="B957" t="s">
        <v>1930</v>
      </c>
      <c r="C957" s="1">
        <v>46220</v>
      </c>
      <c r="J957" t="b">
        <v>0</v>
      </c>
    </row>
    <row r="958" spans="1:10" x14ac:dyDescent="0.25">
      <c r="A958">
        <v>956</v>
      </c>
      <c r="B958" t="s">
        <v>1291</v>
      </c>
      <c r="C958" s="1">
        <v>46220</v>
      </c>
      <c r="D958">
        <v>97.868375</v>
      </c>
      <c r="E958">
        <v>566.75471904999995</v>
      </c>
      <c r="F958">
        <v>568.38708506</v>
      </c>
      <c r="G958">
        <v>566.75471904999995</v>
      </c>
      <c r="H958">
        <v>9.8180599843750596</v>
      </c>
      <c r="J958" t="b">
        <v>0</v>
      </c>
    </row>
    <row r="959" spans="1:10" x14ac:dyDescent="0.25">
      <c r="A959">
        <v>957</v>
      </c>
      <c r="B959" t="s">
        <v>1295</v>
      </c>
      <c r="C959" s="1">
        <v>46220</v>
      </c>
      <c r="D959">
        <v>84.853880000000004</v>
      </c>
      <c r="E959">
        <v>635.36307184999998</v>
      </c>
      <c r="F959">
        <v>636.28351158999999</v>
      </c>
      <c r="G959">
        <v>635.36307184999998</v>
      </c>
      <c r="H959">
        <v>10.6371731466967</v>
      </c>
      <c r="J959" t="b">
        <v>0</v>
      </c>
    </row>
    <row r="960" spans="1:10" x14ac:dyDescent="0.25">
      <c r="A960">
        <v>958</v>
      </c>
      <c r="B960" t="s">
        <v>1297</v>
      </c>
      <c r="C960" s="1">
        <v>46220</v>
      </c>
      <c r="D960">
        <v>87.980019999999996</v>
      </c>
      <c r="E960">
        <v>662.23618729999998</v>
      </c>
      <c r="F960">
        <v>662.90739729999996</v>
      </c>
      <c r="G960">
        <v>662.23618729999998</v>
      </c>
      <c r="H960">
        <v>10.905205728831801</v>
      </c>
      <c r="J960" t="b">
        <v>0</v>
      </c>
    </row>
    <row r="961" spans="1:10" x14ac:dyDescent="0.25">
      <c r="A961">
        <v>959</v>
      </c>
      <c r="B961" t="s">
        <v>1299</v>
      </c>
      <c r="C961" s="1">
        <v>46220</v>
      </c>
      <c r="D961">
        <v>95.529435000000007</v>
      </c>
      <c r="E961">
        <v>422.49563064</v>
      </c>
      <c r="F961">
        <v>424.29091037000001</v>
      </c>
      <c r="G961">
        <v>422.49563064</v>
      </c>
      <c r="H961">
        <v>8.2731754347368707</v>
      </c>
      <c r="J961" t="b">
        <v>0</v>
      </c>
    </row>
    <row r="962" spans="1:10" x14ac:dyDescent="0.25">
      <c r="A962">
        <v>960</v>
      </c>
      <c r="B962" t="s">
        <v>1301</v>
      </c>
      <c r="C962" s="1">
        <v>46220</v>
      </c>
      <c r="D962">
        <v>98.919725</v>
      </c>
      <c r="E962">
        <v>293.96364554000002</v>
      </c>
      <c r="F962">
        <v>296.85265198000002</v>
      </c>
      <c r="G962">
        <v>293.96364554000002</v>
      </c>
      <c r="H962">
        <v>7.0025173247395598</v>
      </c>
      <c r="J962" t="b">
        <v>0</v>
      </c>
    </row>
    <row r="963" spans="1:10" x14ac:dyDescent="0.25">
      <c r="A963">
        <v>961</v>
      </c>
      <c r="B963" t="s">
        <v>3769</v>
      </c>
      <c r="C963" s="1">
        <v>46220</v>
      </c>
      <c r="D963">
        <v>95.683949999999996</v>
      </c>
      <c r="E963">
        <v>557.55257800000004</v>
      </c>
      <c r="F963">
        <v>559.84169616999998</v>
      </c>
      <c r="G963">
        <v>557.55257800000004</v>
      </c>
      <c r="H963">
        <v>10.083592840157401</v>
      </c>
      <c r="J963" t="b">
        <v>1</v>
      </c>
    </row>
    <row r="964" spans="1:10" x14ac:dyDescent="0.25">
      <c r="A964">
        <v>962</v>
      </c>
      <c r="B964" t="s">
        <v>3773</v>
      </c>
      <c r="C964" s="1">
        <v>46220</v>
      </c>
      <c r="D964">
        <v>102.65074999999899</v>
      </c>
      <c r="E964">
        <v>-63.207109119999998</v>
      </c>
      <c r="F964">
        <v>-54.301468360000001</v>
      </c>
      <c r="G964">
        <v>-63.207109119999998</v>
      </c>
      <c r="H964">
        <v>9.6511972874718204</v>
      </c>
      <c r="J964" t="b">
        <v>0</v>
      </c>
    </row>
    <row r="965" spans="1:10" x14ac:dyDescent="0.25">
      <c r="A965">
        <v>963</v>
      </c>
      <c r="B965" t="s">
        <v>3775</v>
      </c>
      <c r="C965" s="1">
        <v>46220</v>
      </c>
      <c r="D965">
        <v>108.14349999999899</v>
      </c>
      <c r="E965">
        <v>-65.370039800000001</v>
      </c>
      <c r="F965">
        <v>-57.694077800000002</v>
      </c>
      <c r="G965">
        <v>-65.370039800000001</v>
      </c>
      <c r="H965">
        <v>7.9592197204846702</v>
      </c>
      <c r="J965" t="b">
        <v>0</v>
      </c>
    </row>
    <row r="966" spans="1:10" x14ac:dyDescent="0.25">
      <c r="A966">
        <v>964</v>
      </c>
      <c r="B966" t="s">
        <v>3777</v>
      </c>
      <c r="C966" s="1">
        <v>46220</v>
      </c>
      <c r="D966">
        <v>286.48651123046801</v>
      </c>
      <c r="F966">
        <v>-2423.72818598</v>
      </c>
      <c r="H966">
        <v>-20.379133271936901</v>
      </c>
      <c r="I966">
        <v>26248</v>
      </c>
      <c r="J966" t="b">
        <v>0</v>
      </c>
    </row>
    <row r="967" spans="1:10" x14ac:dyDescent="0.25">
      <c r="A967">
        <v>965</v>
      </c>
      <c r="B967" t="s">
        <v>3779</v>
      </c>
      <c r="C967" s="1">
        <v>46220</v>
      </c>
      <c r="D967">
        <v>101.51455</v>
      </c>
      <c r="F967">
        <v>163.68440358000001</v>
      </c>
      <c r="H967">
        <v>6.3710644126402096</v>
      </c>
      <c r="J967" t="b">
        <v>0</v>
      </c>
    </row>
    <row r="968" spans="1:10" x14ac:dyDescent="0.25">
      <c r="A968">
        <v>966</v>
      </c>
      <c r="B968" t="s">
        <v>3781</v>
      </c>
      <c r="C968" s="1">
        <v>46220</v>
      </c>
      <c r="D968">
        <v>99.103920000000002</v>
      </c>
      <c r="E968">
        <v>392.92657064999997</v>
      </c>
      <c r="F968">
        <v>-363.6344206</v>
      </c>
      <c r="G968">
        <v>392.92657064999997</v>
      </c>
      <c r="H968">
        <v>7.7786300108039903</v>
      </c>
      <c r="J968" t="b">
        <v>1</v>
      </c>
    </row>
    <row r="969" spans="1:10" x14ac:dyDescent="0.25">
      <c r="A969">
        <v>967</v>
      </c>
      <c r="B969" t="s">
        <v>3783</v>
      </c>
      <c r="C969" s="1">
        <v>46220</v>
      </c>
      <c r="D969">
        <v>98.809184999999999</v>
      </c>
      <c r="E969">
        <v>1853.6384916500001</v>
      </c>
      <c r="F969">
        <v>1770.07194435</v>
      </c>
      <c r="G969">
        <v>1853.6384916500001</v>
      </c>
      <c r="H969">
        <v>23.414729660684198</v>
      </c>
      <c r="J969" t="b">
        <v>0</v>
      </c>
    </row>
    <row r="970" spans="1:10" x14ac:dyDescent="0.25">
      <c r="A970">
        <v>968</v>
      </c>
      <c r="B970" t="s">
        <v>3785</v>
      </c>
      <c r="C970" s="1">
        <v>46220</v>
      </c>
      <c r="D970">
        <v>47.831975</v>
      </c>
      <c r="F970">
        <v>98486.024278319994</v>
      </c>
      <c r="H970">
        <v>3294.9444843275201</v>
      </c>
      <c r="J970" t="b">
        <v>0</v>
      </c>
    </row>
    <row r="971" spans="1:10" x14ac:dyDescent="0.25">
      <c r="A971">
        <v>969</v>
      </c>
      <c r="B971" t="s">
        <v>3787</v>
      </c>
      <c r="C971" s="1">
        <v>46220</v>
      </c>
      <c r="D971">
        <v>77.321875000000006</v>
      </c>
      <c r="E971">
        <v>79506.544860990005</v>
      </c>
      <c r="F971">
        <v>77642.503395260006</v>
      </c>
      <c r="G971">
        <v>79506.544860990005</v>
      </c>
      <c r="H971">
        <v>997.79241640236899</v>
      </c>
      <c r="J971" t="b">
        <v>0</v>
      </c>
    </row>
    <row r="972" spans="1:10" x14ac:dyDescent="0.25">
      <c r="A972">
        <v>970</v>
      </c>
      <c r="B972" t="s">
        <v>3789</v>
      </c>
      <c r="C972" s="1">
        <v>46220</v>
      </c>
      <c r="D972">
        <v>99.103920000000002</v>
      </c>
      <c r="E972">
        <v>392.92657064999997</v>
      </c>
      <c r="F972">
        <v>-363.6344206</v>
      </c>
      <c r="G972">
        <v>392.92657064999997</v>
      </c>
      <c r="H972">
        <v>7.7786300108039903</v>
      </c>
      <c r="J972" t="b">
        <v>1</v>
      </c>
    </row>
    <row r="973" spans="1:10" x14ac:dyDescent="0.25">
      <c r="A973">
        <v>971</v>
      </c>
      <c r="B973" t="s">
        <v>3790</v>
      </c>
      <c r="C973" s="1">
        <v>46220</v>
      </c>
      <c r="D973">
        <v>96.692374999999998</v>
      </c>
      <c r="E973">
        <v>314.20637281</v>
      </c>
      <c r="F973">
        <v>316.58370709000002</v>
      </c>
      <c r="G973">
        <v>314.20637281</v>
      </c>
      <c r="H973">
        <v>7.3647972492005804</v>
      </c>
      <c r="J973" t="b">
        <v>1</v>
      </c>
    </row>
    <row r="974" spans="1:10" x14ac:dyDescent="0.25">
      <c r="A974">
        <v>972</v>
      </c>
      <c r="B974" t="s">
        <v>3792</v>
      </c>
      <c r="C974" s="1">
        <v>46220</v>
      </c>
      <c r="D974">
        <v>99.469584999999995</v>
      </c>
      <c r="E974">
        <v>271.97769627000002</v>
      </c>
      <c r="F974">
        <v>277.66352995</v>
      </c>
      <c r="G974">
        <v>271.97769627000002</v>
      </c>
      <c r="H974">
        <v>7.0594029110388803</v>
      </c>
      <c r="J974" t="b">
        <v>1</v>
      </c>
    </row>
    <row r="975" spans="1:10" x14ac:dyDescent="0.25">
      <c r="A975">
        <v>973</v>
      </c>
      <c r="B975" t="s">
        <v>3794</v>
      </c>
      <c r="C975" s="1">
        <v>46220</v>
      </c>
      <c r="D975">
        <v>90.603115000000003</v>
      </c>
      <c r="E975">
        <v>496.82758717000002</v>
      </c>
      <c r="F975">
        <v>499.17462971999998</v>
      </c>
      <c r="G975">
        <v>496.82758717000002</v>
      </c>
      <c r="H975">
        <v>8.9294072140455807</v>
      </c>
      <c r="J975" t="b">
        <v>1</v>
      </c>
    </row>
    <row r="976" spans="1:10" x14ac:dyDescent="0.25">
      <c r="A976">
        <v>974</v>
      </c>
      <c r="B976" t="s">
        <v>3796</v>
      </c>
      <c r="C976" s="1">
        <v>46220</v>
      </c>
      <c r="D976">
        <v>90.603115000000003</v>
      </c>
      <c r="E976">
        <v>496.82758717000002</v>
      </c>
      <c r="F976">
        <v>499.17462971999998</v>
      </c>
      <c r="G976">
        <v>496.82758717000002</v>
      </c>
      <c r="H976">
        <v>8.9294072140455807</v>
      </c>
      <c r="J976" t="b">
        <v>1</v>
      </c>
    </row>
    <row r="977" spans="1:10" x14ac:dyDescent="0.25">
      <c r="A977">
        <v>975</v>
      </c>
      <c r="B977" t="s">
        <v>3797</v>
      </c>
      <c r="C977" s="1">
        <v>46220</v>
      </c>
      <c r="D977">
        <v>95.683949999999996</v>
      </c>
      <c r="E977">
        <v>557.55257800000004</v>
      </c>
      <c r="F977">
        <v>559.84169616999998</v>
      </c>
      <c r="G977">
        <v>557.55257800000004</v>
      </c>
      <c r="H977">
        <v>10.083592840157401</v>
      </c>
      <c r="J977" t="b">
        <v>1</v>
      </c>
    </row>
    <row r="978" spans="1:10" x14ac:dyDescent="0.25">
      <c r="A978">
        <v>976</v>
      </c>
      <c r="B978" t="s">
        <v>3798</v>
      </c>
      <c r="C978" s="1">
        <v>46220</v>
      </c>
      <c r="D978">
        <v>47.831975</v>
      </c>
      <c r="F978">
        <v>98486.024278319994</v>
      </c>
      <c r="H978">
        <v>3294.9444843275201</v>
      </c>
      <c r="J978" t="b">
        <v>0</v>
      </c>
    </row>
    <row r="979" spans="1:10" x14ac:dyDescent="0.25">
      <c r="A979">
        <v>977</v>
      </c>
      <c r="B979" t="s">
        <v>3799</v>
      </c>
      <c r="C979" s="1">
        <v>46220</v>
      </c>
      <c r="D979">
        <v>77.321875000000006</v>
      </c>
      <c r="E979">
        <v>79506.544860990005</v>
      </c>
      <c r="F979">
        <v>77642.503395260006</v>
      </c>
      <c r="G979">
        <v>79506.544860990005</v>
      </c>
      <c r="H979">
        <v>997.79241640236899</v>
      </c>
      <c r="J979" t="b">
        <v>0</v>
      </c>
    </row>
    <row r="980" spans="1:10" x14ac:dyDescent="0.25">
      <c r="A980">
        <v>978</v>
      </c>
      <c r="B980" t="s">
        <v>3552</v>
      </c>
      <c r="C980" s="1">
        <v>46220</v>
      </c>
      <c r="D980">
        <v>80.875</v>
      </c>
      <c r="F980">
        <v>716.37376465</v>
      </c>
      <c r="H980">
        <v>11.1844814938016</v>
      </c>
      <c r="J980" t="b">
        <v>0</v>
      </c>
    </row>
    <row r="981" spans="1:10" x14ac:dyDescent="0.25">
      <c r="A981">
        <v>979</v>
      </c>
      <c r="B981" t="s">
        <v>1708</v>
      </c>
      <c r="C981" s="1">
        <v>46220</v>
      </c>
      <c r="D981">
        <v>19.756349999999902</v>
      </c>
      <c r="E981">
        <v>12916.06378362</v>
      </c>
      <c r="F981">
        <v>12918.354372780001</v>
      </c>
      <c r="G981">
        <v>12916.06378362</v>
      </c>
      <c r="H981">
        <v>138.513247078641</v>
      </c>
      <c r="J981" t="b">
        <v>0</v>
      </c>
    </row>
    <row r="982" spans="1:10" x14ac:dyDescent="0.25">
      <c r="A982">
        <v>980</v>
      </c>
      <c r="B982" t="s">
        <v>1712</v>
      </c>
      <c r="C982" s="1">
        <v>46220</v>
      </c>
      <c r="D982">
        <v>76.732405</v>
      </c>
      <c r="E982">
        <v>1812.69446341</v>
      </c>
      <c r="F982">
        <v>1815.32191156</v>
      </c>
      <c r="G982">
        <v>1812.69446341</v>
      </c>
      <c r="H982">
        <v>22.2471604119619</v>
      </c>
      <c r="J982" t="b">
        <v>0</v>
      </c>
    </row>
    <row r="983" spans="1:10" x14ac:dyDescent="0.25">
      <c r="A983">
        <v>981</v>
      </c>
      <c r="B983" t="s">
        <v>1713</v>
      </c>
      <c r="C983" s="1">
        <v>46220</v>
      </c>
      <c r="D983">
        <v>100.43955</v>
      </c>
      <c r="E983">
        <v>163.11603183</v>
      </c>
      <c r="F983">
        <v>172.16477886999999</v>
      </c>
      <c r="G983">
        <v>163.11603183</v>
      </c>
      <c r="H983">
        <v>5.4938387971956901</v>
      </c>
      <c r="J983" t="b">
        <v>0</v>
      </c>
    </row>
    <row r="984" spans="1:10" x14ac:dyDescent="0.25">
      <c r="A984">
        <v>982</v>
      </c>
      <c r="B984" t="s">
        <v>1715</v>
      </c>
      <c r="C984" s="1">
        <v>46220</v>
      </c>
      <c r="D984">
        <v>22</v>
      </c>
      <c r="F984">
        <v>10921.31580674</v>
      </c>
      <c r="H984">
        <v>112.684649526404</v>
      </c>
      <c r="J984" t="b">
        <v>0</v>
      </c>
    </row>
    <row r="985" spans="1:10" x14ac:dyDescent="0.25">
      <c r="A985">
        <v>983</v>
      </c>
      <c r="B985" t="s">
        <v>1717</v>
      </c>
      <c r="C985" s="1">
        <v>46220</v>
      </c>
      <c r="D985">
        <v>82.125</v>
      </c>
      <c r="F985">
        <v>1656.8510700300001</v>
      </c>
      <c r="H985">
        <v>20.910853303898499</v>
      </c>
      <c r="J985" t="b">
        <v>0</v>
      </c>
    </row>
    <row r="986" spans="1:10" x14ac:dyDescent="0.25">
      <c r="A986">
        <v>984</v>
      </c>
      <c r="B986" t="s">
        <v>1969</v>
      </c>
      <c r="C986" s="1">
        <v>46220</v>
      </c>
      <c r="D986">
        <v>91.100997924804602</v>
      </c>
      <c r="E986">
        <v>818.86047178000001</v>
      </c>
      <c r="F986">
        <v>816.15440090000004</v>
      </c>
      <c r="G986">
        <v>818.86047178000001</v>
      </c>
      <c r="H986">
        <v>11.1591615214159</v>
      </c>
      <c r="J986" t="b">
        <v>0</v>
      </c>
    </row>
    <row r="987" spans="1:10" x14ac:dyDescent="0.25">
      <c r="A987">
        <v>985</v>
      </c>
      <c r="B987" t="s">
        <v>1973</v>
      </c>
      <c r="C987" s="1">
        <v>46220</v>
      </c>
      <c r="D987">
        <v>91.704565000000002</v>
      </c>
      <c r="E987">
        <v>841.00829032000001</v>
      </c>
      <c r="F987">
        <v>842.76201090999996</v>
      </c>
      <c r="G987">
        <v>841.00829032000001</v>
      </c>
      <c r="H987">
        <v>12.344913445874001</v>
      </c>
      <c r="J987" t="b">
        <v>0</v>
      </c>
    </row>
    <row r="988" spans="1:10" x14ac:dyDescent="0.25">
      <c r="A988">
        <v>986</v>
      </c>
      <c r="B988" t="s">
        <v>2013</v>
      </c>
      <c r="C988" s="1">
        <v>46220</v>
      </c>
      <c r="D988">
        <v>85</v>
      </c>
      <c r="F988">
        <v>638.93938098000001</v>
      </c>
      <c r="H988">
        <v>10.454858220116501</v>
      </c>
      <c r="J988" t="b">
        <v>0</v>
      </c>
    </row>
    <row r="989" spans="1:10" x14ac:dyDescent="0.25">
      <c r="A989">
        <v>987</v>
      </c>
      <c r="B989" t="s">
        <v>1975</v>
      </c>
      <c r="C989" s="1">
        <v>46220</v>
      </c>
      <c r="J989" t="b">
        <v>0</v>
      </c>
    </row>
    <row r="990" spans="1:10" x14ac:dyDescent="0.25">
      <c r="A990">
        <v>988</v>
      </c>
      <c r="B990" t="s">
        <v>1979</v>
      </c>
      <c r="C990" s="1">
        <v>46220</v>
      </c>
      <c r="D990">
        <v>71.763524999999902</v>
      </c>
      <c r="E990">
        <v>1869.5684158700001</v>
      </c>
      <c r="F990">
        <v>1871.52125942</v>
      </c>
      <c r="G990">
        <v>1869.5684158700001</v>
      </c>
      <c r="H990">
        <v>22.729619204285498</v>
      </c>
      <c r="J990" t="b">
        <v>0</v>
      </c>
    </row>
    <row r="991" spans="1:10" x14ac:dyDescent="0.25">
      <c r="A991">
        <v>989</v>
      </c>
      <c r="B991" t="s">
        <v>1981</v>
      </c>
      <c r="C991" s="1">
        <v>46220</v>
      </c>
      <c r="D991">
        <v>60.036830000000002</v>
      </c>
      <c r="E991">
        <v>1801.60928696</v>
      </c>
      <c r="F991">
        <v>1803.5518891199999</v>
      </c>
      <c r="G991">
        <v>1801.60928696</v>
      </c>
      <c r="H991">
        <v>22.0758609863793</v>
      </c>
      <c r="J991" t="b">
        <v>0</v>
      </c>
    </row>
    <row r="992" spans="1:10" x14ac:dyDescent="0.25">
      <c r="A992">
        <v>990</v>
      </c>
      <c r="B992" t="s">
        <v>1983</v>
      </c>
      <c r="C992" s="1">
        <v>46220</v>
      </c>
      <c r="J992" t="b">
        <v>0</v>
      </c>
    </row>
    <row r="993" spans="1:10" x14ac:dyDescent="0.25">
      <c r="A993">
        <v>991</v>
      </c>
      <c r="B993" t="s">
        <v>1985</v>
      </c>
      <c r="C993" s="1">
        <v>46220</v>
      </c>
      <c r="D993">
        <v>99</v>
      </c>
      <c r="F993">
        <v>708.17194302999997</v>
      </c>
      <c r="H993">
        <v>11.0688155039678</v>
      </c>
      <c r="J993" t="b">
        <v>0</v>
      </c>
    </row>
    <row r="994" spans="1:10" x14ac:dyDescent="0.25">
      <c r="A994">
        <v>992</v>
      </c>
      <c r="B994" t="s">
        <v>1987</v>
      </c>
      <c r="C994" s="1">
        <v>46220</v>
      </c>
      <c r="D994">
        <v>79</v>
      </c>
      <c r="F994">
        <v>908.80333923000001</v>
      </c>
      <c r="H994">
        <v>13.080901396460799</v>
      </c>
      <c r="J994" t="b">
        <v>0</v>
      </c>
    </row>
    <row r="995" spans="1:10" x14ac:dyDescent="0.25">
      <c r="A995">
        <v>993</v>
      </c>
      <c r="B995" t="s">
        <v>3556</v>
      </c>
      <c r="C995" s="1">
        <v>46220</v>
      </c>
      <c r="J995" t="b">
        <v>0</v>
      </c>
    </row>
    <row r="996" spans="1:10" x14ac:dyDescent="0.25">
      <c r="A996">
        <v>994</v>
      </c>
      <c r="B996" t="s">
        <v>3560</v>
      </c>
      <c r="C996" s="1">
        <v>46220</v>
      </c>
      <c r="J996" t="b">
        <v>0</v>
      </c>
    </row>
    <row r="997" spans="1:10" x14ac:dyDescent="0.25">
      <c r="A997">
        <v>995</v>
      </c>
      <c r="B997" t="s">
        <v>3562</v>
      </c>
      <c r="C997" s="1">
        <v>46220</v>
      </c>
      <c r="J997" t="b">
        <v>0</v>
      </c>
    </row>
    <row r="998" spans="1:10" x14ac:dyDescent="0.25">
      <c r="A998">
        <v>996</v>
      </c>
      <c r="B998" t="s">
        <v>3564</v>
      </c>
      <c r="C998" s="1">
        <v>46220</v>
      </c>
      <c r="D998">
        <v>92.096999999999994</v>
      </c>
      <c r="F998">
        <v>800.70593181000004</v>
      </c>
      <c r="H998">
        <v>11.9811737745069</v>
      </c>
      <c r="J998" t="b">
        <v>0</v>
      </c>
    </row>
    <row r="999" spans="1:10" x14ac:dyDescent="0.25">
      <c r="A999">
        <v>997</v>
      </c>
      <c r="B999" t="s">
        <v>1991</v>
      </c>
      <c r="C999" s="1">
        <v>46220</v>
      </c>
      <c r="D999">
        <v>1.19075</v>
      </c>
      <c r="H999">
        <v>1203.5826149734</v>
      </c>
      <c r="J999" t="b">
        <v>1</v>
      </c>
    </row>
    <row r="1000" spans="1:10" x14ac:dyDescent="0.25">
      <c r="A1000">
        <v>998</v>
      </c>
      <c r="B1000" t="s">
        <v>1995</v>
      </c>
      <c r="C1000" s="1">
        <v>46220</v>
      </c>
      <c r="J1000" t="b">
        <v>1</v>
      </c>
    </row>
    <row r="1001" spans="1:10" x14ac:dyDescent="0.25">
      <c r="A1001">
        <v>999</v>
      </c>
      <c r="B1001" t="s">
        <v>1997</v>
      </c>
      <c r="C1001" s="1">
        <v>46220</v>
      </c>
      <c r="J1001" t="b">
        <v>1</v>
      </c>
    </row>
    <row r="1002" spans="1:10" x14ac:dyDescent="0.25">
      <c r="A1002">
        <v>1000</v>
      </c>
      <c r="B1002" t="s">
        <v>1999</v>
      </c>
      <c r="C1002" s="1">
        <v>46220</v>
      </c>
      <c r="J1002" t="b">
        <v>1</v>
      </c>
    </row>
    <row r="1003" spans="1:10" x14ac:dyDescent="0.25">
      <c r="A1003">
        <v>1001</v>
      </c>
      <c r="B1003" t="s">
        <v>2001</v>
      </c>
      <c r="C1003" s="1">
        <v>46220</v>
      </c>
      <c r="J1003" t="b">
        <v>1</v>
      </c>
    </row>
    <row r="1004" spans="1:10" x14ac:dyDescent="0.25">
      <c r="A1004">
        <v>1002</v>
      </c>
      <c r="B1004" t="s">
        <v>2002</v>
      </c>
      <c r="C1004" s="1">
        <v>46220</v>
      </c>
      <c r="D1004">
        <v>74.5</v>
      </c>
      <c r="H1004">
        <v>32.416547847275901</v>
      </c>
      <c r="J1004" t="b">
        <v>1</v>
      </c>
    </row>
    <row r="1005" spans="1:10" x14ac:dyDescent="0.25">
      <c r="A1005">
        <v>1003</v>
      </c>
      <c r="B1005" t="s">
        <v>2004</v>
      </c>
      <c r="C1005" s="1">
        <v>46220</v>
      </c>
      <c r="J1005" t="b">
        <v>1</v>
      </c>
    </row>
    <row r="1006" spans="1:10" x14ac:dyDescent="0.25">
      <c r="A1006">
        <v>1004</v>
      </c>
      <c r="B1006" t="s">
        <v>2005</v>
      </c>
      <c r="C1006" s="1">
        <v>46220</v>
      </c>
      <c r="D1006">
        <v>73.5</v>
      </c>
      <c r="H1006">
        <v>32.301257723211499</v>
      </c>
      <c r="J1006" t="b">
        <v>1</v>
      </c>
    </row>
    <row r="1007" spans="1:10" x14ac:dyDescent="0.25">
      <c r="A1007">
        <v>1005</v>
      </c>
      <c r="B1007" t="s">
        <v>2006</v>
      </c>
      <c r="C1007" s="1">
        <v>46220</v>
      </c>
      <c r="D1007">
        <v>74.5</v>
      </c>
      <c r="H1007">
        <v>32.252065686532603</v>
      </c>
      <c r="J1007" t="b">
        <v>1</v>
      </c>
    </row>
    <row r="1008" spans="1:10" x14ac:dyDescent="0.25">
      <c r="A1008">
        <v>1006</v>
      </c>
      <c r="B1008" t="s">
        <v>2007</v>
      </c>
      <c r="C1008" s="1">
        <v>46220</v>
      </c>
      <c r="D1008">
        <v>14.25</v>
      </c>
      <c r="H1008">
        <v>273.61257898411799</v>
      </c>
      <c r="J1008" t="b">
        <v>1</v>
      </c>
    </row>
    <row r="1009" spans="1:10" x14ac:dyDescent="0.25">
      <c r="A1009">
        <v>1007</v>
      </c>
      <c r="B1009" t="s">
        <v>2009</v>
      </c>
      <c r="C1009" s="1">
        <v>46220</v>
      </c>
      <c r="D1009">
        <v>89.5</v>
      </c>
      <c r="F1009">
        <v>644.75956417999998</v>
      </c>
      <c r="H1009">
        <v>10.998226587536299</v>
      </c>
      <c r="J1009" t="b">
        <v>0</v>
      </c>
    </row>
    <row r="1010" spans="1:10" x14ac:dyDescent="0.25">
      <c r="A1010">
        <v>1008</v>
      </c>
      <c r="B1010" t="s">
        <v>2017</v>
      </c>
      <c r="C1010" s="1">
        <v>46220</v>
      </c>
      <c r="D1010">
        <v>93.375</v>
      </c>
      <c r="F1010">
        <v>789.38492762999999</v>
      </c>
      <c r="H1010">
        <v>12.136847737270701</v>
      </c>
      <c r="J1010" t="b">
        <v>0</v>
      </c>
    </row>
    <row r="1011" spans="1:10" x14ac:dyDescent="0.25">
      <c r="A1011">
        <v>1009</v>
      </c>
      <c r="B1011" t="s">
        <v>2021</v>
      </c>
      <c r="C1011" s="1">
        <v>46220</v>
      </c>
      <c r="D1011">
        <v>72</v>
      </c>
      <c r="F1011">
        <v>4591.4438297400002</v>
      </c>
      <c r="H1011">
        <v>46.053932768160003</v>
      </c>
      <c r="J1011" t="b">
        <v>0</v>
      </c>
    </row>
    <row r="1012" spans="1:10" x14ac:dyDescent="0.25">
      <c r="A1012">
        <v>1010</v>
      </c>
      <c r="B1012" t="s">
        <v>2023</v>
      </c>
      <c r="C1012" s="1">
        <v>46220</v>
      </c>
      <c r="J1012" t="b">
        <v>0</v>
      </c>
    </row>
    <row r="1013" spans="1:10" x14ac:dyDescent="0.25">
      <c r="A1013">
        <v>1011</v>
      </c>
      <c r="B1013" t="s">
        <v>1796</v>
      </c>
      <c r="C1013" s="1">
        <v>46220</v>
      </c>
      <c r="D1013">
        <v>75.750140000000002</v>
      </c>
      <c r="E1013">
        <v>728.61377556000002</v>
      </c>
      <c r="F1013">
        <v>730.19696328999999</v>
      </c>
      <c r="G1013">
        <v>728.61377556000002</v>
      </c>
      <c r="H1013">
        <v>11.7838488047448</v>
      </c>
      <c r="J1013" t="b">
        <v>0</v>
      </c>
    </row>
    <row r="1014" spans="1:10" x14ac:dyDescent="0.25">
      <c r="A1014">
        <v>1012</v>
      </c>
      <c r="B1014" t="s">
        <v>1800</v>
      </c>
      <c r="C1014" s="1">
        <v>46220</v>
      </c>
      <c r="D1014">
        <v>87.377555000000001</v>
      </c>
      <c r="E1014">
        <v>814.75031145000003</v>
      </c>
      <c r="F1014">
        <v>816.27562825999996</v>
      </c>
      <c r="G1014">
        <v>814.75031145000003</v>
      </c>
      <c r="H1014">
        <v>12.140902253218901</v>
      </c>
      <c r="J1014" t="b">
        <v>0</v>
      </c>
    </row>
    <row r="1015" spans="1:10" x14ac:dyDescent="0.25">
      <c r="A1015">
        <v>1013</v>
      </c>
      <c r="B1015" t="s">
        <v>1802</v>
      </c>
      <c r="C1015" s="1">
        <v>46220</v>
      </c>
      <c r="D1015">
        <v>104.9131</v>
      </c>
      <c r="E1015">
        <v>564.37111523999999</v>
      </c>
      <c r="F1015">
        <v>565.84189947000004</v>
      </c>
      <c r="G1015">
        <v>564.37111523999999</v>
      </c>
      <c r="H1015">
        <v>9.9403694342653601</v>
      </c>
      <c r="J1015" t="b">
        <v>0</v>
      </c>
    </row>
    <row r="1016" spans="1:10" x14ac:dyDescent="0.25">
      <c r="A1016">
        <v>1014</v>
      </c>
      <c r="B1016" t="s">
        <v>1804</v>
      </c>
      <c r="C1016" s="1">
        <v>46220</v>
      </c>
      <c r="D1016">
        <v>100.104185</v>
      </c>
      <c r="E1016">
        <v>401.22006357999999</v>
      </c>
      <c r="F1016">
        <v>403.55431487999999</v>
      </c>
      <c r="G1016">
        <v>401.22006357999999</v>
      </c>
      <c r="H1016">
        <v>8.1026691245599203</v>
      </c>
      <c r="J1016" t="b">
        <v>0</v>
      </c>
    </row>
    <row r="1017" spans="1:10" x14ac:dyDescent="0.25">
      <c r="A1017">
        <v>1015</v>
      </c>
      <c r="B1017" t="s">
        <v>1806</v>
      </c>
      <c r="C1017" s="1">
        <v>46220</v>
      </c>
      <c r="D1017">
        <v>98.477679999999907</v>
      </c>
      <c r="E1017">
        <v>459.49660516</v>
      </c>
      <c r="F1017">
        <v>462.47424791999998</v>
      </c>
      <c r="G1017">
        <v>459.49660516</v>
      </c>
      <c r="H1017">
        <v>8.6454868599938504</v>
      </c>
      <c r="J1017" t="b">
        <v>0</v>
      </c>
    </row>
    <row r="1018" spans="1:10" x14ac:dyDescent="0.25">
      <c r="A1018">
        <v>1016</v>
      </c>
      <c r="B1018" t="s">
        <v>1808</v>
      </c>
      <c r="C1018" s="1">
        <v>46220</v>
      </c>
      <c r="J1018" t="b">
        <v>0</v>
      </c>
    </row>
    <row r="1019" spans="1:10" x14ac:dyDescent="0.25">
      <c r="A1019">
        <v>1017</v>
      </c>
      <c r="B1019" t="s">
        <v>1811</v>
      </c>
      <c r="C1019" s="1">
        <v>46220</v>
      </c>
      <c r="D1019">
        <v>99.25</v>
      </c>
      <c r="F1019">
        <v>432.08206975000002</v>
      </c>
      <c r="H1019">
        <v>8.2261974032511809</v>
      </c>
      <c r="J1019" t="b">
        <v>0</v>
      </c>
    </row>
    <row r="1020" spans="1:10" x14ac:dyDescent="0.25">
      <c r="A1020">
        <v>1018</v>
      </c>
      <c r="B1020" t="s">
        <v>3800</v>
      </c>
      <c r="C1020" s="1">
        <v>46220</v>
      </c>
      <c r="D1020">
        <v>84.154644999999903</v>
      </c>
      <c r="E1020">
        <v>577.25593290999996</v>
      </c>
      <c r="F1020">
        <v>579.21981443000004</v>
      </c>
      <c r="G1020">
        <v>577.25593290999996</v>
      </c>
      <c r="H1020">
        <v>9.6896062569854209</v>
      </c>
      <c r="J1020" t="b">
        <v>0</v>
      </c>
    </row>
    <row r="1021" spans="1:10" x14ac:dyDescent="0.25">
      <c r="A1021">
        <v>1019</v>
      </c>
      <c r="B1021" t="s">
        <v>3805</v>
      </c>
      <c r="C1021" s="1">
        <v>46220</v>
      </c>
      <c r="D1021">
        <v>94.784355000000005</v>
      </c>
      <c r="E1021">
        <v>215.52335780000001</v>
      </c>
      <c r="F1021">
        <v>218.98334990999999</v>
      </c>
      <c r="G1021">
        <v>215.52335780000001</v>
      </c>
      <c r="H1021">
        <v>6.3320122391882201</v>
      </c>
      <c r="J1021" t="b">
        <v>0</v>
      </c>
    </row>
    <row r="1022" spans="1:10" x14ac:dyDescent="0.25">
      <c r="A1022">
        <v>1020</v>
      </c>
      <c r="B1022" t="s">
        <v>2045</v>
      </c>
      <c r="C1022" s="1">
        <v>46220</v>
      </c>
      <c r="D1022">
        <v>98.739165</v>
      </c>
      <c r="F1022">
        <v>911.39593329000002</v>
      </c>
      <c r="H1022">
        <v>13.077593597695699</v>
      </c>
      <c r="J1022" t="b">
        <v>0</v>
      </c>
    </row>
    <row r="1023" spans="1:10" x14ac:dyDescent="0.25">
      <c r="A1023">
        <v>1021</v>
      </c>
      <c r="B1023" t="s">
        <v>2049</v>
      </c>
      <c r="C1023" s="1">
        <v>46220</v>
      </c>
      <c r="D1023">
        <v>100.01728</v>
      </c>
      <c r="F1023">
        <v>407.10326917999998</v>
      </c>
      <c r="H1023">
        <v>8.3987340895248703</v>
      </c>
      <c r="J1023" t="b">
        <v>0</v>
      </c>
    </row>
    <row r="1024" spans="1:10" x14ac:dyDescent="0.25">
      <c r="A1024">
        <v>1022</v>
      </c>
      <c r="B1024" t="s">
        <v>2051</v>
      </c>
      <c r="C1024" s="1">
        <v>46220</v>
      </c>
      <c r="J1024" t="b">
        <v>1</v>
      </c>
    </row>
    <row r="1025" spans="1:10" x14ac:dyDescent="0.25">
      <c r="A1025">
        <v>1023</v>
      </c>
      <c r="B1025" t="s">
        <v>2053</v>
      </c>
      <c r="C1025" s="1">
        <v>46220</v>
      </c>
      <c r="J1025" t="b">
        <v>1</v>
      </c>
    </row>
    <row r="1026" spans="1:10" x14ac:dyDescent="0.25">
      <c r="A1026">
        <v>1024</v>
      </c>
      <c r="B1026" t="s">
        <v>2054</v>
      </c>
      <c r="C1026" s="1">
        <v>46220</v>
      </c>
      <c r="J1026" t="b">
        <v>1</v>
      </c>
    </row>
    <row r="1027" spans="1:10" x14ac:dyDescent="0.25">
      <c r="A1027">
        <v>1025</v>
      </c>
      <c r="B1027" t="s">
        <v>2055</v>
      </c>
      <c r="C1027" s="1">
        <v>46220</v>
      </c>
      <c r="J1027" t="b">
        <v>1</v>
      </c>
    </row>
    <row r="1028" spans="1:10" x14ac:dyDescent="0.25">
      <c r="A1028">
        <v>1026</v>
      </c>
      <c r="B1028" t="s">
        <v>2057</v>
      </c>
      <c r="C1028" s="1">
        <v>46220</v>
      </c>
      <c r="J1028" t="b">
        <v>1</v>
      </c>
    </row>
    <row r="1029" spans="1:10" x14ac:dyDescent="0.25">
      <c r="A1029">
        <v>1027</v>
      </c>
      <c r="B1029" t="s">
        <v>2059</v>
      </c>
      <c r="C1029" s="1">
        <v>46220</v>
      </c>
      <c r="J1029" t="b">
        <v>0</v>
      </c>
    </row>
    <row r="1030" spans="1:10" x14ac:dyDescent="0.25">
      <c r="A1030">
        <v>1028</v>
      </c>
      <c r="B1030" t="s">
        <v>2061</v>
      </c>
      <c r="C1030" s="1">
        <v>46220</v>
      </c>
      <c r="D1030">
        <v>100.625</v>
      </c>
      <c r="F1030">
        <v>343.40447345000001</v>
      </c>
      <c r="H1030">
        <v>5.9698822279025903</v>
      </c>
      <c r="J1030" t="b">
        <v>0</v>
      </c>
    </row>
    <row r="1031" spans="1:10" x14ac:dyDescent="0.25">
      <c r="A1031">
        <v>1029</v>
      </c>
      <c r="B1031" t="s">
        <v>2063</v>
      </c>
      <c r="C1031" s="1">
        <v>46220</v>
      </c>
      <c r="D1031">
        <v>100.1875</v>
      </c>
      <c r="F1031">
        <v>351.69230518000001</v>
      </c>
      <c r="H1031">
        <v>7.2449156134626502</v>
      </c>
      <c r="J1031" t="b">
        <v>0</v>
      </c>
    </row>
    <row r="1032" spans="1:10" x14ac:dyDescent="0.25">
      <c r="A1032">
        <v>1030</v>
      </c>
      <c r="B1032" t="s">
        <v>2065</v>
      </c>
      <c r="C1032" s="1">
        <v>46220</v>
      </c>
      <c r="D1032">
        <v>78.5</v>
      </c>
      <c r="F1032">
        <v>1764.2839665700001</v>
      </c>
      <c r="H1032">
        <v>21.5394126708354</v>
      </c>
      <c r="J1032" t="b">
        <v>0</v>
      </c>
    </row>
    <row r="1033" spans="1:10" x14ac:dyDescent="0.25">
      <c r="A1033">
        <v>1031</v>
      </c>
      <c r="B1033" t="s">
        <v>2069</v>
      </c>
      <c r="C1033" s="1">
        <v>46220</v>
      </c>
      <c r="J1033" t="b">
        <v>0</v>
      </c>
    </row>
    <row r="1034" spans="1:10" x14ac:dyDescent="0.25">
      <c r="A1034">
        <v>1032</v>
      </c>
      <c r="B1034" t="s">
        <v>2073</v>
      </c>
      <c r="C1034" s="1">
        <v>46220</v>
      </c>
      <c r="J1034" t="b">
        <v>0</v>
      </c>
    </row>
    <row r="1035" spans="1:10" x14ac:dyDescent="0.25">
      <c r="A1035">
        <v>1033</v>
      </c>
      <c r="B1035" t="s">
        <v>2075</v>
      </c>
      <c r="C1035" s="1">
        <v>46220</v>
      </c>
      <c r="D1035">
        <v>46.25</v>
      </c>
      <c r="F1035">
        <v>3876.5354333400001</v>
      </c>
      <c r="H1035">
        <v>42.689276213492199</v>
      </c>
      <c r="J1035" t="b">
        <v>0</v>
      </c>
    </row>
    <row r="1036" spans="1:10" x14ac:dyDescent="0.25">
      <c r="A1036">
        <v>1034</v>
      </c>
      <c r="B1036" t="s">
        <v>2087</v>
      </c>
      <c r="C1036" s="1">
        <v>46220</v>
      </c>
      <c r="D1036">
        <v>70</v>
      </c>
      <c r="F1036">
        <v>360.96052681999998</v>
      </c>
      <c r="H1036">
        <v>7.5319524835896701</v>
      </c>
      <c r="J1036" t="b">
        <v>0</v>
      </c>
    </row>
    <row r="1037" spans="1:10" x14ac:dyDescent="0.25">
      <c r="A1037">
        <v>1035</v>
      </c>
      <c r="B1037" t="s">
        <v>2091</v>
      </c>
      <c r="C1037" s="1">
        <v>46220</v>
      </c>
      <c r="D1037">
        <v>92.5</v>
      </c>
      <c r="J1037" t="b">
        <v>0</v>
      </c>
    </row>
    <row r="1038" spans="1:10" x14ac:dyDescent="0.25">
      <c r="A1038">
        <v>1036</v>
      </c>
      <c r="B1038" t="s">
        <v>2093</v>
      </c>
      <c r="C1038" s="1">
        <v>46220</v>
      </c>
      <c r="D1038">
        <v>71.5</v>
      </c>
      <c r="F1038">
        <v>3381.2515568399999</v>
      </c>
      <c r="H1038">
        <v>37.7777441747726</v>
      </c>
      <c r="J1038" t="b">
        <v>0</v>
      </c>
    </row>
    <row r="1039" spans="1:10" x14ac:dyDescent="0.25">
      <c r="A1039">
        <v>1037</v>
      </c>
      <c r="B1039" t="s">
        <v>3568</v>
      </c>
      <c r="C1039" s="1">
        <v>46220</v>
      </c>
      <c r="J1039" t="b">
        <v>0</v>
      </c>
    </row>
    <row r="1040" spans="1:10" x14ac:dyDescent="0.25">
      <c r="A1040">
        <v>1038</v>
      </c>
      <c r="B1040" t="s">
        <v>3574</v>
      </c>
      <c r="C1040" s="1">
        <v>46220</v>
      </c>
      <c r="D1040">
        <v>66.25</v>
      </c>
      <c r="F1040">
        <v>2447.4050704800002</v>
      </c>
      <c r="H1040">
        <v>28.531306625998798</v>
      </c>
      <c r="J1040" t="b">
        <v>0</v>
      </c>
    </row>
    <row r="1041" spans="1:10" x14ac:dyDescent="0.25">
      <c r="A1041">
        <v>1039</v>
      </c>
      <c r="B1041" t="s">
        <v>3576</v>
      </c>
      <c r="C1041" s="1">
        <v>46220</v>
      </c>
      <c r="D1041">
        <v>18.329999999999998</v>
      </c>
      <c r="E1041">
        <v>9224.7688456699998</v>
      </c>
      <c r="F1041">
        <v>9226.3016869900002</v>
      </c>
      <c r="G1041">
        <v>9224.7688456699998</v>
      </c>
      <c r="H1041">
        <v>96.419025260332205</v>
      </c>
      <c r="J1041" t="b">
        <v>0</v>
      </c>
    </row>
    <row r="1042" spans="1:10" x14ac:dyDescent="0.25">
      <c r="A1042">
        <v>1040</v>
      </c>
      <c r="B1042" t="s">
        <v>3581</v>
      </c>
      <c r="C1042" s="1">
        <v>46220</v>
      </c>
      <c r="J1042" t="b">
        <v>0</v>
      </c>
    </row>
    <row r="1043" spans="1:10" x14ac:dyDescent="0.25">
      <c r="A1043">
        <v>1041</v>
      </c>
      <c r="B1043" t="s">
        <v>3582</v>
      </c>
      <c r="C1043" s="1">
        <v>46220</v>
      </c>
      <c r="J1043" t="b">
        <v>0</v>
      </c>
    </row>
    <row r="1044" spans="1:10" x14ac:dyDescent="0.25">
      <c r="A1044">
        <v>1042</v>
      </c>
      <c r="B1044" t="s">
        <v>3583</v>
      </c>
      <c r="C1044" s="1">
        <v>46220</v>
      </c>
      <c r="D1044">
        <v>32.5</v>
      </c>
      <c r="F1044">
        <v>819.39787552999996</v>
      </c>
      <c r="H1044">
        <v>12.2694840837279</v>
      </c>
      <c r="J1044" t="b">
        <v>0</v>
      </c>
    </row>
    <row r="1045" spans="1:10" x14ac:dyDescent="0.25">
      <c r="A1045">
        <v>1043</v>
      </c>
      <c r="B1045" t="s">
        <v>3585</v>
      </c>
      <c r="C1045" s="1">
        <v>46220</v>
      </c>
      <c r="D1045">
        <v>47.5</v>
      </c>
      <c r="F1045">
        <v>846.38786398000002</v>
      </c>
      <c r="H1045">
        <v>12.2924826850361</v>
      </c>
      <c r="J1045" t="b">
        <v>0</v>
      </c>
    </row>
    <row r="1046" spans="1:10" x14ac:dyDescent="0.25">
      <c r="A1046">
        <v>1044</v>
      </c>
      <c r="B1046" t="s">
        <v>3587</v>
      </c>
      <c r="C1046" s="1">
        <v>46220</v>
      </c>
      <c r="D1046">
        <v>54.5</v>
      </c>
      <c r="F1046">
        <v>2720.0436295200002</v>
      </c>
      <c r="H1046">
        <v>31.3780828379094</v>
      </c>
      <c r="J1046" t="b">
        <v>0</v>
      </c>
    </row>
    <row r="1047" spans="1:10" x14ac:dyDescent="0.25">
      <c r="A1047">
        <v>1045</v>
      </c>
      <c r="B1047" t="s">
        <v>3589</v>
      </c>
      <c r="C1047" s="1">
        <v>46220</v>
      </c>
      <c r="D1047">
        <v>100.5</v>
      </c>
      <c r="F1047">
        <v>484.36856469000003</v>
      </c>
      <c r="H1047">
        <v>8.9864679963284395</v>
      </c>
      <c r="J1047" t="b">
        <v>0</v>
      </c>
    </row>
    <row r="1048" spans="1:10" x14ac:dyDescent="0.25">
      <c r="A1048">
        <v>1046</v>
      </c>
      <c r="B1048" t="s">
        <v>3591</v>
      </c>
      <c r="C1048" s="1">
        <v>46220</v>
      </c>
      <c r="J1048" t="b">
        <v>0</v>
      </c>
    </row>
    <row r="1049" spans="1:10" x14ac:dyDescent="0.25">
      <c r="A1049">
        <v>1047</v>
      </c>
      <c r="B1049" t="s">
        <v>3593</v>
      </c>
      <c r="C1049" s="1">
        <v>46220</v>
      </c>
      <c r="D1049">
        <v>60.616475000000001</v>
      </c>
      <c r="F1049">
        <v>4555.3590270000004</v>
      </c>
      <c r="H1049">
        <v>33.789178095286204</v>
      </c>
      <c r="J1049" t="b">
        <v>0</v>
      </c>
    </row>
    <row r="1050" spans="1:10" x14ac:dyDescent="0.25">
      <c r="A1050">
        <v>1048</v>
      </c>
      <c r="B1050" t="s">
        <v>3595</v>
      </c>
      <c r="C1050" s="1">
        <v>46220</v>
      </c>
      <c r="J1050" t="b">
        <v>0</v>
      </c>
    </row>
    <row r="1051" spans="1:10" x14ac:dyDescent="0.25">
      <c r="A1051">
        <v>1049</v>
      </c>
      <c r="B1051" t="s">
        <v>3600</v>
      </c>
      <c r="C1051" s="1">
        <v>46220</v>
      </c>
      <c r="D1051">
        <v>59</v>
      </c>
      <c r="F1051">
        <v>2762.3804153699998</v>
      </c>
      <c r="H1051">
        <v>31.749042590468299</v>
      </c>
      <c r="J1051" t="b">
        <v>0</v>
      </c>
    </row>
    <row r="1052" spans="1:10" x14ac:dyDescent="0.25">
      <c r="A1052">
        <v>1050</v>
      </c>
      <c r="B1052" t="s">
        <v>3602</v>
      </c>
      <c r="C1052" s="1">
        <v>46220</v>
      </c>
      <c r="J1052" t="b">
        <v>0</v>
      </c>
    </row>
    <row r="1053" spans="1:10" x14ac:dyDescent="0.25">
      <c r="A1053">
        <v>1051</v>
      </c>
      <c r="B1053" t="s">
        <v>3603</v>
      </c>
      <c r="C1053" s="1">
        <v>46220</v>
      </c>
      <c r="D1053">
        <v>63.25</v>
      </c>
      <c r="F1053">
        <v>3007.4406163499998</v>
      </c>
      <c r="H1053">
        <v>33.9998503418444</v>
      </c>
      <c r="J1053" t="b">
        <v>0</v>
      </c>
    </row>
    <row r="1054" spans="1:10" x14ac:dyDescent="0.25">
      <c r="A1054">
        <v>1052</v>
      </c>
      <c r="B1054" t="s">
        <v>3604</v>
      </c>
      <c r="C1054" s="1">
        <v>46220</v>
      </c>
      <c r="D1054">
        <v>92.75</v>
      </c>
      <c r="F1054">
        <v>528.85201161999998</v>
      </c>
      <c r="H1054">
        <v>9.0016080917738694</v>
      </c>
      <c r="J1054" t="b">
        <v>0</v>
      </c>
    </row>
    <row r="1055" spans="1:10" x14ac:dyDescent="0.25">
      <c r="A1055">
        <v>1053</v>
      </c>
      <c r="B1055" t="s">
        <v>2107</v>
      </c>
      <c r="C1055" s="1">
        <v>46220</v>
      </c>
      <c r="D1055">
        <v>26.168140000000001</v>
      </c>
      <c r="F1055">
        <v>6129.2382589700001</v>
      </c>
      <c r="H1055">
        <v>65.468893484800304</v>
      </c>
      <c r="J1055" t="b">
        <v>0</v>
      </c>
    </row>
    <row r="1056" spans="1:10" x14ac:dyDescent="0.25">
      <c r="A1056">
        <v>1054</v>
      </c>
      <c r="B1056" t="s">
        <v>2111</v>
      </c>
      <c r="C1056" s="1">
        <v>46220</v>
      </c>
      <c r="J1056" t="b">
        <v>0</v>
      </c>
    </row>
    <row r="1057" spans="1:10" x14ac:dyDescent="0.25">
      <c r="A1057">
        <v>1055</v>
      </c>
      <c r="B1057" t="s">
        <v>2113</v>
      </c>
      <c r="C1057" s="1">
        <v>46220</v>
      </c>
      <c r="J1057" t="b">
        <v>0</v>
      </c>
    </row>
    <row r="1058" spans="1:10" x14ac:dyDescent="0.25">
      <c r="A1058">
        <v>1056</v>
      </c>
      <c r="B1058" t="s">
        <v>2114</v>
      </c>
      <c r="C1058" s="1">
        <v>46220</v>
      </c>
      <c r="D1058">
        <v>84.456344999999999</v>
      </c>
      <c r="E1058">
        <v>1210.0081313000001</v>
      </c>
      <c r="F1058">
        <v>1211.84727496</v>
      </c>
      <c r="G1058">
        <v>1210.0081313000001</v>
      </c>
      <c r="H1058">
        <v>16.131557652494902</v>
      </c>
      <c r="J1058" t="b">
        <v>0</v>
      </c>
    </row>
    <row r="1059" spans="1:10" x14ac:dyDescent="0.25">
      <c r="A1059">
        <v>1057</v>
      </c>
      <c r="B1059" t="s">
        <v>2115</v>
      </c>
      <c r="C1059" s="1">
        <v>46220</v>
      </c>
      <c r="J1059" t="b">
        <v>0</v>
      </c>
    </row>
    <row r="1060" spans="1:10" x14ac:dyDescent="0.25">
      <c r="A1060">
        <v>1058</v>
      </c>
      <c r="B1060" t="s">
        <v>2101</v>
      </c>
      <c r="C1060" s="1">
        <v>46220</v>
      </c>
      <c r="D1060">
        <v>93.5</v>
      </c>
      <c r="F1060">
        <v>724.05083024999999</v>
      </c>
      <c r="H1060">
        <v>11.3009513289441</v>
      </c>
      <c r="J1060" t="b">
        <v>0</v>
      </c>
    </row>
    <row r="1061" spans="1:10" x14ac:dyDescent="0.25">
      <c r="A1061">
        <v>1059</v>
      </c>
      <c r="B1061" t="s">
        <v>2105</v>
      </c>
      <c r="C1061" s="1">
        <v>46220</v>
      </c>
      <c r="D1061">
        <v>100</v>
      </c>
      <c r="F1061">
        <v>474.17933588</v>
      </c>
      <c r="H1061">
        <v>8.8000362515437498</v>
      </c>
      <c r="J1061" t="b">
        <v>0</v>
      </c>
    </row>
    <row r="1062" spans="1:10" x14ac:dyDescent="0.25">
      <c r="A1062">
        <v>1060</v>
      </c>
      <c r="B1062" t="s">
        <v>2117</v>
      </c>
      <c r="C1062" s="1">
        <v>46220</v>
      </c>
      <c r="D1062">
        <v>68.087410000000006</v>
      </c>
      <c r="E1062">
        <v>200.41398033999999</v>
      </c>
      <c r="F1062">
        <v>201.84631003999999</v>
      </c>
      <c r="G1062">
        <v>200.41398033999999</v>
      </c>
      <c r="H1062">
        <v>6.3797280130682701</v>
      </c>
      <c r="J1062" t="b">
        <v>0</v>
      </c>
    </row>
    <row r="1063" spans="1:10" x14ac:dyDescent="0.25">
      <c r="A1063">
        <v>1061</v>
      </c>
      <c r="B1063" t="s">
        <v>2122</v>
      </c>
      <c r="C1063" s="1">
        <v>46220</v>
      </c>
      <c r="D1063">
        <v>93.817049999999995</v>
      </c>
      <c r="E1063">
        <v>82.238120080000002</v>
      </c>
      <c r="F1063">
        <v>83.882650400000003</v>
      </c>
      <c r="G1063">
        <v>82.238120080000002</v>
      </c>
      <c r="H1063">
        <v>4.8433646959342802</v>
      </c>
      <c r="J1063" t="b">
        <v>0</v>
      </c>
    </row>
    <row r="1064" spans="1:10" x14ac:dyDescent="0.25">
      <c r="A1064">
        <v>1062</v>
      </c>
      <c r="B1064" t="s">
        <v>2124</v>
      </c>
      <c r="C1064" s="1">
        <v>46220</v>
      </c>
      <c r="D1064">
        <v>88.670950000000005</v>
      </c>
      <c r="E1064">
        <v>74.366018650000001</v>
      </c>
      <c r="F1064">
        <v>76.139254159999993</v>
      </c>
      <c r="G1064">
        <v>74.366018650000001</v>
      </c>
      <c r="H1064">
        <v>4.7636712326407</v>
      </c>
      <c r="J1064" t="b">
        <v>0</v>
      </c>
    </row>
    <row r="1065" spans="1:10" x14ac:dyDescent="0.25">
      <c r="A1065">
        <v>1063</v>
      </c>
      <c r="B1065" t="s">
        <v>2126</v>
      </c>
      <c r="C1065" s="1">
        <v>46220</v>
      </c>
      <c r="D1065">
        <v>92.898465000000002</v>
      </c>
      <c r="E1065">
        <v>147.20638577</v>
      </c>
      <c r="F1065">
        <v>147.77939900999999</v>
      </c>
      <c r="G1065">
        <v>147.20638577</v>
      </c>
      <c r="H1065">
        <v>5.8262955942037999</v>
      </c>
      <c r="J1065" t="b">
        <v>0</v>
      </c>
    </row>
    <row r="1066" spans="1:10" x14ac:dyDescent="0.25">
      <c r="A1066">
        <v>1064</v>
      </c>
      <c r="B1066" t="s">
        <v>2128</v>
      </c>
      <c r="C1066" s="1">
        <v>46220</v>
      </c>
      <c r="D1066">
        <v>99.648134999999996</v>
      </c>
      <c r="E1066">
        <v>96.543796549999996</v>
      </c>
      <c r="F1066">
        <v>97.980805380000007</v>
      </c>
      <c r="G1066">
        <v>96.543796549999996</v>
      </c>
      <c r="H1066">
        <v>5.01813287940187</v>
      </c>
      <c r="J1066" t="b">
        <v>0</v>
      </c>
    </row>
    <row r="1067" spans="1:10" x14ac:dyDescent="0.25">
      <c r="A1067">
        <v>1065</v>
      </c>
      <c r="B1067" t="s">
        <v>2130</v>
      </c>
      <c r="C1067" s="1">
        <v>46220</v>
      </c>
      <c r="D1067">
        <v>101.1965</v>
      </c>
      <c r="E1067">
        <v>114.18901758</v>
      </c>
      <c r="F1067">
        <v>115.73787691</v>
      </c>
      <c r="G1067">
        <v>114.18901758</v>
      </c>
      <c r="H1067">
        <v>5.209107455911</v>
      </c>
      <c r="J1067" t="b">
        <v>0</v>
      </c>
    </row>
    <row r="1068" spans="1:10" x14ac:dyDescent="0.25">
      <c r="A1068">
        <v>1066</v>
      </c>
      <c r="B1068" t="s">
        <v>2132</v>
      </c>
      <c r="C1068" s="1">
        <v>46220</v>
      </c>
      <c r="D1068">
        <v>101.15219999999999</v>
      </c>
      <c r="E1068">
        <v>40.146852010000003</v>
      </c>
      <c r="F1068">
        <v>44.341896609999999</v>
      </c>
      <c r="G1068">
        <v>40.146852010000003</v>
      </c>
      <c r="H1068">
        <v>4.5065393485673004</v>
      </c>
      <c r="J1068" t="b">
        <v>0</v>
      </c>
    </row>
    <row r="1069" spans="1:10" x14ac:dyDescent="0.25">
      <c r="A1069">
        <v>1067</v>
      </c>
      <c r="B1069" t="s">
        <v>2134</v>
      </c>
      <c r="C1069" s="1">
        <v>46220</v>
      </c>
      <c r="D1069">
        <v>94.643284999999906</v>
      </c>
      <c r="E1069">
        <v>135.8703065</v>
      </c>
      <c r="F1069">
        <v>136.17733797</v>
      </c>
      <c r="G1069">
        <v>135.8703065</v>
      </c>
      <c r="H1069">
        <v>5.5550334208460104</v>
      </c>
      <c r="J1069" t="b">
        <v>0</v>
      </c>
    </row>
    <row r="1070" spans="1:10" x14ac:dyDescent="0.25">
      <c r="A1070">
        <v>1068</v>
      </c>
      <c r="B1070" t="s">
        <v>2136</v>
      </c>
      <c r="C1070" s="1">
        <v>46220</v>
      </c>
      <c r="D1070">
        <v>98.180009999999996</v>
      </c>
      <c r="E1070">
        <v>141.72081735</v>
      </c>
      <c r="F1070">
        <v>143.08151143000001</v>
      </c>
      <c r="G1070">
        <v>141.72081735</v>
      </c>
      <c r="H1070">
        <v>5.2660297991975797</v>
      </c>
      <c r="J1070" t="b">
        <v>0</v>
      </c>
    </row>
    <row r="1071" spans="1:10" x14ac:dyDescent="0.25">
      <c r="A1071">
        <v>1069</v>
      </c>
      <c r="B1071" t="s">
        <v>2139</v>
      </c>
      <c r="C1071" s="1">
        <v>46220</v>
      </c>
      <c r="D1071">
        <v>101.3561</v>
      </c>
      <c r="E1071">
        <v>47.423321850000001</v>
      </c>
      <c r="F1071">
        <v>50.011817700000002</v>
      </c>
      <c r="G1071">
        <v>47.423321850000001</v>
      </c>
      <c r="H1071">
        <v>4.5570200482915304</v>
      </c>
      <c r="J1071" t="b">
        <v>0</v>
      </c>
    </row>
    <row r="1072" spans="1:10" x14ac:dyDescent="0.25">
      <c r="A1072">
        <v>1070</v>
      </c>
      <c r="B1072" t="s">
        <v>2141</v>
      </c>
      <c r="C1072" s="1">
        <v>46220</v>
      </c>
      <c r="D1072">
        <v>100.02549999999999</v>
      </c>
      <c r="E1072">
        <v>86.976467700000001</v>
      </c>
      <c r="F1072">
        <v>100.26140122</v>
      </c>
      <c r="G1072">
        <v>86.976467700000001</v>
      </c>
      <c r="H1072">
        <v>4.6482207028184899</v>
      </c>
      <c r="J1072" t="b">
        <v>0</v>
      </c>
    </row>
    <row r="1073" spans="1:10" x14ac:dyDescent="0.25">
      <c r="A1073">
        <v>1071</v>
      </c>
      <c r="B1073" t="s">
        <v>2143</v>
      </c>
      <c r="C1073" s="1">
        <v>46220</v>
      </c>
      <c r="D1073">
        <v>120.013496398925</v>
      </c>
      <c r="E1073">
        <v>-13730.679031670001</v>
      </c>
      <c r="F1073">
        <v>-20603.150634469999</v>
      </c>
      <c r="G1073">
        <v>-13730.679031670001</v>
      </c>
      <c r="H1073">
        <v>-216.63734068306499</v>
      </c>
      <c r="I1073">
        <v>71136</v>
      </c>
      <c r="J1073" t="b">
        <v>0</v>
      </c>
    </row>
    <row r="1074" spans="1:10" x14ac:dyDescent="0.25">
      <c r="A1074">
        <v>1072</v>
      </c>
      <c r="B1074" t="s">
        <v>2145</v>
      </c>
      <c r="C1074" s="1">
        <v>46220</v>
      </c>
      <c r="D1074">
        <v>103.7761</v>
      </c>
      <c r="E1074">
        <v>136.52233937</v>
      </c>
      <c r="F1074">
        <v>137.09685325999999</v>
      </c>
      <c r="G1074">
        <v>136.52233937</v>
      </c>
      <c r="H1074">
        <v>5.4979319126963899</v>
      </c>
      <c r="J1074" t="b">
        <v>0</v>
      </c>
    </row>
    <row r="1075" spans="1:10" x14ac:dyDescent="0.25">
      <c r="A1075">
        <v>1073</v>
      </c>
      <c r="B1075" t="s">
        <v>2147</v>
      </c>
      <c r="C1075" s="1">
        <v>46220</v>
      </c>
      <c r="D1075">
        <v>100.39834999999999</v>
      </c>
      <c r="E1075">
        <v>102.12158673</v>
      </c>
      <c r="F1075">
        <v>103.47055562</v>
      </c>
      <c r="G1075">
        <v>102.12158673</v>
      </c>
      <c r="H1075">
        <v>5.0934995273312804</v>
      </c>
      <c r="J1075" t="b">
        <v>0</v>
      </c>
    </row>
    <row r="1076" spans="1:10" x14ac:dyDescent="0.25">
      <c r="A1076">
        <v>1074</v>
      </c>
      <c r="B1076" t="s">
        <v>2149</v>
      </c>
      <c r="C1076" s="1">
        <v>46220</v>
      </c>
      <c r="D1076">
        <v>101.96850000000001</v>
      </c>
      <c r="E1076">
        <v>62.016767250000001</v>
      </c>
      <c r="F1076">
        <v>63.910721719999998</v>
      </c>
      <c r="G1076">
        <v>62.016767250000001</v>
      </c>
      <c r="H1076">
        <v>4.6686763949137804</v>
      </c>
      <c r="J1076" t="b">
        <v>0</v>
      </c>
    </row>
    <row r="1077" spans="1:10" x14ac:dyDescent="0.25">
      <c r="A1077">
        <v>1075</v>
      </c>
      <c r="B1077" t="s">
        <v>2151</v>
      </c>
      <c r="C1077" s="1">
        <v>46220</v>
      </c>
      <c r="D1077">
        <v>101.0703</v>
      </c>
      <c r="E1077">
        <v>115.72045918000001</v>
      </c>
      <c r="F1077">
        <v>116.89420524000001</v>
      </c>
      <c r="G1077">
        <v>115.72045918000001</v>
      </c>
      <c r="H1077">
        <v>5.2383888046357097</v>
      </c>
      <c r="J1077" t="b">
        <v>0</v>
      </c>
    </row>
    <row r="1078" spans="1:10" x14ac:dyDescent="0.25">
      <c r="A1078">
        <v>1076</v>
      </c>
      <c r="B1078" t="s">
        <v>2153</v>
      </c>
      <c r="C1078" s="1">
        <v>46220</v>
      </c>
      <c r="D1078">
        <v>105.0748</v>
      </c>
      <c r="E1078">
        <v>197.375</v>
      </c>
      <c r="F1078">
        <v>198.15899999999999</v>
      </c>
      <c r="G1078">
        <v>197.375</v>
      </c>
      <c r="H1078">
        <v>6.6711069740476701</v>
      </c>
      <c r="J1078" t="b">
        <v>0</v>
      </c>
    </row>
    <row r="1079" spans="1:10" x14ac:dyDescent="0.25">
      <c r="A1079">
        <v>1077</v>
      </c>
      <c r="B1079" t="s">
        <v>2155</v>
      </c>
      <c r="C1079" s="1">
        <v>46220</v>
      </c>
      <c r="D1079">
        <v>103.6361</v>
      </c>
      <c r="E1079">
        <v>181.5835696</v>
      </c>
      <c r="F1079">
        <v>183.79024376999999</v>
      </c>
      <c r="G1079">
        <v>181.5835696</v>
      </c>
      <c r="H1079">
        <v>7.10599078727126</v>
      </c>
      <c r="J1079" t="b">
        <v>0</v>
      </c>
    </row>
    <row r="1080" spans="1:10" x14ac:dyDescent="0.25">
      <c r="A1080">
        <v>1078</v>
      </c>
      <c r="B1080" t="s">
        <v>2157</v>
      </c>
      <c r="C1080" s="1">
        <v>46220</v>
      </c>
      <c r="D1080">
        <v>99.091459999999998</v>
      </c>
      <c r="E1080">
        <v>107.53004697</v>
      </c>
      <c r="F1080">
        <v>108.49268381</v>
      </c>
      <c r="G1080">
        <v>107.53004697</v>
      </c>
      <c r="H1080">
        <v>5.18827239647129</v>
      </c>
      <c r="J1080" t="b">
        <v>0</v>
      </c>
    </row>
    <row r="1081" spans="1:10" x14ac:dyDescent="0.25">
      <c r="A1081">
        <v>1079</v>
      </c>
      <c r="B1081" t="s">
        <v>2159</v>
      </c>
      <c r="C1081" s="1">
        <v>46220</v>
      </c>
      <c r="D1081">
        <v>102.61895</v>
      </c>
      <c r="E1081">
        <v>187.02228844999999</v>
      </c>
      <c r="F1081">
        <v>189.31957378999999</v>
      </c>
      <c r="G1081">
        <v>187.02228844999999</v>
      </c>
      <c r="H1081">
        <v>6.6234493670424603</v>
      </c>
      <c r="J1081" t="b">
        <v>0</v>
      </c>
    </row>
    <row r="1082" spans="1:10" x14ac:dyDescent="0.25">
      <c r="A1082">
        <v>1080</v>
      </c>
      <c r="B1082" t="s">
        <v>2161</v>
      </c>
      <c r="C1082" s="1">
        <v>46220</v>
      </c>
      <c r="D1082">
        <v>100.30145</v>
      </c>
      <c r="E1082">
        <v>69.455530749999994</v>
      </c>
      <c r="F1082">
        <v>71.747862440000006</v>
      </c>
      <c r="G1082">
        <v>69.455530749999994</v>
      </c>
      <c r="H1082">
        <v>4.7119098682618503</v>
      </c>
      <c r="J1082" t="b">
        <v>0</v>
      </c>
    </row>
    <row r="1083" spans="1:10" x14ac:dyDescent="0.25">
      <c r="A1083">
        <v>1081</v>
      </c>
      <c r="B1083" t="s">
        <v>2163</v>
      </c>
      <c r="C1083" s="1">
        <v>46220</v>
      </c>
      <c r="D1083">
        <v>98.057774999999907</v>
      </c>
      <c r="E1083">
        <v>110.14545176</v>
      </c>
      <c r="F1083">
        <v>111.14589694999999</v>
      </c>
      <c r="G1083">
        <v>110.14545176</v>
      </c>
      <c r="H1083">
        <v>5.2257116349225496</v>
      </c>
      <c r="J1083" t="b">
        <v>0</v>
      </c>
    </row>
    <row r="1084" spans="1:10" x14ac:dyDescent="0.25">
      <c r="A1084">
        <v>1082</v>
      </c>
      <c r="B1084" t="s">
        <v>2166</v>
      </c>
      <c r="C1084" s="1">
        <v>46220</v>
      </c>
      <c r="D1084">
        <v>105.44635</v>
      </c>
      <c r="E1084">
        <v>-376.73055935999997</v>
      </c>
      <c r="F1084">
        <v>-374.28128715000003</v>
      </c>
      <c r="G1084">
        <v>-376.73055935999997</v>
      </c>
      <c r="H1084">
        <v>0.351524719094299</v>
      </c>
      <c r="J1084" t="b">
        <v>0</v>
      </c>
    </row>
    <row r="1085" spans="1:10" x14ac:dyDescent="0.25">
      <c r="A1085">
        <v>1083</v>
      </c>
      <c r="B1085" t="s">
        <v>2168</v>
      </c>
      <c r="C1085" s="1">
        <v>46220</v>
      </c>
      <c r="D1085">
        <v>99.712225000000004</v>
      </c>
      <c r="E1085">
        <v>201.74968464</v>
      </c>
      <c r="F1085">
        <v>203.61438117</v>
      </c>
      <c r="G1085">
        <v>201.74968464</v>
      </c>
      <c r="H1085">
        <v>6.3586572317710601</v>
      </c>
      <c r="J1085" t="b">
        <v>0</v>
      </c>
    </row>
    <row r="1086" spans="1:10" x14ac:dyDescent="0.25">
      <c r="A1086">
        <v>1084</v>
      </c>
      <c r="B1086" t="s">
        <v>2170</v>
      </c>
      <c r="C1086" s="1">
        <v>46220</v>
      </c>
      <c r="D1086">
        <v>96.405574999999999</v>
      </c>
      <c r="E1086">
        <v>108.46932096</v>
      </c>
      <c r="F1086">
        <v>109.12686394000001</v>
      </c>
      <c r="G1086">
        <v>108.46932096</v>
      </c>
      <c r="H1086">
        <v>5.2716765684229197</v>
      </c>
      <c r="J1086" t="b">
        <v>0</v>
      </c>
    </row>
    <row r="1087" spans="1:10" x14ac:dyDescent="0.25">
      <c r="A1087">
        <v>1085</v>
      </c>
      <c r="B1087" t="s">
        <v>2173</v>
      </c>
      <c r="C1087" s="1">
        <v>46220</v>
      </c>
      <c r="D1087">
        <v>96.5304</v>
      </c>
      <c r="E1087">
        <v>109.5828588</v>
      </c>
      <c r="F1087">
        <v>111.13494518</v>
      </c>
      <c r="G1087">
        <v>109.5828588</v>
      </c>
      <c r="H1087">
        <v>4.99627774351017</v>
      </c>
      <c r="J1087" t="b">
        <v>0</v>
      </c>
    </row>
    <row r="1088" spans="1:10" x14ac:dyDescent="0.25">
      <c r="A1088">
        <v>1086</v>
      </c>
      <c r="B1088" t="s">
        <v>2176</v>
      </c>
      <c r="C1088" s="1">
        <v>46220</v>
      </c>
      <c r="D1088">
        <v>98.932720000000003</v>
      </c>
      <c r="E1088">
        <v>33.53631043</v>
      </c>
      <c r="F1088">
        <v>35.551066599999999</v>
      </c>
      <c r="G1088">
        <v>33.53631043</v>
      </c>
      <c r="H1088">
        <v>4.1508806608425504</v>
      </c>
      <c r="J1088" t="b">
        <v>0</v>
      </c>
    </row>
    <row r="1089" spans="1:10" x14ac:dyDescent="0.25">
      <c r="A1089">
        <v>1087</v>
      </c>
      <c r="B1089" t="s">
        <v>2179</v>
      </c>
      <c r="C1089" s="1">
        <v>46220</v>
      </c>
      <c r="D1089">
        <v>99.811544999999995</v>
      </c>
      <c r="E1089">
        <v>43.842599610000001</v>
      </c>
      <c r="F1089">
        <v>58.812763609999998</v>
      </c>
      <c r="G1089">
        <v>43.842599610000001</v>
      </c>
      <c r="H1089">
        <v>4.3959855971162902</v>
      </c>
      <c r="J1089" t="b">
        <v>0</v>
      </c>
    </row>
    <row r="1090" spans="1:10" x14ac:dyDescent="0.25">
      <c r="A1090">
        <v>1088</v>
      </c>
      <c r="B1090" t="s">
        <v>2182</v>
      </c>
      <c r="C1090" s="1">
        <v>46220</v>
      </c>
      <c r="D1090">
        <v>101.64400000000001</v>
      </c>
      <c r="E1090">
        <v>84.225357299999999</v>
      </c>
      <c r="F1090">
        <v>87.625834679999997</v>
      </c>
      <c r="G1090">
        <v>84.225357299999999</v>
      </c>
      <c r="H1090">
        <v>4.9136745806058997</v>
      </c>
      <c r="J1090" t="b">
        <v>0</v>
      </c>
    </row>
    <row r="1091" spans="1:10" x14ac:dyDescent="0.25">
      <c r="A1091">
        <v>1089</v>
      </c>
      <c r="B1091" t="s">
        <v>2185</v>
      </c>
      <c r="C1091" s="1">
        <v>46220</v>
      </c>
      <c r="D1091">
        <v>102.0472</v>
      </c>
      <c r="E1091">
        <v>125.80063828999999</v>
      </c>
      <c r="F1091">
        <v>126.74592023</v>
      </c>
      <c r="G1091">
        <v>125.80063828999999</v>
      </c>
      <c r="H1091">
        <v>5.2985294885178398</v>
      </c>
      <c r="J1091" t="b">
        <v>0</v>
      </c>
    </row>
    <row r="1092" spans="1:10" x14ac:dyDescent="0.25">
      <c r="A1092">
        <v>1090</v>
      </c>
      <c r="B1092" t="s">
        <v>2187</v>
      </c>
      <c r="C1092" s="1">
        <v>46220</v>
      </c>
      <c r="D1092">
        <v>100.6439</v>
      </c>
      <c r="E1092">
        <v>128.37482378000001</v>
      </c>
      <c r="F1092">
        <v>129.32938827000001</v>
      </c>
      <c r="G1092">
        <v>128.37482378000001</v>
      </c>
      <c r="H1092">
        <v>5.3226462299628796</v>
      </c>
      <c r="J1092" t="b">
        <v>0</v>
      </c>
    </row>
    <row r="1093" spans="1:10" x14ac:dyDescent="0.25">
      <c r="A1093">
        <v>1091</v>
      </c>
      <c r="B1093" t="s">
        <v>2189</v>
      </c>
      <c r="C1093" s="1">
        <v>46220</v>
      </c>
      <c r="D1093">
        <v>86.175280000000001</v>
      </c>
      <c r="E1093">
        <v>140.21284757999999</v>
      </c>
      <c r="F1093">
        <v>141.6895395</v>
      </c>
      <c r="G1093">
        <v>140.21284757999999</v>
      </c>
      <c r="H1093">
        <v>5.7544439682834598</v>
      </c>
      <c r="J1093" t="b">
        <v>0</v>
      </c>
    </row>
    <row r="1094" spans="1:10" x14ac:dyDescent="0.25">
      <c r="A1094">
        <v>1092</v>
      </c>
      <c r="B1094" t="s">
        <v>2191</v>
      </c>
      <c r="C1094" s="1">
        <v>46220</v>
      </c>
      <c r="D1094">
        <v>77.677515</v>
      </c>
      <c r="E1094">
        <v>135.89907747999999</v>
      </c>
      <c r="F1094">
        <v>138.29493482000001</v>
      </c>
      <c r="G1094">
        <v>135.89907747999999</v>
      </c>
      <c r="H1094">
        <v>5.68963055279713</v>
      </c>
      <c r="J1094" t="b">
        <v>0</v>
      </c>
    </row>
    <row r="1095" spans="1:10" x14ac:dyDescent="0.25">
      <c r="A1095">
        <v>1093</v>
      </c>
      <c r="B1095" t="s">
        <v>2193</v>
      </c>
      <c r="C1095" s="1">
        <v>46220</v>
      </c>
      <c r="D1095">
        <v>101.6871</v>
      </c>
      <c r="E1095">
        <v>140.69431112000001</v>
      </c>
      <c r="F1095">
        <v>140.39030500000001</v>
      </c>
      <c r="G1095">
        <v>140.69431112000001</v>
      </c>
      <c r="H1095">
        <v>5.6848115868401496</v>
      </c>
      <c r="J1095" t="b">
        <v>0</v>
      </c>
    </row>
    <row r="1096" spans="1:10" x14ac:dyDescent="0.25">
      <c r="A1096">
        <v>1094</v>
      </c>
      <c r="B1096" t="s">
        <v>2195</v>
      </c>
      <c r="C1096" s="1">
        <v>46220</v>
      </c>
      <c r="D1096">
        <v>109.54174999999999</v>
      </c>
      <c r="E1096">
        <v>131.3000691</v>
      </c>
      <c r="F1096">
        <v>131.16169027999999</v>
      </c>
      <c r="G1096">
        <v>131.3000691</v>
      </c>
      <c r="H1096">
        <v>5.5106002268257903</v>
      </c>
      <c r="J1096" t="b">
        <v>0</v>
      </c>
    </row>
    <row r="1097" spans="1:10" x14ac:dyDescent="0.25">
      <c r="A1097">
        <v>1095</v>
      </c>
      <c r="B1097" t="s">
        <v>2197</v>
      </c>
      <c r="C1097" s="1">
        <v>46220</v>
      </c>
      <c r="D1097">
        <v>105.175</v>
      </c>
      <c r="E1097">
        <v>155.18379823000001</v>
      </c>
      <c r="F1097">
        <v>155.5433065</v>
      </c>
      <c r="G1097">
        <v>155.18379823000001</v>
      </c>
      <c r="H1097">
        <v>5.6807082277044696</v>
      </c>
      <c r="J1097" t="b">
        <v>0</v>
      </c>
    </row>
    <row r="1098" spans="1:10" x14ac:dyDescent="0.25">
      <c r="A1098">
        <v>1096</v>
      </c>
      <c r="B1098" t="s">
        <v>2199</v>
      </c>
      <c r="C1098" s="1">
        <v>46220</v>
      </c>
      <c r="D1098">
        <v>110.4554</v>
      </c>
      <c r="E1098">
        <v>101.56812415</v>
      </c>
      <c r="F1098">
        <v>102.70070847</v>
      </c>
      <c r="G1098">
        <v>101.56812415</v>
      </c>
      <c r="H1098">
        <v>5.0823780577057196</v>
      </c>
      <c r="J1098" t="b">
        <v>0</v>
      </c>
    </row>
    <row r="1099" spans="1:10" x14ac:dyDescent="0.25">
      <c r="A1099">
        <v>1097</v>
      </c>
      <c r="B1099" t="s">
        <v>2202</v>
      </c>
      <c r="C1099" s="1">
        <v>46220</v>
      </c>
      <c r="D1099">
        <v>106.75069999999999</v>
      </c>
      <c r="E1099">
        <v>90.204528240000002</v>
      </c>
      <c r="F1099">
        <v>92.262457979999994</v>
      </c>
      <c r="G1099">
        <v>90.204528240000002</v>
      </c>
      <c r="H1099">
        <v>4.92640893248561</v>
      </c>
      <c r="J1099" t="b">
        <v>0</v>
      </c>
    </row>
    <row r="1100" spans="1:10" x14ac:dyDescent="0.25">
      <c r="A1100">
        <v>1098</v>
      </c>
      <c r="B1100" t="s">
        <v>2205</v>
      </c>
      <c r="C1100" s="1">
        <v>46220</v>
      </c>
      <c r="D1100">
        <v>29.463180000000001</v>
      </c>
      <c r="F1100">
        <v>2381.1415274400001</v>
      </c>
      <c r="H1100">
        <v>27.741522598665899</v>
      </c>
      <c r="J1100" t="b">
        <v>0</v>
      </c>
    </row>
    <row r="1101" spans="1:10" x14ac:dyDescent="0.25">
      <c r="A1101">
        <v>1099</v>
      </c>
      <c r="B1101" t="s">
        <v>2207</v>
      </c>
      <c r="C1101" s="1">
        <v>46220</v>
      </c>
      <c r="D1101">
        <v>103.56975</v>
      </c>
      <c r="E1101">
        <v>89.447681770000003</v>
      </c>
      <c r="F1101">
        <v>91.554765239999995</v>
      </c>
      <c r="G1101">
        <v>89.447681770000003</v>
      </c>
      <c r="H1101">
        <v>4.9479674309876396</v>
      </c>
      <c r="J1101" t="b">
        <v>0</v>
      </c>
    </row>
    <row r="1102" spans="1:10" x14ac:dyDescent="0.25">
      <c r="A1102">
        <v>1100</v>
      </c>
      <c r="B1102" t="s">
        <v>2209</v>
      </c>
      <c r="C1102" s="1">
        <v>46220</v>
      </c>
      <c r="D1102">
        <v>97.088705000000004</v>
      </c>
      <c r="E1102">
        <v>109.59156935999999</v>
      </c>
      <c r="F1102">
        <v>110.52378991</v>
      </c>
      <c r="G1102">
        <v>109.59156935999999</v>
      </c>
      <c r="H1102">
        <v>5.2376917872618298</v>
      </c>
      <c r="J1102" t="b">
        <v>0</v>
      </c>
    </row>
    <row r="1103" spans="1:10" x14ac:dyDescent="0.25">
      <c r="A1103">
        <v>1101</v>
      </c>
      <c r="B1103" t="s">
        <v>2212</v>
      </c>
      <c r="C1103" s="1">
        <v>46220</v>
      </c>
      <c r="D1103">
        <v>100.829200744628</v>
      </c>
      <c r="E1103">
        <v>-124.46493743000001</v>
      </c>
      <c r="F1103">
        <v>-122.65633810999999</v>
      </c>
      <c r="G1103">
        <v>-124.46493743000001</v>
      </c>
      <c r="H1103">
        <v>2.8087232695304598</v>
      </c>
      <c r="I1103">
        <v>52692</v>
      </c>
      <c r="J1103" t="b">
        <v>0</v>
      </c>
    </row>
    <row r="1104" spans="1:10" x14ac:dyDescent="0.25">
      <c r="A1104">
        <v>1102</v>
      </c>
      <c r="B1104" t="s">
        <v>2214</v>
      </c>
      <c r="C1104" s="1">
        <v>46220</v>
      </c>
      <c r="D1104">
        <v>87.024675000000002</v>
      </c>
      <c r="E1104">
        <v>145.36801496000001</v>
      </c>
      <c r="F1104">
        <v>146.11940565</v>
      </c>
      <c r="G1104">
        <v>145.36801496000001</v>
      </c>
      <c r="H1104">
        <v>5.8214144720303702</v>
      </c>
      <c r="J1104" t="b">
        <v>0</v>
      </c>
    </row>
    <row r="1105" spans="1:10" x14ac:dyDescent="0.25">
      <c r="A1105">
        <v>1103</v>
      </c>
      <c r="B1105" t="s">
        <v>2217</v>
      </c>
      <c r="C1105" s="1">
        <v>46220</v>
      </c>
      <c r="D1105">
        <v>97.614474999999999</v>
      </c>
      <c r="E1105">
        <v>85.494328199999998</v>
      </c>
      <c r="F1105">
        <v>87.140152900000004</v>
      </c>
      <c r="G1105">
        <v>85.494328199999998</v>
      </c>
      <c r="H1105">
        <v>4.9073261378890702</v>
      </c>
      <c r="J1105" t="b">
        <v>0</v>
      </c>
    </row>
    <row r="1106" spans="1:10" x14ac:dyDescent="0.25">
      <c r="A1106">
        <v>1104</v>
      </c>
      <c r="B1106" t="s">
        <v>2220</v>
      </c>
      <c r="C1106" s="1">
        <v>46220</v>
      </c>
      <c r="D1106">
        <v>100.42335</v>
      </c>
      <c r="E1106">
        <v>167.81083301000001</v>
      </c>
      <c r="F1106">
        <v>167.27400821000001</v>
      </c>
      <c r="G1106">
        <v>167.81083301000001</v>
      </c>
      <c r="H1106">
        <v>5.9814692070495301</v>
      </c>
      <c r="J1106" t="b">
        <v>0</v>
      </c>
    </row>
    <row r="1107" spans="1:10" x14ac:dyDescent="0.25">
      <c r="A1107">
        <v>1105</v>
      </c>
      <c r="B1107" t="s">
        <v>2222</v>
      </c>
      <c r="C1107" s="1">
        <v>46220</v>
      </c>
      <c r="D1107">
        <v>100.07265</v>
      </c>
      <c r="E1107">
        <v>91.674053490000006</v>
      </c>
      <c r="F1107">
        <v>98.540528890000004</v>
      </c>
      <c r="G1107">
        <v>91.674053490000006</v>
      </c>
      <c r="H1107">
        <v>4.8263778450264097</v>
      </c>
      <c r="J1107" t="b">
        <v>0</v>
      </c>
    </row>
    <row r="1108" spans="1:10" x14ac:dyDescent="0.25">
      <c r="A1108">
        <v>1106</v>
      </c>
      <c r="B1108" t="s">
        <v>2224</v>
      </c>
      <c r="C1108" s="1">
        <v>46220</v>
      </c>
      <c r="D1108">
        <v>92.239260000000002</v>
      </c>
      <c r="E1108">
        <v>147.81549649999999</v>
      </c>
      <c r="F1108">
        <v>148.46070981</v>
      </c>
      <c r="G1108">
        <v>147.81549649999999</v>
      </c>
      <c r="H1108">
        <v>5.7949617187828499</v>
      </c>
      <c r="J1108" t="b">
        <v>0</v>
      </c>
    </row>
    <row r="1109" spans="1:10" x14ac:dyDescent="0.25">
      <c r="A1109">
        <v>1107</v>
      </c>
      <c r="B1109" t="s">
        <v>2226</v>
      </c>
      <c r="C1109" s="1">
        <v>46220</v>
      </c>
      <c r="D1109">
        <v>79.619104999999905</v>
      </c>
      <c r="E1109">
        <v>191.14644645999999</v>
      </c>
      <c r="F1109">
        <v>192.65340029999999</v>
      </c>
      <c r="G1109">
        <v>191.14644645999999</v>
      </c>
      <c r="H1109">
        <v>6.25640641390165</v>
      </c>
      <c r="J1109" t="b">
        <v>0</v>
      </c>
    </row>
    <row r="1110" spans="1:10" x14ac:dyDescent="0.25">
      <c r="A1110">
        <v>1108</v>
      </c>
      <c r="B1110" t="s">
        <v>2228</v>
      </c>
      <c r="C1110" s="1">
        <v>46220</v>
      </c>
      <c r="D1110">
        <v>79.965969999999999</v>
      </c>
      <c r="E1110">
        <v>180.60345337000001</v>
      </c>
      <c r="F1110">
        <v>181.13569050000001</v>
      </c>
      <c r="G1110">
        <v>180.60345337000001</v>
      </c>
      <c r="H1110">
        <v>6.1774245907696503</v>
      </c>
      <c r="J1110" t="b">
        <v>0</v>
      </c>
    </row>
    <row r="1111" spans="1:10" x14ac:dyDescent="0.25">
      <c r="A1111">
        <v>1109</v>
      </c>
      <c r="B1111" t="s">
        <v>2230</v>
      </c>
      <c r="C1111" s="1">
        <v>46220</v>
      </c>
      <c r="D1111">
        <v>97.21951</v>
      </c>
      <c r="E1111">
        <v>90.988622370000002</v>
      </c>
      <c r="F1111">
        <v>92.604890049999995</v>
      </c>
      <c r="G1111">
        <v>90.988622370000002</v>
      </c>
      <c r="H1111">
        <v>4.9489414184212697</v>
      </c>
      <c r="J1111" t="b">
        <v>0</v>
      </c>
    </row>
    <row r="1112" spans="1:10" x14ac:dyDescent="0.25">
      <c r="A1112">
        <v>1110</v>
      </c>
      <c r="B1112" t="s">
        <v>2232</v>
      </c>
      <c r="C1112" s="1">
        <v>46220</v>
      </c>
      <c r="D1112">
        <v>70.798315000000002</v>
      </c>
      <c r="E1112">
        <v>143.52740835</v>
      </c>
      <c r="F1112">
        <v>145.09683322000001</v>
      </c>
      <c r="G1112">
        <v>143.52740835</v>
      </c>
      <c r="H1112">
        <v>5.8019740821518102</v>
      </c>
      <c r="J1112" t="b">
        <v>0</v>
      </c>
    </row>
    <row r="1113" spans="1:10" x14ac:dyDescent="0.25">
      <c r="A1113">
        <v>1111</v>
      </c>
      <c r="B1113" t="s">
        <v>2235</v>
      </c>
      <c r="C1113" s="1">
        <v>46220</v>
      </c>
      <c r="D1113">
        <v>91.038794999999993</v>
      </c>
      <c r="E1113">
        <v>80.943306120000003</v>
      </c>
      <c r="F1113">
        <v>82.524409890000001</v>
      </c>
      <c r="G1113">
        <v>80.943306120000003</v>
      </c>
      <c r="H1113">
        <v>4.8514763589380197</v>
      </c>
      <c r="J1113" t="b">
        <v>0</v>
      </c>
    </row>
    <row r="1114" spans="1:10" x14ac:dyDescent="0.25">
      <c r="A1114">
        <v>1112</v>
      </c>
      <c r="B1114" t="s">
        <v>2238</v>
      </c>
      <c r="C1114" s="1">
        <v>46220</v>
      </c>
      <c r="D1114">
        <v>89.448954999999998</v>
      </c>
      <c r="E1114">
        <v>122.25328767000001</v>
      </c>
      <c r="F1114">
        <v>123.95652087000001</v>
      </c>
      <c r="G1114">
        <v>122.25328767000001</v>
      </c>
      <c r="H1114">
        <v>5.2534659924933402</v>
      </c>
      <c r="J1114" t="b">
        <v>0</v>
      </c>
    </row>
    <row r="1115" spans="1:10" x14ac:dyDescent="0.25">
      <c r="A1115">
        <v>1113</v>
      </c>
      <c r="B1115" t="s">
        <v>2240</v>
      </c>
      <c r="C1115" s="1">
        <v>46220</v>
      </c>
      <c r="D1115">
        <v>67.972610000000003</v>
      </c>
      <c r="E1115">
        <v>142.00149562999999</v>
      </c>
      <c r="F1115">
        <v>143.66666623</v>
      </c>
      <c r="G1115">
        <v>142.00149562999999</v>
      </c>
      <c r="H1115">
        <v>5.8037437142399897</v>
      </c>
      <c r="J1115" t="b">
        <v>0</v>
      </c>
    </row>
    <row r="1116" spans="1:10" x14ac:dyDescent="0.25">
      <c r="A1116">
        <v>1114</v>
      </c>
      <c r="B1116" t="s">
        <v>2243</v>
      </c>
      <c r="C1116" s="1">
        <v>46220</v>
      </c>
      <c r="D1116">
        <v>89.898664999999994</v>
      </c>
      <c r="E1116">
        <v>75.900523919999998</v>
      </c>
      <c r="F1116">
        <v>77.486682149999993</v>
      </c>
      <c r="G1116">
        <v>75.900523919999998</v>
      </c>
      <c r="H1116">
        <v>4.7804882882126103</v>
      </c>
      <c r="J1116" t="b">
        <v>0</v>
      </c>
    </row>
    <row r="1117" spans="1:10" x14ac:dyDescent="0.25">
      <c r="A1117">
        <v>1115</v>
      </c>
      <c r="B1117" t="s">
        <v>2246</v>
      </c>
      <c r="C1117" s="1">
        <v>46220</v>
      </c>
      <c r="D1117">
        <v>62.735114999999901</v>
      </c>
      <c r="E1117">
        <v>140.83846958999999</v>
      </c>
      <c r="F1117">
        <v>143.36699669000001</v>
      </c>
      <c r="G1117">
        <v>140.83846958999999</v>
      </c>
      <c r="H1117">
        <v>5.7966324636130597</v>
      </c>
      <c r="J1117" t="b">
        <v>0</v>
      </c>
    </row>
    <row r="1118" spans="1:10" x14ac:dyDescent="0.25">
      <c r="A1118">
        <v>1116</v>
      </c>
      <c r="B1118" t="s">
        <v>2249</v>
      </c>
      <c r="C1118" s="1">
        <v>46220</v>
      </c>
      <c r="D1118">
        <v>80.17371</v>
      </c>
      <c r="E1118">
        <v>145.48796333000001</v>
      </c>
      <c r="F1118">
        <v>146.93591237000001</v>
      </c>
      <c r="G1118">
        <v>145.48796333000001</v>
      </c>
      <c r="H1118">
        <v>5.8448975413237898</v>
      </c>
      <c r="J1118" t="b">
        <v>0</v>
      </c>
    </row>
    <row r="1119" spans="1:10" x14ac:dyDescent="0.25">
      <c r="A1119">
        <v>1117</v>
      </c>
      <c r="B1119" t="s">
        <v>2252</v>
      </c>
      <c r="C1119" s="1">
        <v>46220</v>
      </c>
      <c r="D1119">
        <v>98.875</v>
      </c>
      <c r="E1119">
        <v>94.206694479999996</v>
      </c>
      <c r="F1119">
        <v>96.795962840000001</v>
      </c>
      <c r="G1119">
        <v>94.206694479999996</v>
      </c>
      <c r="H1119">
        <v>4.9392756857115501</v>
      </c>
      <c r="J1119" t="b">
        <v>0</v>
      </c>
    </row>
    <row r="1120" spans="1:10" x14ac:dyDescent="0.25">
      <c r="A1120">
        <v>1118</v>
      </c>
      <c r="B1120" t="s">
        <v>2254</v>
      </c>
      <c r="C1120" s="1">
        <v>46220</v>
      </c>
      <c r="D1120">
        <v>99.079899999999995</v>
      </c>
      <c r="E1120">
        <v>54.0848619</v>
      </c>
      <c r="F1120">
        <v>57.3177807</v>
      </c>
      <c r="G1120">
        <v>54.0848619</v>
      </c>
      <c r="H1120">
        <v>4.5921456703353103</v>
      </c>
      <c r="J1120" t="b">
        <v>0</v>
      </c>
    </row>
    <row r="1121" spans="1:10" x14ac:dyDescent="0.25">
      <c r="A1121">
        <v>1119</v>
      </c>
      <c r="B1121" t="s">
        <v>2256</v>
      </c>
      <c r="C1121" s="1">
        <v>46220</v>
      </c>
      <c r="D1121">
        <v>77.030769999999904</v>
      </c>
      <c r="E1121">
        <v>144.18308397000001</v>
      </c>
      <c r="F1121">
        <v>145.85813113</v>
      </c>
      <c r="G1121">
        <v>144.18308397000001</v>
      </c>
      <c r="H1121">
        <v>5.83070423143797</v>
      </c>
      <c r="J1121" t="b">
        <v>0</v>
      </c>
    </row>
    <row r="1122" spans="1:10" x14ac:dyDescent="0.25">
      <c r="A1122">
        <v>1120</v>
      </c>
      <c r="B1122" t="s">
        <v>2258</v>
      </c>
      <c r="C1122" s="1">
        <v>46220</v>
      </c>
      <c r="D1122">
        <v>77.081874999999997</v>
      </c>
      <c r="E1122">
        <v>168.58977748999999</v>
      </c>
      <c r="F1122">
        <v>169.85397587</v>
      </c>
      <c r="G1122">
        <v>168.58977748999999</v>
      </c>
      <c r="H1122">
        <v>6.0666967384775399</v>
      </c>
      <c r="J1122" t="b">
        <v>0</v>
      </c>
    </row>
    <row r="1123" spans="1:10" x14ac:dyDescent="0.25">
      <c r="A1123">
        <v>1121</v>
      </c>
      <c r="B1123" t="s">
        <v>2260</v>
      </c>
      <c r="C1123" s="1">
        <v>46220</v>
      </c>
      <c r="D1123">
        <v>99.361625000000004</v>
      </c>
      <c r="E1123">
        <v>41.597565639999999</v>
      </c>
      <c r="F1123">
        <v>50.124401730000002</v>
      </c>
      <c r="G1123">
        <v>41.597565639999999</v>
      </c>
      <c r="H1123">
        <v>4.3491200593929502</v>
      </c>
      <c r="J1123" t="b">
        <v>0</v>
      </c>
    </row>
    <row r="1124" spans="1:10" x14ac:dyDescent="0.25">
      <c r="A1124">
        <v>1122</v>
      </c>
      <c r="B1124" t="s">
        <v>3608</v>
      </c>
      <c r="C1124" s="1">
        <v>46220</v>
      </c>
      <c r="D1124">
        <v>94.5</v>
      </c>
      <c r="F1124">
        <v>597.53869213999997</v>
      </c>
      <c r="H1124">
        <v>9.9701831451781704</v>
      </c>
      <c r="J1124" t="b">
        <v>0</v>
      </c>
    </row>
    <row r="1125" spans="1:10" x14ac:dyDescent="0.25">
      <c r="A1125">
        <v>1123</v>
      </c>
      <c r="B1125" t="s">
        <v>3612</v>
      </c>
      <c r="C1125" s="1">
        <v>46220</v>
      </c>
      <c r="J1125" t="b">
        <v>0</v>
      </c>
    </row>
    <row r="1126" spans="1:10" x14ac:dyDescent="0.25">
      <c r="A1126">
        <v>1124</v>
      </c>
      <c r="B1126" t="s">
        <v>3614</v>
      </c>
      <c r="C1126" s="1">
        <v>46220</v>
      </c>
      <c r="D1126">
        <v>91</v>
      </c>
      <c r="F1126">
        <v>1270.9610442600001</v>
      </c>
      <c r="H1126">
        <v>16.8443784686458</v>
      </c>
      <c r="J1126" t="b">
        <v>0</v>
      </c>
    </row>
    <row r="1127" spans="1:10" x14ac:dyDescent="0.25">
      <c r="A1127">
        <v>1125</v>
      </c>
      <c r="B1127" t="s">
        <v>2263</v>
      </c>
      <c r="C1127" s="1">
        <v>46220</v>
      </c>
      <c r="D1127">
        <v>83.847239999999999</v>
      </c>
      <c r="E1127">
        <v>823.50951167999995</v>
      </c>
      <c r="F1127">
        <v>825.20158131999995</v>
      </c>
      <c r="G1127">
        <v>823.50951167999995</v>
      </c>
      <c r="H1127">
        <v>12.340427697883699</v>
      </c>
      <c r="J1127" t="b">
        <v>0</v>
      </c>
    </row>
    <row r="1128" spans="1:10" x14ac:dyDescent="0.25">
      <c r="A1128">
        <v>1126</v>
      </c>
      <c r="B1128" t="s">
        <v>2267</v>
      </c>
      <c r="C1128" s="1">
        <v>46220</v>
      </c>
      <c r="D1128">
        <v>98.8125</v>
      </c>
      <c r="F1128">
        <v>329.30575421999998</v>
      </c>
      <c r="H1128">
        <v>7.2395085154602796</v>
      </c>
      <c r="J1128" t="b">
        <v>0</v>
      </c>
    </row>
    <row r="1129" spans="1:10" x14ac:dyDescent="0.25">
      <c r="A1129">
        <v>1127</v>
      </c>
      <c r="B1129" t="s">
        <v>2269</v>
      </c>
      <c r="C1129" s="1">
        <v>46220</v>
      </c>
      <c r="D1129">
        <v>99.125</v>
      </c>
      <c r="F1129">
        <v>385.75029049</v>
      </c>
      <c r="H1129">
        <v>6.6604906563753197</v>
      </c>
      <c r="J1129" t="b">
        <v>0</v>
      </c>
    </row>
    <row r="1130" spans="1:10" x14ac:dyDescent="0.25">
      <c r="A1130">
        <v>1128</v>
      </c>
      <c r="B1130" t="s">
        <v>3807</v>
      </c>
      <c r="C1130" s="1">
        <v>46220</v>
      </c>
      <c r="D1130">
        <v>104.97265</v>
      </c>
      <c r="E1130">
        <v>319.13376969000001</v>
      </c>
      <c r="F1130">
        <v>321.37597645</v>
      </c>
      <c r="G1130">
        <v>319.13376969000001</v>
      </c>
      <c r="H1130">
        <v>8.4240007186261199</v>
      </c>
      <c r="J1130" t="b">
        <v>0</v>
      </c>
    </row>
    <row r="1131" spans="1:10" x14ac:dyDescent="0.25">
      <c r="A1131">
        <v>1129</v>
      </c>
      <c r="B1131" t="s">
        <v>3811</v>
      </c>
      <c r="C1131" s="1">
        <v>46220</v>
      </c>
      <c r="D1131">
        <v>98.329314999999994</v>
      </c>
      <c r="E1131">
        <v>636.55782740999996</v>
      </c>
      <c r="F1131">
        <v>637.93472831999998</v>
      </c>
      <c r="G1131">
        <v>636.55782740999996</v>
      </c>
      <c r="H1131">
        <v>10.395073985058</v>
      </c>
      <c r="J1131" t="b">
        <v>0</v>
      </c>
    </row>
    <row r="1132" spans="1:10" x14ac:dyDescent="0.25">
      <c r="A1132">
        <v>1130</v>
      </c>
      <c r="B1132" t="s">
        <v>3813</v>
      </c>
      <c r="C1132" s="1">
        <v>46220</v>
      </c>
      <c r="D1132">
        <v>103.03234999999999</v>
      </c>
      <c r="E1132">
        <v>342.04003260000002</v>
      </c>
      <c r="F1132">
        <v>344.39877195999998</v>
      </c>
      <c r="G1132">
        <v>342.04003260000002</v>
      </c>
      <c r="H1132">
        <v>7.7323273986953902</v>
      </c>
      <c r="J1132" t="b">
        <v>0</v>
      </c>
    </row>
    <row r="1133" spans="1:10" x14ac:dyDescent="0.25">
      <c r="A1133">
        <v>1131</v>
      </c>
      <c r="B1133" t="s">
        <v>3815</v>
      </c>
      <c r="C1133" s="1">
        <v>46220</v>
      </c>
      <c r="D1133">
        <v>94.595410000000001</v>
      </c>
      <c r="E1133">
        <v>379.24564314000003</v>
      </c>
      <c r="F1133">
        <v>379.97027050999998</v>
      </c>
      <c r="G1133">
        <v>379.24564314000003</v>
      </c>
      <c r="H1133">
        <v>7.9502205360151903</v>
      </c>
      <c r="J1133" t="b">
        <v>0</v>
      </c>
    </row>
    <row r="1134" spans="1:10" x14ac:dyDescent="0.25">
      <c r="A1134">
        <v>1132</v>
      </c>
      <c r="B1134" t="s">
        <v>3817</v>
      </c>
      <c r="C1134" s="1">
        <v>46220</v>
      </c>
      <c r="D1134">
        <v>95.615740000000002</v>
      </c>
      <c r="E1134">
        <v>330.04282620999999</v>
      </c>
      <c r="F1134">
        <v>332.53013816999999</v>
      </c>
      <c r="G1134">
        <v>330.04282620999999</v>
      </c>
      <c r="H1134">
        <v>7.4004420095571799</v>
      </c>
      <c r="J1134" t="b">
        <v>0</v>
      </c>
    </row>
    <row r="1135" spans="1:10" x14ac:dyDescent="0.25">
      <c r="A1135">
        <v>1133</v>
      </c>
      <c r="B1135" t="s">
        <v>3819</v>
      </c>
      <c r="C1135" s="1">
        <v>46220</v>
      </c>
      <c r="D1135">
        <v>97.125</v>
      </c>
      <c r="F1135">
        <v>383.53412238999999</v>
      </c>
      <c r="H1135">
        <v>7.9591269419850201</v>
      </c>
      <c r="J1135" t="b">
        <v>0</v>
      </c>
    </row>
    <row r="1136" spans="1:10" x14ac:dyDescent="0.25">
      <c r="A1136">
        <v>1134</v>
      </c>
      <c r="B1136" t="s">
        <v>3821</v>
      </c>
      <c r="C1136" s="1">
        <v>46220</v>
      </c>
      <c r="D1136">
        <v>97.375</v>
      </c>
      <c r="F1136">
        <v>402.69847652999999</v>
      </c>
      <c r="H1136">
        <v>7.8932219166187503</v>
      </c>
      <c r="J1136" t="b">
        <v>0</v>
      </c>
    </row>
    <row r="1137" spans="1:10" x14ac:dyDescent="0.25">
      <c r="A1137">
        <v>1135</v>
      </c>
      <c r="B1137" t="s">
        <v>3822</v>
      </c>
      <c r="C1137" s="1">
        <v>46220</v>
      </c>
      <c r="J1137" t="b">
        <v>0</v>
      </c>
    </row>
    <row r="1138" spans="1:10" x14ac:dyDescent="0.25">
      <c r="A1138">
        <v>1136</v>
      </c>
      <c r="B1138" t="s">
        <v>3824</v>
      </c>
      <c r="C1138" s="1">
        <v>46220</v>
      </c>
      <c r="D1138">
        <v>101.25</v>
      </c>
      <c r="F1138">
        <v>315.88374485999998</v>
      </c>
      <c r="H1138">
        <v>7.3461226471973298</v>
      </c>
      <c r="J1138" t="b">
        <v>0</v>
      </c>
    </row>
    <row r="1139" spans="1:10" x14ac:dyDescent="0.25">
      <c r="A1139">
        <v>1137</v>
      </c>
      <c r="B1139" t="s">
        <v>2285</v>
      </c>
      <c r="C1139" s="1">
        <v>46220</v>
      </c>
      <c r="D1139">
        <v>100.43745</v>
      </c>
      <c r="E1139">
        <v>473.30697035999998</v>
      </c>
      <c r="F1139">
        <v>488.77500802999998</v>
      </c>
      <c r="G1139">
        <v>473.30697035999998</v>
      </c>
      <c r="H1139">
        <v>9.2081105766782407</v>
      </c>
      <c r="J1139" t="b">
        <v>0</v>
      </c>
    </row>
    <row r="1140" spans="1:10" x14ac:dyDescent="0.25">
      <c r="A1140">
        <v>1138</v>
      </c>
      <c r="B1140" t="s">
        <v>2289</v>
      </c>
      <c r="C1140" s="1">
        <v>46220</v>
      </c>
      <c r="D1140">
        <v>99.862144999999998</v>
      </c>
      <c r="F1140">
        <v>715.44555584</v>
      </c>
      <c r="H1140">
        <v>11.160292031535899</v>
      </c>
      <c r="J1140" t="b">
        <v>0</v>
      </c>
    </row>
    <row r="1141" spans="1:10" x14ac:dyDescent="0.25">
      <c r="A1141">
        <v>1139</v>
      </c>
      <c r="B1141" t="s">
        <v>2291</v>
      </c>
      <c r="C1141" s="1">
        <v>46220</v>
      </c>
      <c r="D1141">
        <v>105.31775</v>
      </c>
      <c r="E1141">
        <v>293.41187740999999</v>
      </c>
      <c r="F1141">
        <v>295.22096882</v>
      </c>
      <c r="G1141">
        <v>293.41187740999999</v>
      </c>
      <c r="H1141">
        <v>7.3707027331354302</v>
      </c>
      <c r="J1141" t="b">
        <v>0</v>
      </c>
    </row>
    <row r="1142" spans="1:10" x14ac:dyDescent="0.25">
      <c r="A1142">
        <v>1140</v>
      </c>
      <c r="B1142" t="s">
        <v>2293</v>
      </c>
      <c r="C1142" s="1">
        <v>46220</v>
      </c>
      <c r="D1142">
        <v>100.5</v>
      </c>
      <c r="F1142">
        <v>395.50566588999999</v>
      </c>
      <c r="H1142">
        <v>8.1163670945449802</v>
      </c>
      <c r="J1142" t="b">
        <v>0</v>
      </c>
    </row>
    <row r="1143" spans="1:10" x14ac:dyDescent="0.25">
      <c r="A1143">
        <v>1141</v>
      </c>
      <c r="B1143" t="s">
        <v>2295</v>
      </c>
      <c r="C1143" s="1">
        <v>46220</v>
      </c>
      <c r="D1143">
        <v>95.881280000000004</v>
      </c>
      <c r="E1143">
        <v>691.58804926000005</v>
      </c>
      <c r="F1143">
        <v>693.17026475</v>
      </c>
      <c r="G1143">
        <v>691.58804926000005</v>
      </c>
      <c r="H1143">
        <v>10.9538474469294</v>
      </c>
      <c r="J1143" t="b">
        <v>0</v>
      </c>
    </row>
    <row r="1144" spans="1:10" x14ac:dyDescent="0.25">
      <c r="A1144">
        <v>1142</v>
      </c>
      <c r="B1144" t="s">
        <v>2299</v>
      </c>
      <c r="C1144" s="1">
        <v>46220</v>
      </c>
      <c r="D1144">
        <v>63.25</v>
      </c>
      <c r="F1144">
        <v>2089.7768403099999</v>
      </c>
      <c r="H1144">
        <v>21.930920588783898</v>
      </c>
      <c r="J1144" t="b">
        <v>0</v>
      </c>
    </row>
    <row r="1145" spans="1:10" x14ac:dyDescent="0.25">
      <c r="A1145">
        <v>1143</v>
      </c>
      <c r="B1145" t="s">
        <v>2303</v>
      </c>
      <c r="C1145" s="1">
        <v>46220</v>
      </c>
      <c r="D1145">
        <v>100.5</v>
      </c>
      <c r="F1145">
        <v>540.40008549000004</v>
      </c>
      <c r="H1145">
        <v>9.3834836165153206</v>
      </c>
      <c r="J1145" t="b">
        <v>0</v>
      </c>
    </row>
    <row r="1146" spans="1:10" x14ac:dyDescent="0.25">
      <c r="A1146">
        <v>1144</v>
      </c>
      <c r="B1146" t="s">
        <v>2304</v>
      </c>
      <c r="C1146" s="1">
        <v>46220</v>
      </c>
      <c r="J1146" t="b">
        <v>0</v>
      </c>
    </row>
    <row r="1147" spans="1:10" x14ac:dyDescent="0.25">
      <c r="A1147">
        <v>1145</v>
      </c>
      <c r="B1147" t="s">
        <v>2306</v>
      </c>
      <c r="C1147" s="1">
        <v>46220</v>
      </c>
      <c r="D1147">
        <v>52.241320000000002</v>
      </c>
      <c r="E1147">
        <v>3096.9889325099998</v>
      </c>
      <c r="F1147">
        <v>3098.9045088600001</v>
      </c>
      <c r="G1147">
        <v>3096.9889325099998</v>
      </c>
      <c r="H1147">
        <v>35.530379018269798</v>
      </c>
      <c r="J1147" t="b">
        <v>0</v>
      </c>
    </row>
    <row r="1148" spans="1:10" x14ac:dyDescent="0.25">
      <c r="A1148">
        <v>1146</v>
      </c>
      <c r="B1148" t="s">
        <v>1889</v>
      </c>
      <c r="C1148" s="1">
        <v>46220</v>
      </c>
      <c r="D1148">
        <v>89.835849999999994</v>
      </c>
      <c r="E1148">
        <v>909.32408156999998</v>
      </c>
      <c r="F1148">
        <v>911.26001418999999</v>
      </c>
      <c r="G1148">
        <v>909.32408156999998</v>
      </c>
      <c r="H1148">
        <v>13.2065093396045</v>
      </c>
      <c r="J1148" t="b">
        <v>0</v>
      </c>
    </row>
    <row r="1149" spans="1:10" x14ac:dyDescent="0.25">
      <c r="A1149">
        <v>1147</v>
      </c>
      <c r="B1149" t="s">
        <v>1893</v>
      </c>
      <c r="C1149" s="1">
        <v>46220</v>
      </c>
      <c r="J1149" t="b">
        <v>1</v>
      </c>
    </row>
    <row r="1150" spans="1:10" x14ac:dyDescent="0.25">
      <c r="A1150">
        <v>1148</v>
      </c>
      <c r="B1150" t="s">
        <v>1895</v>
      </c>
      <c r="C1150" s="1">
        <v>46220</v>
      </c>
      <c r="D1150">
        <v>62.050215000000001</v>
      </c>
      <c r="E1150">
        <v>1387.87696759</v>
      </c>
      <c r="F1150">
        <v>1389.7050073800001</v>
      </c>
      <c r="G1150">
        <v>1387.87696759</v>
      </c>
      <c r="H1150">
        <v>18.097417123653099</v>
      </c>
      <c r="J1150" t="b">
        <v>0</v>
      </c>
    </row>
    <row r="1151" spans="1:10" x14ac:dyDescent="0.25">
      <c r="A1151">
        <v>1149</v>
      </c>
      <c r="B1151" t="s">
        <v>1897</v>
      </c>
      <c r="C1151" s="1">
        <v>46220</v>
      </c>
      <c r="D1151">
        <v>92.799135000000007</v>
      </c>
      <c r="E1151">
        <v>300.45492288999998</v>
      </c>
      <c r="F1151">
        <v>302.96248799</v>
      </c>
      <c r="G1151">
        <v>300.45492288999998</v>
      </c>
      <c r="H1151">
        <v>7.2086394115672601</v>
      </c>
      <c r="J1151" t="b">
        <v>0</v>
      </c>
    </row>
    <row r="1152" spans="1:10" x14ac:dyDescent="0.25">
      <c r="A1152">
        <v>1150</v>
      </c>
      <c r="B1152" t="s">
        <v>1899</v>
      </c>
      <c r="C1152" s="1">
        <v>46220</v>
      </c>
      <c r="J1152" t="b">
        <v>0</v>
      </c>
    </row>
    <row r="1153" spans="1:10" x14ac:dyDescent="0.25">
      <c r="A1153">
        <v>1151</v>
      </c>
      <c r="B1153" t="s">
        <v>1901</v>
      </c>
      <c r="C1153" s="1">
        <v>46220</v>
      </c>
      <c r="D1153">
        <v>96.5</v>
      </c>
      <c r="F1153">
        <v>470.53397424000002</v>
      </c>
      <c r="H1153">
        <v>8.7406273196164808</v>
      </c>
      <c r="J1153" t="b">
        <v>0</v>
      </c>
    </row>
    <row r="1154" spans="1:10" x14ac:dyDescent="0.25">
      <c r="A1154">
        <v>1152</v>
      </c>
      <c r="B1154" t="s">
        <v>1903</v>
      </c>
      <c r="C1154" s="1">
        <v>46220</v>
      </c>
      <c r="D1154">
        <v>100.25</v>
      </c>
      <c r="F1154">
        <v>574.31940693000001</v>
      </c>
      <c r="H1154">
        <v>9.82047117676467</v>
      </c>
      <c r="J1154" t="b">
        <v>0</v>
      </c>
    </row>
    <row r="1155" spans="1:10" x14ac:dyDescent="0.25">
      <c r="A1155">
        <v>1153</v>
      </c>
      <c r="B1155" t="s">
        <v>1905</v>
      </c>
      <c r="C1155" s="1">
        <v>46220</v>
      </c>
      <c r="J1155" t="b">
        <v>0</v>
      </c>
    </row>
    <row r="1156" spans="1:10" x14ac:dyDescent="0.25">
      <c r="A1156">
        <v>1154</v>
      </c>
      <c r="B1156" t="s">
        <v>1907</v>
      </c>
      <c r="C1156" s="1">
        <v>46220</v>
      </c>
      <c r="J1156" t="b">
        <v>0</v>
      </c>
    </row>
    <row r="1157" spans="1:10" x14ac:dyDescent="0.25">
      <c r="A1157">
        <v>1155</v>
      </c>
      <c r="B1157" t="s">
        <v>1908</v>
      </c>
      <c r="C1157" s="1">
        <v>46220</v>
      </c>
      <c r="J1157" t="b">
        <v>0</v>
      </c>
    </row>
    <row r="1158" spans="1:10" x14ac:dyDescent="0.25">
      <c r="A1158">
        <v>1156</v>
      </c>
      <c r="B1158" t="s">
        <v>2327</v>
      </c>
      <c r="C1158" s="1">
        <v>46220</v>
      </c>
      <c r="D1158">
        <v>66.101174999999998</v>
      </c>
      <c r="E1158">
        <v>326.68987379999999</v>
      </c>
      <c r="F1158">
        <v>326.11607571000002</v>
      </c>
      <c r="G1158">
        <v>326.68987379999999</v>
      </c>
      <c r="H1158">
        <v>7.6519429521803399</v>
      </c>
      <c r="J1158" t="b">
        <v>0</v>
      </c>
    </row>
    <row r="1159" spans="1:10" x14ac:dyDescent="0.25">
      <c r="A1159">
        <v>1157</v>
      </c>
      <c r="B1159" t="s">
        <v>2331</v>
      </c>
      <c r="C1159" s="1">
        <v>46220</v>
      </c>
      <c r="D1159">
        <v>92.472584999999995</v>
      </c>
      <c r="E1159">
        <v>200.45872926999999</v>
      </c>
      <c r="F1159">
        <v>202.54601012000001</v>
      </c>
      <c r="G1159">
        <v>200.45872926999999</v>
      </c>
      <c r="H1159">
        <v>6.0535284137318204</v>
      </c>
      <c r="J1159" t="b">
        <v>0</v>
      </c>
    </row>
    <row r="1160" spans="1:10" x14ac:dyDescent="0.25">
      <c r="A1160">
        <v>1158</v>
      </c>
      <c r="B1160" t="s">
        <v>2333</v>
      </c>
      <c r="C1160" s="1">
        <v>46220</v>
      </c>
      <c r="D1160">
        <v>80.134550000000004</v>
      </c>
      <c r="E1160">
        <v>387.41152629999999</v>
      </c>
      <c r="F1160">
        <v>385.18894441999998</v>
      </c>
      <c r="G1160">
        <v>387.41152629999999</v>
      </c>
      <c r="H1160">
        <v>8.1960924114613398</v>
      </c>
      <c r="J1160" t="b">
        <v>0</v>
      </c>
    </row>
    <row r="1161" spans="1:10" x14ac:dyDescent="0.25">
      <c r="A1161">
        <v>1159</v>
      </c>
      <c r="B1161" t="s">
        <v>2335</v>
      </c>
      <c r="C1161" s="1">
        <v>46220</v>
      </c>
      <c r="D1161">
        <v>91.035055</v>
      </c>
      <c r="E1161">
        <v>328.63527087</v>
      </c>
      <c r="F1161">
        <v>329.84269917</v>
      </c>
      <c r="G1161">
        <v>328.63527087</v>
      </c>
      <c r="H1161">
        <v>7.3406475313884103</v>
      </c>
      <c r="J1161" t="b">
        <v>0</v>
      </c>
    </row>
    <row r="1162" spans="1:10" x14ac:dyDescent="0.25">
      <c r="A1162">
        <v>1160</v>
      </c>
      <c r="B1162" t="s">
        <v>2337</v>
      </c>
      <c r="C1162" s="1">
        <v>46220</v>
      </c>
      <c r="D1162">
        <v>79.116929999999996</v>
      </c>
      <c r="E1162">
        <v>1175.1737546100001</v>
      </c>
      <c r="F1162">
        <v>1177.1040017</v>
      </c>
      <c r="G1162">
        <v>1175.1737546100001</v>
      </c>
      <c r="H1162">
        <v>11.0148069186878</v>
      </c>
      <c r="J1162" t="b">
        <v>0</v>
      </c>
    </row>
    <row r="1163" spans="1:10" x14ac:dyDescent="0.25">
      <c r="A1163">
        <v>1161</v>
      </c>
      <c r="B1163" t="s">
        <v>2339</v>
      </c>
      <c r="C1163" s="1">
        <v>46220</v>
      </c>
      <c r="D1163">
        <v>104.30155000000001</v>
      </c>
      <c r="E1163">
        <v>269.45013633000002</v>
      </c>
      <c r="F1163">
        <v>271.42021549999998</v>
      </c>
      <c r="G1163">
        <v>269.45013633000002</v>
      </c>
      <c r="H1163">
        <v>6.9475413077172199</v>
      </c>
      <c r="J1163" t="b">
        <v>0</v>
      </c>
    </row>
    <row r="1164" spans="1:10" x14ac:dyDescent="0.25">
      <c r="A1164">
        <v>1162</v>
      </c>
      <c r="B1164" t="s">
        <v>2341</v>
      </c>
      <c r="C1164" s="1">
        <v>46220</v>
      </c>
      <c r="J1164" t="b">
        <v>0</v>
      </c>
    </row>
    <row r="1165" spans="1:10" x14ac:dyDescent="0.25">
      <c r="A1165">
        <v>1163</v>
      </c>
      <c r="B1165" t="s">
        <v>2310</v>
      </c>
      <c r="C1165" s="1">
        <v>46220</v>
      </c>
      <c r="D1165">
        <v>99.033360000000002</v>
      </c>
      <c r="E1165">
        <v>717.61146242999996</v>
      </c>
      <c r="F1165">
        <v>717.58767576000002</v>
      </c>
      <c r="G1165">
        <v>717.61146242999996</v>
      </c>
      <c r="H1165">
        <v>11.1956668514451</v>
      </c>
      <c r="J1165" t="b">
        <v>0</v>
      </c>
    </row>
    <row r="1166" spans="1:10" x14ac:dyDescent="0.25">
      <c r="A1166">
        <v>1164</v>
      </c>
      <c r="B1166" t="s">
        <v>2313</v>
      </c>
      <c r="C1166" s="1">
        <v>46220</v>
      </c>
      <c r="D1166">
        <v>99.906485000000004</v>
      </c>
      <c r="E1166">
        <v>449.67377913000001</v>
      </c>
      <c r="F1166">
        <v>450.60035900999998</v>
      </c>
      <c r="G1166">
        <v>449.67377913000001</v>
      </c>
      <c r="H1166">
        <v>8.5431956805586893</v>
      </c>
      <c r="J1166" t="b">
        <v>0</v>
      </c>
    </row>
    <row r="1167" spans="1:10" x14ac:dyDescent="0.25">
      <c r="A1167">
        <v>1165</v>
      </c>
      <c r="B1167" t="s">
        <v>2315</v>
      </c>
      <c r="C1167" s="1">
        <v>46220</v>
      </c>
      <c r="D1167">
        <v>99.875</v>
      </c>
      <c r="F1167">
        <v>482.04632950000001</v>
      </c>
      <c r="H1167">
        <v>8.7744392920285392</v>
      </c>
      <c r="J1167" t="b">
        <v>0</v>
      </c>
    </row>
    <row r="1168" spans="1:10" x14ac:dyDescent="0.25">
      <c r="A1168">
        <v>1166</v>
      </c>
      <c r="B1168" t="s">
        <v>3627</v>
      </c>
      <c r="C1168" s="1">
        <v>46220</v>
      </c>
      <c r="D1168">
        <v>89.8125</v>
      </c>
      <c r="F1168">
        <v>966.08615483000005</v>
      </c>
      <c r="H1168">
        <v>11.353981271916201</v>
      </c>
      <c r="J1168" t="b">
        <v>0</v>
      </c>
    </row>
    <row r="1169" spans="1:10" x14ac:dyDescent="0.25">
      <c r="A1169">
        <v>1167</v>
      </c>
      <c r="B1169" t="s">
        <v>3630</v>
      </c>
      <c r="C1169" s="1">
        <v>46220</v>
      </c>
      <c r="D1169">
        <v>74</v>
      </c>
      <c r="F1169">
        <v>1233.2611774300001</v>
      </c>
      <c r="H1169">
        <v>16.304622986353898</v>
      </c>
      <c r="J1169" t="b">
        <v>0</v>
      </c>
    </row>
    <row r="1170" spans="1:10" x14ac:dyDescent="0.25">
      <c r="A1170">
        <v>1168</v>
      </c>
      <c r="B1170" t="s">
        <v>3632</v>
      </c>
      <c r="C1170" s="1">
        <v>46220</v>
      </c>
      <c r="J1170" t="b">
        <v>0</v>
      </c>
    </row>
    <row r="1171" spans="1:10" x14ac:dyDescent="0.25">
      <c r="A1171">
        <v>1169</v>
      </c>
      <c r="B1171" t="s">
        <v>2343</v>
      </c>
      <c r="C1171" s="1">
        <v>46220</v>
      </c>
      <c r="D1171">
        <v>82.403499999999994</v>
      </c>
      <c r="F1171">
        <v>1430.59095112</v>
      </c>
      <c r="H1171">
        <v>18.249525541465101</v>
      </c>
      <c r="J1171" t="b">
        <v>0</v>
      </c>
    </row>
    <row r="1172" spans="1:10" x14ac:dyDescent="0.25">
      <c r="A1172">
        <v>1170</v>
      </c>
      <c r="B1172" t="s">
        <v>2348</v>
      </c>
      <c r="C1172" s="1">
        <v>46220</v>
      </c>
      <c r="J1172" t="b">
        <v>0</v>
      </c>
    </row>
    <row r="1173" spans="1:10" x14ac:dyDescent="0.25">
      <c r="A1173">
        <v>1171</v>
      </c>
      <c r="B1173" t="s">
        <v>2352</v>
      </c>
      <c r="C1173" s="1">
        <v>46220</v>
      </c>
      <c r="J1173" t="b">
        <v>0</v>
      </c>
    </row>
    <row r="1174" spans="1:10" x14ac:dyDescent="0.25">
      <c r="A1174">
        <v>1172</v>
      </c>
      <c r="B1174" t="s">
        <v>2354</v>
      </c>
      <c r="C1174" s="1">
        <v>46220</v>
      </c>
      <c r="D1174">
        <v>93.875</v>
      </c>
      <c r="F1174">
        <v>1154.5167985999999</v>
      </c>
      <c r="H1174">
        <v>14.6899500372928</v>
      </c>
      <c r="J1174" t="b">
        <v>0</v>
      </c>
    </row>
    <row r="1175" spans="1:10" x14ac:dyDescent="0.25">
      <c r="A1175">
        <v>1173</v>
      </c>
      <c r="B1175" t="s">
        <v>2355</v>
      </c>
      <c r="C1175" s="1">
        <v>46220</v>
      </c>
      <c r="J1175" t="b">
        <v>0</v>
      </c>
    </row>
    <row r="1176" spans="1:10" x14ac:dyDescent="0.25">
      <c r="A1176">
        <v>1174</v>
      </c>
      <c r="B1176" t="s">
        <v>2356</v>
      </c>
      <c r="C1176" s="1">
        <v>46220</v>
      </c>
      <c r="D1176">
        <v>97.659854999999993</v>
      </c>
      <c r="E1176">
        <v>726.67756207000002</v>
      </c>
      <c r="F1176">
        <v>728.52623463999998</v>
      </c>
      <c r="G1176">
        <v>726.67756207000002</v>
      </c>
      <c r="H1176">
        <v>11.355385152172101</v>
      </c>
      <c r="J1176" t="b">
        <v>0</v>
      </c>
    </row>
    <row r="1177" spans="1:10" x14ac:dyDescent="0.25">
      <c r="A1177">
        <v>1175</v>
      </c>
      <c r="B1177" t="s">
        <v>3248</v>
      </c>
      <c r="C1177" s="1">
        <v>46220</v>
      </c>
      <c r="D1177">
        <v>99.241664999999998</v>
      </c>
      <c r="E1177">
        <v>672.55982684000003</v>
      </c>
      <c r="F1177">
        <v>674.57704576000003</v>
      </c>
      <c r="G1177">
        <v>672.55982684000003</v>
      </c>
      <c r="H1177">
        <v>10.727218602401001</v>
      </c>
      <c r="J1177" t="b">
        <v>0</v>
      </c>
    </row>
    <row r="1178" spans="1:10" x14ac:dyDescent="0.25">
      <c r="A1178">
        <v>1176</v>
      </c>
      <c r="B1178" t="s">
        <v>3634</v>
      </c>
      <c r="C1178" s="1">
        <v>46220</v>
      </c>
      <c r="D1178">
        <v>94.55</v>
      </c>
      <c r="F1178">
        <v>724.69995816999995</v>
      </c>
      <c r="H1178">
        <v>11.234040607980599</v>
      </c>
      <c r="J1178" t="b">
        <v>0</v>
      </c>
    </row>
    <row r="1179" spans="1:10" x14ac:dyDescent="0.25">
      <c r="A1179">
        <v>1177</v>
      </c>
      <c r="B1179" t="s">
        <v>2370</v>
      </c>
      <c r="C1179" s="1">
        <v>46220</v>
      </c>
      <c r="D1179">
        <v>83.323224999999994</v>
      </c>
      <c r="E1179">
        <v>760.16667123000002</v>
      </c>
      <c r="F1179">
        <v>761.56687633000001</v>
      </c>
      <c r="G1179">
        <v>760.16667123000002</v>
      </c>
      <c r="H1179">
        <v>11.6528287384438</v>
      </c>
      <c r="J1179" t="b">
        <v>0</v>
      </c>
    </row>
    <row r="1180" spans="1:10" x14ac:dyDescent="0.25">
      <c r="A1180">
        <v>1178</v>
      </c>
      <c r="B1180" t="s">
        <v>2374</v>
      </c>
      <c r="C1180" s="1">
        <v>46220</v>
      </c>
      <c r="D1180">
        <v>98.5</v>
      </c>
      <c r="F1180">
        <v>487.49058760000003</v>
      </c>
      <c r="H1180">
        <v>7.5611754555422896</v>
      </c>
      <c r="J1180" t="b">
        <v>0</v>
      </c>
    </row>
    <row r="1181" spans="1:10" x14ac:dyDescent="0.25">
      <c r="A1181">
        <v>1179</v>
      </c>
      <c r="B1181" t="s">
        <v>2376</v>
      </c>
      <c r="C1181" s="1">
        <v>46220</v>
      </c>
      <c r="D1181">
        <v>98.5</v>
      </c>
      <c r="F1181">
        <v>488.63480077000003</v>
      </c>
      <c r="H1181">
        <v>7.59401629896914</v>
      </c>
      <c r="J1181" t="b">
        <v>0</v>
      </c>
    </row>
    <row r="1182" spans="1:10" x14ac:dyDescent="0.25">
      <c r="A1182">
        <v>1180</v>
      </c>
      <c r="B1182" t="s">
        <v>2377</v>
      </c>
      <c r="C1182" s="1">
        <v>46220</v>
      </c>
      <c r="D1182">
        <v>97.625</v>
      </c>
      <c r="F1182">
        <v>548.77553464000005</v>
      </c>
      <c r="H1182">
        <v>9.34682204660335</v>
      </c>
      <c r="J1182" t="b">
        <v>0</v>
      </c>
    </row>
    <row r="1183" spans="1:10" x14ac:dyDescent="0.25">
      <c r="A1183">
        <v>1181</v>
      </c>
      <c r="B1183" t="s">
        <v>2379</v>
      </c>
      <c r="C1183" s="1">
        <v>46220</v>
      </c>
      <c r="D1183">
        <v>97.5</v>
      </c>
      <c r="F1183">
        <v>515.52068536000002</v>
      </c>
      <c r="H1183">
        <v>8.9322320586012296</v>
      </c>
      <c r="J1183" t="b">
        <v>0</v>
      </c>
    </row>
    <row r="1184" spans="1:10" x14ac:dyDescent="0.25">
      <c r="A1184">
        <v>1182</v>
      </c>
      <c r="B1184" t="s">
        <v>2380</v>
      </c>
      <c r="C1184" s="1">
        <v>46220</v>
      </c>
      <c r="D1184">
        <v>87.5</v>
      </c>
      <c r="J1184" t="b">
        <v>0</v>
      </c>
    </row>
    <row r="1185" spans="1:10" x14ac:dyDescent="0.25">
      <c r="A1185">
        <v>1183</v>
      </c>
      <c r="B1185" t="s">
        <v>3826</v>
      </c>
      <c r="C1185" s="1">
        <v>46220</v>
      </c>
      <c r="D1185">
        <v>100.375</v>
      </c>
      <c r="F1185">
        <v>354.55993360999997</v>
      </c>
      <c r="H1185">
        <v>7.5209589658999301</v>
      </c>
      <c r="J1185" t="b">
        <v>0</v>
      </c>
    </row>
    <row r="1186" spans="1:10" x14ac:dyDescent="0.25">
      <c r="A1186">
        <v>1184</v>
      </c>
      <c r="B1186" t="s">
        <v>3828</v>
      </c>
      <c r="C1186" s="1">
        <v>46220</v>
      </c>
      <c r="D1186">
        <v>92.5</v>
      </c>
      <c r="F1186">
        <v>337.16528216</v>
      </c>
      <c r="H1186">
        <v>7.5334897259219504</v>
      </c>
      <c r="J1186" t="b">
        <v>0</v>
      </c>
    </row>
    <row r="1187" spans="1:10" x14ac:dyDescent="0.25">
      <c r="A1187">
        <v>1185</v>
      </c>
      <c r="B1187" t="s">
        <v>2388</v>
      </c>
      <c r="C1187" s="1">
        <v>46220</v>
      </c>
      <c r="D1187">
        <v>82.662009999999995</v>
      </c>
      <c r="E1187">
        <v>799.74642419999998</v>
      </c>
      <c r="F1187">
        <v>802.59220302000006</v>
      </c>
      <c r="G1187">
        <v>799.74642419999998</v>
      </c>
      <c r="H1187">
        <v>12.063419138593099</v>
      </c>
      <c r="J1187" t="b">
        <v>0</v>
      </c>
    </row>
    <row r="1188" spans="1:10" x14ac:dyDescent="0.25">
      <c r="A1188">
        <v>1186</v>
      </c>
      <c r="B1188" t="s">
        <v>2392</v>
      </c>
      <c r="C1188" s="1">
        <v>46220</v>
      </c>
      <c r="D1188">
        <v>88.5</v>
      </c>
      <c r="F1188">
        <v>550.37017911999999</v>
      </c>
      <c r="H1188">
        <v>9.4780828640412302</v>
      </c>
      <c r="J1188" t="b">
        <v>0</v>
      </c>
    </row>
    <row r="1189" spans="1:10" x14ac:dyDescent="0.25">
      <c r="A1189">
        <v>1187</v>
      </c>
      <c r="B1189" t="s">
        <v>2394</v>
      </c>
      <c r="C1189" s="1">
        <v>46220</v>
      </c>
      <c r="J1189" t="b">
        <v>0</v>
      </c>
    </row>
    <row r="1190" spans="1:10" x14ac:dyDescent="0.25">
      <c r="A1190">
        <v>1188</v>
      </c>
      <c r="B1190" t="s">
        <v>2396</v>
      </c>
      <c r="C1190" s="1">
        <v>46220</v>
      </c>
      <c r="D1190">
        <v>83.759285000000006</v>
      </c>
      <c r="E1190">
        <v>778.15672135</v>
      </c>
      <c r="F1190">
        <v>779.54426726999998</v>
      </c>
      <c r="G1190">
        <v>778.15672135</v>
      </c>
      <c r="H1190">
        <v>11.806968449294899</v>
      </c>
      <c r="J1190" t="b">
        <v>0</v>
      </c>
    </row>
    <row r="1191" spans="1:10" x14ac:dyDescent="0.25">
      <c r="A1191">
        <v>1189</v>
      </c>
      <c r="B1191" t="s">
        <v>2400</v>
      </c>
      <c r="C1191" s="1">
        <v>46220</v>
      </c>
      <c r="D1191">
        <v>96.0625</v>
      </c>
      <c r="F1191">
        <v>455.18108412999999</v>
      </c>
      <c r="H1191">
        <v>7.9927654277640201</v>
      </c>
      <c r="J1191" t="b">
        <v>0</v>
      </c>
    </row>
    <row r="1192" spans="1:10" x14ac:dyDescent="0.25">
      <c r="A1192">
        <v>1190</v>
      </c>
      <c r="B1192" t="s">
        <v>2402</v>
      </c>
      <c r="C1192" s="1">
        <v>46220</v>
      </c>
      <c r="D1192">
        <v>99</v>
      </c>
      <c r="F1192">
        <v>266.17018546000003</v>
      </c>
      <c r="H1192">
        <v>6.4927701533393103</v>
      </c>
      <c r="J1192" t="b">
        <v>0</v>
      </c>
    </row>
    <row r="1193" spans="1:10" x14ac:dyDescent="0.25">
      <c r="A1193">
        <v>1191</v>
      </c>
      <c r="B1193" t="s">
        <v>2404</v>
      </c>
      <c r="C1193" s="1">
        <v>46220</v>
      </c>
      <c r="D1193">
        <v>36.719889999999999</v>
      </c>
      <c r="E1193">
        <v>1582.4426831400001</v>
      </c>
      <c r="F1193">
        <v>1570.3299684199999</v>
      </c>
      <c r="G1193">
        <v>1582.4426831400001</v>
      </c>
      <c r="H1193">
        <v>18.999016813526499</v>
      </c>
      <c r="J1193" t="b">
        <v>0</v>
      </c>
    </row>
    <row r="1194" spans="1:10" x14ac:dyDescent="0.25">
      <c r="A1194">
        <v>1192</v>
      </c>
      <c r="B1194" t="s">
        <v>2408</v>
      </c>
      <c r="C1194" s="1">
        <v>46220</v>
      </c>
      <c r="D1194">
        <v>34.797865000000002</v>
      </c>
      <c r="E1194">
        <v>1475.0706760800001</v>
      </c>
      <c r="F1194">
        <v>1465.9879756800001</v>
      </c>
      <c r="G1194">
        <v>1475.0706760800001</v>
      </c>
      <c r="H1194">
        <v>19.6729148697334</v>
      </c>
      <c r="J1194" t="b">
        <v>0</v>
      </c>
    </row>
    <row r="1195" spans="1:10" x14ac:dyDescent="0.25">
      <c r="A1195">
        <v>1193</v>
      </c>
      <c r="B1195" t="s">
        <v>2410</v>
      </c>
      <c r="C1195" s="1">
        <v>46220</v>
      </c>
      <c r="D1195">
        <v>71.97627</v>
      </c>
      <c r="E1195">
        <v>1972.75907764</v>
      </c>
      <c r="F1195">
        <v>1975.0042269400001</v>
      </c>
      <c r="G1195">
        <v>1972.75907764</v>
      </c>
      <c r="H1195">
        <v>23.881922539459602</v>
      </c>
      <c r="J1195" t="b">
        <v>0</v>
      </c>
    </row>
    <row r="1196" spans="1:10" x14ac:dyDescent="0.25">
      <c r="A1196">
        <v>1194</v>
      </c>
      <c r="B1196" t="s">
        <v>2412</v>
      </c>
      <c r="C1196" s="1">
        <v>46220</v>
      </c>
      <c r="D1196">
        <v>101.3125</v>
      </c>
      <c r="F1196">
        <v>404.65902447000002</v>
      </c>
      <c r="H1196">
        <v>8.9823939939069408</v>
      </c>
      <c r="J1196" t="b">
        <v>0</v>
      </c>
    </row>
    <row r="1197" spans="1:10" x14ac:dyDescent="0.25">
      <c r="A1197">
        <v>1195</v>
      </c>
      <c r="B1197" t="s">
        <v>2414</v>
      </c>
      <c r="C1197" s="1">
        <v>46220</v>
      </c>
      <c r="D1197">
        <v>101.4375</v>
      </c>
      <c r="F1197">
        <v>475.11094261</v>
      </c>
      <c r="H1197">
        <v>9.0170601640562502</v>
      </c>
      <c r="J1197" t="b">
        <v>0</v>
      </c>
    </row>
    <row r="1198" spans="1:10" x14ac:dyDescent="0.25">
      <c r="A1198">
        <v>1196</v>
      </c>
      <c r="B1198" t="s">
        <v>2416</v>
      </c>
      <c r="C1198" s="1">
        <v>46220</v>
      </c>
      <c r="D1198">
        <v>101.625</v>
      </c>
      <c r="F1198">
        <v>517.14542673000005</v>
      </c>
      <c r="H1198">
        <v>9.36339033622186</v>
      </c>
      <c r="J1198" t="b">
        <v>0</v>
      </c>
    </row>
    <row r="1199" spans="1:10" x14ac:dyDescent="0.25">
      <c r="A1199">
        <v>1197</v>
      </c>
      <c r="B1199" t="s">
        <v>2418</v>
      </c>
      <c r="C1199" s="1">
        <v>46220</v>
      </c>
      <c r="J1199" t="b">
        <v>0</v>
      </c>
    </row>
    <row r="1200" spans="1:10" x14ac:dyDescent="0.25">
      <c r="A1200">
        <v>1198</v>
      </c>
      <c r="B1200" t="s">
        <v>2420</v>
      </c>
      <c r="C1200" s="1">
        <v>46220</v>
      </c>
      <c r="D1200">
        <v>72</v>
      </c>
      <c r="F1200">
        <v>2308.58138826</v>
      </c>
      <c r="H1200">
        <v>27.064514492394899</v>
      </c>
      <c r="J1200" t="b">
        <v>0</v>
      </c>
    </row>
    <row r="1201" spans="1:10" x14ac:dyDescent="0.25">
      <c r="A1201">
        <v>1199</v>
      </c>
      <c r="B1201" t="s">
        <v>2421</v>
      </c>
      <c r="C1201" s="1">
        <v>46220</v>
      </c>
      <c r="D1201">
        <v>39.689039999999999</v>
      </c>
      <c r="E1201">
        <v>4236.25147801</v>
      </c>
      <c r="F1201">
        <v>4238.5730875199997</v>
      </c>
      <c r="G1201">
        <v>4236.25147801</v>
      </c>
      <c r="H1201">
        <v>46.782903221432598</v>
      </c>
      <c r="J1201" t="b">
        <v>0</v>
      </c>
    </row>
    <row r="1202" spans="1:10" x14ac:dyDescent="0.25">
      <c r="A1202">
        <v>1200</v>
      </c>
      <c r="B1202" t="s">
        <v>1742</v>
      </c>
      <c r="C1202" s="1">
        <v>46220</v>
      </c>
      <c r="D1202">
        <v>45.104320000000001</v>
      </c>
      <c r="H1202">
        <v>190.511956636224</v>
      </c>
      <c r="J1202" t="b">
        <v>1</v>
      </c>
    </row>
    <row r="1203" spans="1:10" x14ac:dyDescent="0.25">
      <c r="A1203">
        <v>1201</v>
      </c>
      <c r="B1203" t="s">
        <v>1746</v>
      </c>
      <c r="C1203" s="1">
        <v>46220</v>
      </c>
      <c r="D1203">
        <v>47.610370000000003</v>
      </c>
      <c r="H1203">
        <v>38.278907748975399</v>
      </c>
      <c r="J1203" t="b">
        <v>1</v>
      </c>
    </row>
    <row r="1204" spans="1:10" x14ac:dyDescent="0.25">
      <c r="A1204">
        <v>1202</v>
      </c>
      <c r="B1204" t="s">
        <v>1748</v>
      </c>
      <c r="C1204" s="1">
        <v>46220</v>
      </c>
      <c r="D1204">
        <v>44.371054999999998</v>
      </c>
      <c r="H1204">
        <v>17.716073775912498</v>
      </c>
      <c r="J1204" t="b">
        <v>1</v>
      </c>
    </row>
    <row r="1205" spans="1:10" x14ac:dyDescent="0.25">
      <c r="A1205">
        <v>1203</v>
      </c>
      <c r="B1205" t="s">
        <v>1750</v>
      </c>
      <c r="C1205" s="1">
        <v>46220</v>
      </c>
      <c r="D1205">
        <v>44.371054999999998</v>
      </c>
      <c r="H1205">
        <v>17.716073775912498</v>
      </c>
      <c r="J1205" t="b">
        <v>1</v>
      </c>
    </row>
    <row r="1206" spans="1:10" x14ac:dyDescent="0.25">
      <c r="A1206">
        <v>1204</v>
      </c>
      <c r="B1206" t="s">
        <v>1751</v>
      </c>
      <c r="C1206" s="1">
        <v>46220</v>
      </c>
      <c r="D1206">
        <v>44.346975</v>
      </c>
      <c r="H1206">
        <v>13.9102412630366</v>
      </c>
      <c r="J1206" t="b">
        <v>1</v>
      </c>
    </row>
    <row r="1207" spans="1:10" x14ac:dyDescent="0.25">
      <c r="A1207">
        <v>1205</v>
      </c>
      <c r="B1207" t="s">
        <v>1753</v>
      </c>
      <c r="C1207" s="1">
        <v>46220</v>
      </c>
      <c r="J1207" t="b">
        <v>1</v>
      </c>
    </row>
    <row r="1208" spans="1:10" x14ac:dyDescent="0.25">
      <c r="A1208">
        <v>1206</v>
      </c>
      <c r="B1208" t="s">
        <v>1755</v>
      </c>
      <c r="C1208" s="1">
        <v>46220</v>
      </c>
      <c r="D1208">
        <v>5.9366620000000001</v>
      </c>
      <c r="H1208">
        <v>126.25598174965801</v>
      </c>
      <c r="J1208" t="b">
        <v>1</v>
      </c>
    </row>
    <row r="1209" spans="1:10" x14ac:dyDescent="0.25">
      <c r="A1209">
        <v>1207</v>
      </c>
      <c r="B1209" t="s">
        <v>1757</v>
      </c>
      <c r="C1209" s="1">
        <v>46220</v>
      </c>
      <c r="D1209">
        <v>6.0625</v>
      </c>
      <c r="H1209">
        <v>168.18332803150599</v>
      </c>
      <c r="I1209">
        <v>4600</v>
      </c>
      <c r="J1209" t="b">
        <v>1</v>
      </c>
    </row>
    <row r="1210" spans="1:10" x14ac:dyDescent="0.25">
      <c r="A1210">
        <v>1208</v>
      </c>
      <c r="B1210" t="s">
        <v>1759</v>
      </c>
      <c r="C1210" s="1">
        <v>46220</v>
      </c>
      <c r="D1210">
        <v>5.6658580000000001</v>
      </c>
      <c r="H1210">
        <v>138.518580829017</v>
      </c>
      <c r="J1210" t="b">
        <v>1</v>
      </c>
    </row>
    <row r="1211" spans="1:10" x14ac:dyDescent="0.25">
      <c r="A1211">
        <v>1209</v>
      </c>
      <c r="B1211" t="s">
        <v>1761</v>
      </c>
      <c r="C1211" s="1">
        <v>46220</v>
      </c>
      <c r="D1211">
        <v>5.9366620000000001</v>
      </c>
      <c r="H1211">
        <v>126.25598174965801</v>
      </c>
      <c r="J1211" t="b">
        <v>1</v>
      </c>
    </row>
    <row r="1212" spans="1:10" x14ac:dyDescent="0.25">
      <c r="A1212">
        <v>1210</v>
      </c>
      <c r="B1212" t="s">
        <v>1762</v>
      </c>
      <c r="C1212" s="1">
        <v>46220</v>
      </c>
      <c r="D1212">
        <v>6</v>
      </c>
      <c r="H1212">
        <v>156.64750487277999</v>
      </c>
      <c r="I1212">
        <v>7803</v>
      </c>
      <c r="J1212" t="b">
        <v>1</v>
      </c>
    </row>
    <row r="1213" spans="1:10" x14ac:dyDescent="0.25">
      <c r="A1213">
        <v>1211</v>
      </c>
      <c r="B1213" t="s">
        <v>1764</v>
      </c>
      <c r="C1213" s="1">
        <v>46220</v>
      </c>
      <c r="D1213">
        <v>5.6658580000000001</v>
      </c>
      <c r="H1213">
        <v>138.518580829017</v>
      </c>
      <c r="J1213" t="b">
        <v>1</v>
      </c>
    </row>
    <row r="1214" spans="1:10" x14ac:dyDescent="0.25">
      <c r="A1214">
        <v>1212</v>
      </c>
      <c r="B1214" t="s">
        <v>1765</v>
      </c>
      <c r="C1214" s="1">
        <v>46220</v>
      </c>
      <c r="D1214">
        <v>42.917315000000002</v>
      </c>
      <c r="H1214">
        <v>45.897704291345498</v>
      </c>
      <c r="J1214" t="b">
        <v>1</v>
      </c>
    </row>
    <row r="1215" spans="1:10" x14ac:dyDescent="0.25">
      <c r="A1215">
        <v>1213</v>
      </c>
      <c r="B1215" t="s">
        <v>1767</v>
      </c>
      <c r="C1215" s="1">
        <v>46220</v>
      </c>
      <c r="D1215">
        <v>49</v>
      </c>
      <c r="J1215" t="b">
        <v>0</v>
      </c>
    </row>
    <row r="1216" spans="1:10" x14ac:dyDescent="0.25">
      <c r="A1216">
        <v>1214</v>
      </c>
      <c r="B1216" t="s">
        <v>1769</v>
      </c>
      <c r="C1216" s="1">
        <v>46220</v>
      </c>
      <c r="D1216">
        <v>0.38929999999999998</v>
      </c>
      <c r="I1216">
        <v>5021280</v>
      </c>
      <c r="J1216" t="b">
        <v>0</v>
      </c>
    </row>
    <row r="1217" spans="1:10" x14ac:dyDescent="0.25">
      <c r="A1217">
        <v>1215</v>
      </c>
      <c r="B1217" t="s">
        <v>1771</v>
      </c>
      <c r="C1217" s="1">
        <v>46220</v>
      </c>
      <c r="D1217">
        <v>11.275</v>
      </c>
      <c r="I1217">
        <v>1096074</v>
      </c>
      <c r="J1217" t="b">
        <v>0</v>
      </c>
    </row>
    <row r="1218" spans="1:10" x14ac:dyDescent="0.25">
      <c r="A1218">
        <v>1216</v>
      </c>
      <c r="B1218" t="s">
        <v>1773</v>
      </c>
      <c r="C1218" s="1">
        <v>46220</v>
      </c>
      <c r="D1218">
        <v>11.355</v>
      </c>
      <c r="I1218">
        <v>549940</v>
      </c>
      <c r="J1218" t="b">
        <v>0</v>
      </c>
    </row>
    <row r="1219" spans="1:10" x14ac:dyDescent="0.25">
      <c r="A1219">
        <v>1217</v>
      </c>
      <c r="B1219" t="s">
        <v>3830</v>
      </c>
      <c r="C1219" s="1">
        <v>46220</v>
      </c>
      <c r="D1219">
        <v>119.39615000000001</v>
      </c>
      <c r="E1219">
        <v>-307.52763426000001</v>
      </c>
      <c r="F1219">
        <v>-305.61766129</v>
      </c>
      <c r="G1219">
        <v>-307.52763426000001</v>
      </c>
      <c r="H1219">
        <v>1.7663079616094299</v>
      </c>
      <c r="J1219" t="b">
        <v>0</v>
      </c>
    </row>
    <row r="1220" spans="1:10" x14ac:dyDescent="0.25">
      <c r="A1220">
        <v>1218</v>
      </c>
      <c r="B1220" t="s">
        <v>3836</v>
      </c>
      <c r="C1220" s="1">
        <v>46220</v>
      </c>
      <c r="D1220">
        <v>67.057899475097599</v>
      </c>
      <c r="E1220">
        <v>606.36445604000005</v>
      </c>
      <c r="F1220">
        <v>608.02712972999996</v>
      </c>
      <c r="G1220">
        <v>606.36445604000005</v>
      </c>
      <c r="H1220">
        <v>10.0107033909094</v>
      </c>
      <c r="I1220">
        <v>39930</v>
      </c>
      <c r="J1220" t="b">
        <v>0</v>
      </c>
    </row>
    <row r="1221" spans="1:10" x14ac:dyDescent="0.25">
      <c r="A1221">
        <v>1219</v>
      </c>
      <c r="B1221" t="s">
        <v>3838</v>
      </c>
      <c r="C1221" s="1">
        <v>46220</v>
      </c>
      <c r="J1221" t="b">
        <v>0</v>
      </c>
    </row>
    <row r="1222" spans="1:10" x14ac:dyDescent="0.25">
      <c r="A1222">
        <v>1220</v>
      </c>
      <c r="B1222" t="s">
        <v>2425</v>
      </c>
      <c r="C1222" s="1">
        <v>46220</v>
      </c>
      <c r="D1222">
        <v>85.419979999999995</v>
      </c>
      <c r="E1222">
        <v>1358.02471053</v>
      </c>
      <c r="F1222">
        <v>1360.2512592099999</v>
      </c>
      <c r="G1222">
        <v>1358.02471053</v>
      </c>
      <c r="H1222">
        <v>17.9783226876702</v>
      </c>
      <c r="J1222" t="b">
        <v>0</v>
      </c>
    </row>
    <row r="1223" spans="1:10" x14ac:dyDescent="0.25">
      <c r="A1223">
        <v>1221</v>
      </c>
      <c r="B1223" t="s">
        <v>2429</v>
      </c>
      <c r="C1223" s="1">
        <v>46220</v>
      </c>
      <c r="J1223" t="b">
        <v>0</v>
      </c>
    </row>
    <row r="1224" spans="1:10" x14ac:dyDescent="0.25">
      <c r="A1224">
        <v>1222</v>
      </c>
      <c r="B1224" t="s">
        <v>2431</v>
      </c>
      <c r="C1224" s="1">
        <v>46220</v>
      </c>
      <c r="D1224">
        <v>64.520865000000001</v>
      </c>
      <c r="H1224">
        <v>22.225288569418201</v>
      </c>
      <c r="J1224" t="b">
        <v>1</v>
      </c>
    </row>
    <row r="1225" spans="1:10" x14ac:dyDescent="0.25">
      <c r="A1225">
        <v>1223</v>
      </c>
      <c r="B1225" t="s">
        <v>2436</v>
      </c>
      <c r="C1225" s="1">
        <v>46220</v>
      </c>
      <c r="D1225">
        <v>43.065844999999896</v>
      </c>
      <c r="E1225">
        <v>1083.0962913200001</v>
      </c>
      <c r="F1225">
        <v>1058.4671388100001</v>
      </c>
      <c r="G1225">
        <v>1083.0962913200001</v>
      </c>
      <c r="H1225">
        <v>14.451760335341699</v>
      </c>
      <c r="J1225" t="b">
        <v>0</v>
      </c>
    </row>
    <row r="1226" spans="1:10" x14ac:dyDescent="0.25">
      <c r="A1226">
        <v>1224</v>
      </c>
      <c r="B1226" t="s">
        <v>2438</v>
      </c>
      <c r="C1226" s="1">
        <v>46220</v>
      </c>
      <c r="D1226">
        <v>50.627564999999997</v>
      </c>
      <c r="E1226">
        <v>1919.55083719</v>
      </c>
      <c r="F1226">
        <v>1899.0873974599999</v>
      </c>
      <c r="G1226">
        <v>1919.55083719</v>
      </c>
      <c r="H1226">
        <v>27.500710599731999</v>
      </c>
      <c r="J1226" t="b">
        <v>0</v>
      </c>
    </row>
    <row r="1227" spans="1:10" x14ac:dyDescent="0.25">
      <c r="A1227">
        <v>1225</v>
      </c>
      <c r="B1227" t="s">
        <v>2440</v>
      </c>
      <c r="C1227" s="1">
        <v>46220</v>
      </c>
      <c r="J1227" t="b">
        <v>0</v>
      </c>
    </row>
    <row r="1228" spans="1:10" x14ac:dyDescent="0.25">
      <c r="A1228">
        <v>1226</v>
      </c>
      <c r="B1228" t="s">
        <v>2443</v>
      </c>
      <c r="C1228" s="1">
        <v>46220</v>
      </c>
      <c r="J1228" t="b">
        <v>0</v>
      </c>
    </row>
    <row r="1229" spans="1:10" x14ac:dyDescent="0.25">
      <c r="A1229">
        <v>1227</v>
      </c>
      <c r="B1229" t="s">
        <v>2446</v>
      </c>
      <c r="C1229" s="1">
        <v>46220</v>
      </c>
      <c r="D1229">
        <v>51.578409999999998</v>
      </c>
      <c r="E1229">
        <v>1525.18067501</v>
      </c>
      <c r="F1229">
        <v>1493.2891282000001</v>
      </c>
      <c r="G1229">
        <v>1525.18067501</v>
      </c>
      <c r="H1229">
        <v>21.8325838473754</v>
      </c>
      <c r="J1229" t="b">
        <v>0</v>
      </c>
    </row>
    <row r="1230" spans="1:10" x14ac:dyDescent="0.25">
      <c r="A1230">
        <v>1228</v>
      </c>
      <c r="B1230" t="s">
        <v>2448</v>
      </c>
      <c r="C1230" s="1">
        <v>46220</v>
      </c>
      <c r="D1230">
        <v>53.726939999999999</v>
      </c>
      <c r="E1230">
        <v>1963.0040580499999</v>
      </c>
      <c r="F1230">
        <v>1948.2168845000001</v>
      </c>
      <c r="G1230">
        <v>1963.0040580499999</v>
      </c>
      <c r="H1230">
        <v>25.120730519206202</v>
      </c>
      <c r="J1230" t="b">
        <v>0</v>
      </c>
    </row>
    <row r="1231" spans="1:10" x14ac:dyDescent="0.25">
      <c r="A1231">
        <v>1229</v>
      </c>
      <c r="B1231" t="s">
        <v>2450</v>
      </c>
      <c r="C1231" s="1">
        <v>46220</v>
      </c>
      <c r="D1231">
        <v>898.07119999999998</v>
      </c>
      <c r="F1231">
        <v>-296.09547078000003</v>
      </c>
      <c r="H1231">
        <v>13.9158955979076</v>
      </c>
      <c r="J1231" t="b">
        <v>0</v>
      </c>
    </row>
    <row r="1232" spans="1:10" x14ac:dyDescent="0.25">
      <c r="A1232">
        <v>1230</v>
      </c>
      <c r="B1232" t="s">
        <v>2452</v>
      </c>
      <c r="C1232" s="1">
        <v>46220</v>
      </c>
      <c r="D1232">
        <v>52.839109999999998</v>
      </c>
      <c r="E1232">
        <v>1461.4671612300001</v>
      </c>
      <c r="F1232">
        <v>1384.6885492900001</v>
      </c>
      <c r="G1232">
        <v>1461.4671612300001</v>
      </c>
      <c r="H1232">
        <v>19.075384976721601</v>
      </c>
      <c r="J1232" t="b">
        <v>0</v>
      </c>
    </row>
    <row r="1233" spans="1:10" x14ac:dyDescent="0.25">
      <c r="A1233">
        <v>1231</v>
      </c>
      <c r="B1233" t="s">
        <v>2454</v>
      </c>
      <c r="C1233" s="1">
        <v>46220</v>
      </c>
      <c r="J1233" t="b">
        <v>0</v>
      </c>
    </row>
    <row r="1234" spans="1:10" x14ac:dyDescent="0.25">
      <c r="A1234">
        <v>1232</v>
      </c>
      <c r="B1234" t="s">
        <v>2456</v>
      </c>
      <c r="C1234" s="1">
        <v>46220</v>
      </c>
      <c r="D1234">
        <v>58.785679999999999</v>
      </c>
      <c r="E1234">
        <v>1151.51438355</v>
      </c>
      <c r="F1234">
        <v>1132.64223608</v>
      </c>
      <c r="G1234">
        <v>1151.51438355</v>
      </c>
      <c r="H1234">
        <v>13.6909908404278</v>
      </c>
      <c r="J1234" t="b">
        <v>0</v>
      </c>
    </row>
    <row r="1235" spans="1:10" x14ac:dyDescent="0.25">
      <c r="A1235">
        <v>1233</v>
      </c>
      <c r="B1235" t="s">
        <v>2458</v>
      </c>
      <c r="C1235" s="1">
        <v>46220</v>
      </c>
      <c r="J1235" t="b">
        <v>0</v>
      </c>
    </row>
    <row r="1236" spans="1:10" x14ac:dyDescent="0.25">
      <c r="A1236">
        <v>1234</v>
      </c>
      <c r="B1236" t="s">
        <v>2461</v>
      </c>
      <c r="C1236" s="1">
        <v>46220</v>
      </c>
      <c r="J1236" t="b">
        <v>0</v>
      </c>
    </row>
    <row r="1237" spans="1:10" x14ac:dyDescent="0.25">
      <c r="A1237">
        <v>1235</v>
      </c>
      <c r="B1237" t="s">
        <v>2464</v>
      </c>
      <c r="C1237" s="1">
        <v>46220</v>
      </c>
      <c r="D1237">
        <v>64.466094999999996</v>
      </c>
      <c r="H1237">
        <v>16.9786397095301</v>
      </c>
      <c r="J1237" t="b">
        <v>1</v>
      </c>
    </row>
    <row r="1238" spans="1:10" x14ac:dyDescent="0.25">
      <c r="A1238">
        <v>1236</v>
      </c>
      <c r="B1238" t="s">
        <v>2466</v>
      </c>
      <c r="C1238" s="1">
        <v>46220</v>
      </c>
      <c r="D1238">
        <v>34.739130000000003</v>
      </c>
      <c r="E1238">
        <v>4341.4578442399998</v>
      </c>
      <c r="F1238">
        <v>5288.7025938699999</v>
      </c>
      <c r="G1238">
        <v>4341.4578442399998</v>
      </c>
      <c r="H1238">
        <v>35.4511810699356</v>
      </c>
      <c r="J1238" t="b">
        <v>0</v>
      </c>
    </row>
    <row r="1239" spans="1:10" x14ac:dyDescent="0.25">
      <c r="A1239">
        <v>1237</v>
      </c>
      <c r="B1239" t="s">
        <v>2468</v>
      </c>
      <c r="C1239" s="1">
        <v>46220</v>
      </c>
      <c r="D1239">
        <v>54.000594999999997</v>
      </c>
      <c r="E1239">
        <v>3995.5705591800001</v>
      </c>
      <c r="F1239">
        <v>3979.8127737200002</v>
      </c>
      <c r="G1239">
        <v>3995.5705591800001</v>
      </c>
      <c r="H1239">
        <v>50.692625657679699</v>
      </c>
      <c r="J1239" t="b">
        <v>0</v>
      </c>
    </row>
    <row r="1240" spans="1:10" x14ac:dyDescent="0.25">
      <c r="A1240">
        <v>1238</v>
      </c>
      <c r="B1240" t="s">
        <v>2470</v>
      </c>
      <c r="C1240" s="1">
        <v>46220</v>
      </c>
      <c r="J1240" t="b">
        <v>0</v>
      </c>
    </row>
    <row r="1241" spans="1:10" x14ac:dyDescent="0.25">
      <c r="A1241">
        <v>1239</v>
      </c>
      <c r="B1241" t="s">
        <v>2472</v>
      </c>
      <c r="C1241" s="1">
        <v>46220</v>
      </c>
      <c r="D1241">
        <v>70</v>
      </c>
      <c r="J1241" t="b">
        <v>0</v>
      </c>
    </row>
    <row r="1242" spans="1:10" x14ac:dyDescent="0.25">
      <c r="A1242">
        <v>1240</v>
      </c>
      <c r="B1242" t="s">
        <v>2474</v>
      </c>
      <c r="C1242" s="1">
        <v>46220</v>
      </c>
      <c r="J1242" t="b">
        <v>0</v>
      </c>
    </row>
    <row r="1243" spans="1:10" x14ac:dyDescent="0.25">
      <c r="A1243">
        <v>1241</v>
      </c>
      <c r="B1243" t="s">
        <v>2476</v>
      </c>
      <c r="C1243" s="1">
        <v>46220</v>
      </c>
      <c r="J1243" t="b">
        <v>0</v>
      </c>
    </row>
    <row r="1244" spans="1:10" x14ac:dyDescent="0.25">
      <c r="A1244">
        <v>1242</v>
      </c>
      <c r="B1244" t="s">
        <v>2478</v>
      </c>
      <c r="C1244" s="1">
        <v>46220</v>
      </c>
      <c r="J1244" t="b">
        <v>0</v>
      </c>
    </row>
    <row r="1245" spans="1:10" x14ac:dyDescent="0.25">
      <c r="A1245">
        <v>1243</v>
      </c>
      <c r="B1245" t="s">
        <v>2479</v>
      </c>
      <c r="C1245" s="1">
        <v>46220</v>
      </c>
      <c r="D1245">
        <v>84.5625</v>
      </c>
      <c r="F1245">
        <v>967.48010199999999</v>
      </c>
      <c r="H1245">
        <v>13.6088474470395</v>
      </c>
      <c r="J1245" t="b">
        <v>0</v>
      </c>
    </row>
    <row r="1246" spans="1:10" x14ac:dyDescent="0.25">
      <c r="A1246">
        <v>1244</v>
      </c>
      <c r="B1246" t="s">
        <v>2480</v>
      </c>
      <c r="C1246" s="1">
        <v>46220</v>
      </c>
      <c r="J1246" t="b">
        <v>0</v>
      </c>
    </row>
    <row r="1247" spans="1:10" x14ac:dyDescent="0.25">
      <c r="A1247">
        <v>1245</v>
      </c>
      <c r="B1247" t="s">
        <v>2482</v>
      </c>
      <c r="C1247" s="1">
        <v>46220</v>
      </c>
      <c r="J1247" t="b">
        <v>0</v>
      </c>
    </row>
    <row r="1248" spans="1:10" x14ac:dyDescent="0.25">
      <c r="A1248">
        <v>1246</v>
      </c>
      <c r="B1248" t="s">
        <v>2484</v>
      </c>
      <c r="C1248" s="1">
        <v>46220</v>
      </c>
      <c r="J1248" t="b">
        <v>0</v>
      </c>
    </row>
    <row r="1249" spans="1:10" x14ac:dyDescent="0.25">
      <c r="A1249">
        <v>1247</v>
      </c>
      <c r="B1249" t="s">
        <v>2485</v>
      </c>
      <c r="C1249" s="1">
        <v>46220</v>
      </c>
      <c r="J1249" t="b">
        <v>0</v>
      </c>
    </row>
    <row r="1250" spans="1:10" x14ac:dyDescent="0.25">
      <c r="A1250">
        <v>1248</v>
      </c>
      <c r="B1250" t="s">
        <v>3841</v>
      </c>
      <c r="C1250" s="1">
        <v>46220</v>
      </c>
      <c r="D1250">
        <v>99.909359999999893</v>
      </c>
      <c r="E1250">
        <v>520.09401136999998</v>
      </c>
      <c r="F1250">
        <v>522.39846384999998</v>
      </c>
      <c r="G1250">
        <v>520.09401136999998</v>
      </c>
      <c r="H1250">
        <v>9.2774227166075391</v>
      </c>
      <c r="J1250" t="b">
        <v>0</v>
      </c>
    </row>
    <row r="1251" spans="1:10" x14ac:dyDescent="0.25">
      <c r="A1251">
        <v>1249</v>
      </c>
      <c r="B1251" t="s">
        <v>3845</v>
      </c>
      <c r="C1251" s="1">
        <v>46220</v>
      </c>
      <c r="D1251">
        <v>91.649699999999996</v>
      </c>
      <c r="E1251">
        <v>628.98393163000003</v>
      </c>
      <c r="F1251">
        <v>631.69172368</v>
      </c>
      <c r="G1251">
        <v>628.98393163000003</v>
      </c>
      <c r="H1251">
        <v>10.3916300697453</v>
      </c>
      <c r="J1251" t="b">
        <v>0</v>
      </c>
    </row>
    <row r="1252" spans="1:10" x14ac:dyDescent="0.25">
      <c r="A1252">
        <v>1250</v>
      </c>
      <c r="B1252" t="s">
        <v>3847</v>
      </c>
      <c r="C1252" s="1">
        <v>46220</v>
      </c>
      <c r="D1252">
        <v>94.75</v>
      </c>
      <c r="F1252">
        <v>588.31041173000006</v>
      </c>
      <c r="H1252">
        <v>8.8238678297317303</v>
      </c>
      <c r="J1252" t="b">
        <v>0</v>
      </c>
    </row>
    <row r="1253" spans="1:10" x14ac:dyDescent="0.25">
      <c r="A1253">
        <v>1251</v>
      </c>
      <c r="B1253" t="s">
        <v>3849</v>
      </c>
      <c r="C1253" s="1">
        <v>46220</v>
      </c>
      <c r="D1253">
        <v>96.3125</v>
      </c>
      <c r="F1253">
        <v>521.15739938000002</v>
      </c>
      <c r="H1253">
        <v>9.2042329858764607</v>
      </c>
      <c r="J1253" t="b">
        <v>0</v>
      </c>
    </row>
    <row r="1254" spans="1:10" x14ac:dyDescent="0.25">
      <c r="A1254">
        <v>1252</v>
      </c>
      <c r="B1254" t="s">
        <v>2486</v>
      </c>
      <c r="C1254" s="1">
        <v>46220</v>
      </c>
      <c r="D1254">
        <v>83.876019999999997</v>
      </c>
      <c r="F1254">
        <v>1507.9104570500001</v>
      </c>
      <c r="H1254">
        <v>19.114280416869398</v>
      </c>
      <c r="J1254" t="b">
        <v>0</v>
      </c>
    </row>
    <row r="1255" spans="1:10" x14ac:dyDescent="0.25">
      <c r="A1255">
        <v>1253</v>
      </c>
      <c r="B1255" t="s">
        <v>2490</v>
      </c>
      <c r="C1255" s="1">
        <v>46220</v>
      </c>
      <c r="D1255">
        <v>87.013804999999905</v>
      </c>
      <c r="F1255">
        <v>1407.6077672500001</v>
      </c>
      <c r="H1255">
        <v>18.124914819527099</v>
      </c>
      <c r="J1255" t="b">
        <v>0</v>
      </c>
    </row>
    <row r="1256" spans="1:10" x14ac:dyDescent="0.25">
      <c r="A1256">
        <v>1254</v>
      </c>
      <c r="B1256" t="s">
        <v>2494</v>
      </c>
      <c r="C1256" s="1">
        <v>46220</v>
      </c>
      <c r="J1256" t="b">
        <v>1</v>
      </c>
    </row>
    <row r="1257" spans="1:10" x14ac:dyDescent="0.25">
      <c r="A1257">
        <v>1255</v>
      </c>
      <c r="B1257" t="s">
        <v>2497</v>
      </c>
      <c r="C1257" s="1">
        <v>46220</v>
      </c>
      <c r="J1257" t="b">
        <v>1</v>
      </c>
    </row>
    <row r="1258" spans="1:10" x14ac:dyDescent="0.25">
      <c r="A1258">
        <v>1256</v>
      </c>
      <c r="B1258" t="s">
        <v>2498</v>
      </c>
      <c r="C1258" s="1">
        <v>46220</v>
      </c>
      <c r="D1258">
        <v>51.362439999999999</v>
      </c>
      <c r="H1258">
        <v>19.191919191919101</v>
      </c>
      <c r="J1258" t="b">
        <v>1</v>
      </c>
    </row>
    <row r="1259" spans="1:10" x14ac:dyDescent="0.25">
      <c r="A1259">
        <v>1257</v>
      </c>
      <c r="B1259" t="s">
        <v>2500</v>
      </c>
      <c r="C1259" s="1">
        <v>46220</v>
      </c>
      <c r="J1259" t="b">
        <v>1</v>
      </c>
    </row>
    <row r="1260" spans="1:10" x14ac:dyDescent="0.25">
      <c r="A1260">
        <v>1258</v>
      </c>
      <c r="B1260" t="s">
        <v>2501</v>
      </c>
      <c r="C1260" s="1">
        <v>46220</v>
      </c>
      <c r="J1260" t="b">
        <v>1</v>
      </c>
    </row>
    <row r="1261" spans="1:10" x14ac:dyDescent="0.25">
      <c r="A1261">
        <v>1259</v>
      </c>
      <c r="B1261" t="s">
        <v>2502</v>
      </c>
      <c r="C1261" s="1">
        <v>46220</v>
      </c>
      <c r="J1261" t="b">
        <v>1</v>
      </c>
    </row>
    <row r="1262" spans="1:10" x14ac:dyDescent="0.25">
      <c r="A1262">
        <v>1260</v>
      </c>
      <c r="B1262" t="s">
        <v>2504</v>
      </c>
      <c r="C1262" s="1">
        <v>46220</v>
      </c>
      <c r="J1262" t="b">
        <v>1</v>
      </c>
    </row>
    <row r="1263" spans="1:10" x14ac:dyDescent="0.25">
      <c r="A1263">
        <v>1261</v>
      </c>
      <c r="B1263" t="s">
        <v>2505</v>
      </c>
      <c r="C1263" s="1">
        <v>46220</v>
      </c>
      <c r="J1263" t="b">
        <v>1</v>
      </c>
    </row>
    <row r="1264" spans="1:10" x14ac:dyDescent="0.25">
      <c r="A1264">
        <v>1262</v>
      </c>
      <c r="B1264" t="s">
        <v>2506</v>
      </c>
      <c r="C1264" s="1">
        <v>46220</v>
      </c>
      <c r="J1264" t="b">
        <v>0</v>
      </c>
    </row>
    <row r="1265" spans="1:10" x14ac:dyDescent="0.25">
      <c r="A1265">
        <v>1263</v>
      </c>
      <c r="B1265" t="s">
        <v>3851</v>
      </c>
      <c r="C1265" s="1">
        <v>46220</v>
      </c>
      <c r="D1265">
        <v>70.530502319335895</v>
      </c>
      <c r="E1265">
        <v>454.27037008000002</v>
      </c>
      <c r="F1265">
        <v>456.09657199999998</v>
      </c>
      <c r="G1265">
        <v>454.27037008000002</v>
      </c>
      <c r="H1265">
        <v>9.0160969766397407</v>
      </c>
      <c r="I1265">
        <v>7500</v>
      </c>
      <c r="J1265" t="b">
        <v>0</v>
      </c>
    </row>
    <row r="1266" spans="1:10" x14ac:dyDescent="0.25">
      <c r="A1266">
        <v>1264</v>
      </c>
      <c r="B1266" t="s">
        <v>2508</v>
      </c>
      <c r="C1266" s="1">
        <v>46220</v>
      </c>
      <c r="D1266">
        <v>84.015805</v>
      </c>
      <c r="E1266">
        <v>1318.8186287599999</v>
      </c>
      <c r="F1266">
        <v>1320.8219972700001</v>
      </c>
      <c r="G1266">
        <v>1318.8186287599999</v>
      </c>
      <c r="H1266">
        <v>17.2680725709276</v>
      </c>
      <c r="J1266" t="b">
        <v>0</v>
      </c>
    </row>
    <row r="1267" spans="1:10" x14ac:dyDescent="0.25">
      <c r="A1267">
        <v>1265</v>
      </c>
      <c r="B1267" t="s">
        <v>1631</v>
      </c>
      <c r="C1267" s="1">
        <v>46220</v>
      </c>
      <c r="D1267">
        <v>83.671625000000006</v>
      </c>
      <c r="E1267">
        <v>1331.37504719</v>
      </c>
      <c r="F1267">
        <v>1333.6558606900001</v>
      </c>
      <c r="G1267">
        <v>1331.37504719</v>
      </c>
      <c r="H1267">
        <v>17.6202353173063</v>
      </c>
      <c r="J1267" t="b">
        <v>0</v>
      </c>
    </row>
    <row r="1268" spans="1:10" x14ac:dyDescent="0.25">
      <c r="A1268">
        <v>1266</v>
      </c>
      <c r="B1268" t="s">
        <v>1635</v>
      </c>
      <c r="C1268" s="1">
        <v>46220</v>
      </c>
      <c r="D1268">
        <v>72.866299999999995</v>
      </c>
      <c r="E1268">
        <v>3199.8332812399999</v>
      </c>
      <c r="F1268">
        <v>3239.9176460100002</v>
      </c>
      <c r="G1268">
        <v>3199.8332812399999</v>
      </c>
      <c r="H1268">
        <v>36.492051460736697</v>
      </c>
      <c r="J1268" t="b">
        <v>0</v>
      </c>
    </row>
    <row r="1269" spans="1:10" x14ac:dyDescent="0.25">
      <c r="A1269">
        <v>1267</v>
      </c>
      <c r="B1269" t="s">
        <v>1637</v>
      </c>
      <c r="C1269" s="1">
        <v>46220</v>
      </c>
      <c r="D1269">
        <v>94.925809999999998</v>
      </c>
      <c r="E1269">
        <v>1348.3020303999999</v>
      </c>
      <c r="F1269">
        <v>1351.4611023099999</v>
      </c>
      <c r="G1269">
        <v>1348.3020303999999</v>
      </c>
      <c r="H1269">
        <v>19.740660596264199</v>
      </c>
      <c r="J1269" t="b">
        <v>0</v>
      </c>
    </row>
    <row r="1270" spans="1:10" x14ac:dyDescent="0.25">
      <c r="A1270">
        <v>1268</v>
      </c>
      <c r="B1270" t="s">
        <v>1639</v>
      </c>
      <c r="C1270" s="1">
        <v>46220</v>
      </c>
      <c r="D1270">
        <v>82</v>
      </c>
      <c r="F1270">
        <v>1563.35104654</v>
      </c>
      <c r="H1270">
        <v>18.079301850720501</v>
      </c>
      <c r="J1270" t="b">
        <v>0</v>
      </c>
    </row>
    <row r="1271" spans="1:10" x14ac:dyDescent="0.25">
      <c r="A1271">
        <v>1269</v>
      </c>
      <c r="B1271" t="s">
        <v>1641</v>
      </c>
      <c r="C1271" s="1">
        <v>46220</v>
      </c>
      <c r="D1271">
        <v>99.5</v>
      </c>
      <c r="F1271">
        <v>1248.90622355</v>
      </c>
      <c r="H1271">
        <v>21.3183650658757</v>
      </c>
      <c r="J1271" t="b">
        <v>0</v>
      </c>
    </row>
    <row r="1272" spans="1:10" x14ac:dyDescent="0.25">
      <c r="A1272">
        <v>1270</v>
      </c>
      <c r="B1272" t="s">
        <v>1643</v>
      </c>
      <c r="C1272" s="1">
        <v>46220</v>
      </c>
      <c r="D1272">
        <v>120</v>
      </c>
      <c r="J1272" t="b">
        <v>0</v>
      </c>
    </row>
    <row r="1273" spans="1:10" x14ac:dyDescent="0.25">
      <c r="A1273">
        <v>1271</v>
      </c>
      <c r="B1273" t="s">
        <v>3855</v>
      </c>
      <c r="C1273" s="1">
        <v>46220</v>
      </c>
      <c r="D1273">
        <v>94.432414999999907</v>
      </c>
      <c r="E1273">
        <v>634.00470501999996</v>
      </c>
      <c r="F1273">
        <v>635.75882455999999</v>
      </c>
      <c r="G1273">
        <v>634.00470501999996</v>
      </c>
      <c r="H1273">
        <v>10.376669759658199</v>
      </c>
      <c r="J1273" t="b">
        <v>0</v>
      </c>
    </row>
    <row r="1274" spans="1:10" x14ac:dyDescent="0.25">
      <c r="A1274">
        <v>1272</v>
      </c>
      <c r="B1274" t="s">
        <v>3859</v>
      </c>
      <c r="C1274" s="1">
        <v>46220</v>
      </c>
      <c r="D1274">
        <v>100.426</v>
      </c>
      <c r="E1274">
        <v>378.05761536</v>
      </c>
      <c r="F1274">
        <v>380.43449478999997</v>
      </c>
      <c r="G1274">
        <v>378.05761536</v>
      </c>
      <c r="H1274">
        <v>7.9138062470438504</v>
      </c>
      <c r="J1274" t="b">
        <v>0</v>
      </c>
    </row>
    <row r="1275" spans="1:10" x14ac:dyDescent="0.25">
      <c r="A1275">
        <v>1273</v>
      </c>
      <c r="B1275" t="s">
        <v>3861</v>
      </c>
      <c r="C1275" s="1">
        <v>46220</v>
      </c>
      <c r="D1275">
        <v>100.125</v>
      </c>
      <c r="F1275">
        <v>411.38365175000001</v>
      </c>
      <c r="H1275">
        <v>8.1691011319929707</v>
      </c>
      <c r="J1275" t="b">
        <v>0</v>
      </c>
    </row>
    <row r="1276" spans="1:10" x14ac:dyDescent="0.25">
      <c r="A1276">
        <v>1274</v>
      </c>
      <c r="B1276" t="s">
        <v>3863</v>
      </c>
      <c r="C1276" s="1">
        <v>46220</v>
      </c>
      <c r="J1276" t="b">
        <v>0</v>
      </c>
    </row>
    <row r="1277" spans="1:10" x14ac:dyDescent="0.25">
      <c r="A1277">
        <v>1275</v>
      </c>
      <c r="B1277" t="s">
        <v>2512</v>
      </c>
      <c r="C1277" s="1">
        <v>46220</v>
      </c>
      <c r="D1277">
        <v>98.119049999999902</v>
      </c>
      <c r="F1277">
        <v>919.09921112999996</v>
      </c>
      <c r="H1277">
        <v>13.2287886208125</v>
      </c>
      <c r="J1277" t="b">
        <v>0</v>
      </c>
    </row>
    <row r="1278" spans="1:10" x14ac:dyDescent="0.25">
      <c r="A1278">
        <v>1276</v>
      </c>
      <c r="B1278" t="s">
        <v>2516</v>
      </c>
      <c r="C1278" s="1">
        <v>46220</v>
      </c>
      <c r="J1278" t="b">
        <v>0</v>
      </c>
    </row>
    <row r="1279" spans="1:10" x14ac:dyDescent="0.25">
      <c r="A1279">
        <v>1277</v>
      </c>
      <c r="B1279" t="s">
        <v>2518</v>
      </c>
      <c r="C1279" s="1">
        <v>46220</v>
      </c>
      <c r="D1279">
        <v>83.336894999999998</v>
      </c>
      <c r="E1279">
        <v>939.88452935999999</v>
      </c>
      <c r="F1279">
        <v>941.98829085</v>
      </c>
      <c r="G1279">
        <v>939.88452935999999</v>
      </c>
      <c r="H1279">
        <v>13.5910178837703</v>
      </c>
      <c r="J1279" t="b">
        <v>0</v>
      </c>
    </row>
    <row r="1280" spans="1:10" x14ac:dyDescent="0.25">
      <c r="A1280">
        <v>1278</v>
      </c>
      <c r="B1280" t="s">
        <v>2522</v>
      </c>
      <c r="C1280" s="1">
        <v>46220</v>
      </c>
      <c r="D1280">
        <v>95.5</v>
      </c>
      <c r="F1280">
        <v>706.89228371000002</v>
      </c>
      <c r="H1280">
        <v>11.166641033324501</v>
      </c>
      <c r="J1280" t="b">
        <v>0</v>
      </c>
    </row>
    <row r="1281" spans="1:10" x14ac:dyDescent="0.25">
      <c r="A1281">
        <v>1279</v>
      </c>
      <c r="B1281" t="s">
        <v>2524</v>
      </c>
      <c r="C1281" s="1">
        <v>46220</v>
      </c>
      <c r="D1281">
        <v>96.5</v>
      </c>
      <c r="F1281">
        <v>597.25615288999995</v>
      </c>
      <c r="H1281">
        <v>10.0460828773366</v>
      </c>
      <c r="J1281" t="b">
        <v>0</v>
      </c>
    </row>
    <row r="1282" spans="1:10" x14ac:dyDescent="0.25">
      <c r="A1282">
        <v>1280</v>
      </c>
      <c r="B1282" t="s">
        <v>2525</v>
      </c>
      <c r="C1282" s="1">
        <v>46220</v>
      </c>
      <c r="D1282">
        <v>85.419129999999996</v>
      </c>
      <c r="E1282">
        <v>736.42387210000004</v>
      </c>
      <c r="F1282">
        <v>738.65571221000005</v>
      </c>
      <c r="G1282">
        <v>736.42387210000004</v>
      </c>
      <c r="H1282">
        <v>11.4786951165954</v>
      </c>
      <c r="J1282" t="b">
        <v>0</v>
      </c>
    </row>
    <row r="1283" spans="1:10" x14ac:dyDescent="0.25">
      <c r="A1283">
        <v>1281</v>
      </c>
      <c r="B1283" t="s">
        <v>2529</v>
      </c>
      <c r="C1283" s="1">
        <v>46220</v>
      </c>
      <c r="J1283" t="b">
        <v>0</v>
      </c>
    </row>
    <row r="1284" spans="1:10" x14ac:dyDescent="0.25">
      <c r="A1284">
        <v>1282</v>
      </c>
      <c r="B1284" t="s">
        <v>2531</v>
      </c>
      <c r="C1284" s="1">
        <v>46220</v>
      </c>
      <c r="D1284">
        <v>64.684550000000002</v>
      </c>
      <c r="E1284">
        <v>2645.45440336</v>
      </c>
      <c r="F1284">
        <v>2650.05147807</v>
      </c>
      <c r="G1284">
        <v>2645.45440336</v>
      </c>
      <c r="H1284">
        <v>29.286079976401702</v>
      </c>
      <c r="J1284" t="b">
        <v>0</v>
      </c>
    </row>
    <row r="1285" spans="1:10" x14ac:dyDescent="0.25">
      <c r="A1285">
        <v>1283</v>
      </c>
      <c r="B1285" t="s">
        <v>2535</v>
      </c>
      <c r="C1285" s="1">
        <v>46220</v>
      </c>
      <c r="D1285">
        <v>69.464394999999996</v>
      </c>
      <c r="E1285">
        <v>2047.1717512099999</v>
      </c>
      <c r="F1285">
        <v>2049.0415003399999</v>
      </c>
      <c r="G1285">
        <v>2047.1717512099999</v>
      </c>
      <c r="H1285">
        <v>24.591051884108001</v>
      </c>
      <c r="J1285" t="b">
        <v>0</v>
      </c>
    </row>
    <row r="1286" spans="1:10" x14ac:dyDescent="0.25">
      <c r="A1286">
        <v>1284</v>
      </c>
      <c r="B1286" t="s">
        <v>2537</v>
      </c>
      <c r="C1286" s="1">
        <v>46220</v>
      </c>
      <c r="D1286">
        <v>72.5</v>
      </c>
      <c r="F1286">
        <v>1281.3986249</v>
      </c>
      <c r="H1286">
        <v>16.791145456954801</v>
      </c>
      <c r="J1286" t="b">
        <v>0</v>
      </c>
    </row>
    <row r="1287" spans="1:10" x14ac:dyDescent="0.25">
      <c r="A1287">
        <v>1285</v>
      </c>
      <c r="B1287" t="s">
        <v>2539</v>
      </c>
      <c r="C1287" s="1">
        <v>46220</v>
      </c>
      <c r="D1287">
        <v>84.125010000000003</v>
      </c>
      <c r="E1287">
        <v>2724.28516175</v>
      </c>
      <c r="F1287">
        <v>2725.7017334799998</v>
      </c>
      <c r="G1287">
        <v>2724.28516175</v>
      </c>
      <c r="H1287">
        <v>31.763357993704599</v>
      </c>
      <c r="J1287" t="b">
        <v>0</v>
      </c>
    </row>
    <row r="1288" spans="1:10" x14ac:dyDescent="0.25">
      <c r="A1288">
        <v>1286</v>
      </c>
      <c r="B1288" t="s">
        <v>2543</v>
      </c>
      <c r="C1288" s="1">
        <v>46220</v>
      </c>
      <c r="D1288">
        <v>92.478544999999997</v>
      </c>
      <c r="E1288">
        <v>1013.49376968</v>
      </c>
      <c r="F1288">
        <v>1006.94527943</v>
      </c>
      <c r="G1288">
        <v>1013.49376968</v>
      </c>
      <c r="H1288">
        <v>12.472694092339999</v>
      </c>
      <c r="J1288" t="b">
        <v>0</v>
      </c>
    </row>
    <row r="1289" spans="1:10" x14ac:dyDescent="0.25">
      <c r="A1289">
        <v>1287</v>
      </c>
      <c r="B1289" t="s">
        <v>2545</v>
      </c>
      <c r="C1289" s="1">
        <v>46220</v>
      </c>
      <c r="D1289">
        <v>89.891549999999995</v>
      </c>
      <c r="E1289">
        <v>882.66108162</v>
      </c>
      <c r="F1289">
        <v>883.61213892000001</v>
      </c>
      <c r="G1289">
        <v>882.66108162</v>
      </c>
      <c r="H1289">
        <v>12.6596212243435</v>
      </c>
      <c r="J1289" t="b">
        <v>0</v>
      </c>
    </row>
    <row r="1290" spans="1:10" x14ac:dyDescent="0.25">
      <c r="A1290">
        <v>1288</v>
      </c>
      <c r="B1290" t="s">
        <v>2547</v>
      </c>
      <c r="C1290" s="1">
        <v>46220</v>
      </c>
      <c r="J1290" t="b">
        <v>0</v>
      </c>
    </row>
    <row r="1291" spans="1:10" x14ac:dyDescent="0.25">
      <c r="A1291">
        <v>1289</v>
      </c>
      <c r="B1291" t="s">
        <v>2555</v>
      </c>
      <c r="C1291" s="1">
        <v>46220</v>
      </c>
      <c r="D1291">
        <v>155.06225000000001</v>
      </c>
      <c r="E1291">
        <v>-1283.4228211300001</v>
      </c>
      <c r="F1291">
        <v>-1281.3191432799999</v>
      </c>
      <c r="G1291">
        <v>-1283.4228211300001</v>
      </c>
      <c r="H1291">
        <v>-8.4126704183104692</v>
      </c>
      <c r="J1291" t="b">
        <v>0</v>
      </c>
    </row>
    <row r="1292" spans="1:10" x14ac:dyDescent="0.25">
      <c r="A1292">
        <v>1290</v>
      </c>
      <c r="B1292" t="s">
        <v>2560</v>
      </c>
      <c r="C1292" s="1">
        <v>46220</v>
      </c>
      <c r="D1292">
        <v>87.927914999999999</v>
      </c>
      <c r="E1292">
        <v>858.91280161999998</v>
      </c>
      <c r="F1292">
        <v>860.94215395000003</v>
      </c>
      <c r="G1292">
        <v>858.91280161999998</v>
      </c>
      <c r="H1292">
        <v>12.779717752237101</v>
      </c>
      <c r="J1292" t="b">
        <v>0</v>
      </c>
    </row>
    <row r="1293" spans="1:10" x14ac:dyDescent="0.25">
      <c r="A1293">
        <v>1291</v>
      </c>
      <c r="B1293" t="s">
        <v>2562</v>
      </c>
      <c r="C1293" s="1">
        <v>46220</v>
      </c>
      <c r="J1293" t="b">
        <v>0</v>
      </c>
    </row>
    <row r="1294" spans="1:10" x14ac:dyDescent="0.25">
      <c r="A1294">
        <v>1292</v>
      </c>
      <c r="B1294" t="s">
        <v>2564</v>
      </c>
      <c r="C1294" s="1">
        <v>46220</v>
      </c>
      <c r="D1294">
        <v>69.506155000000007</v>
      </c>
      <c r="E1294">
        <v>1734.19023793</v>
      </c>
      <c r="F1294">
        <v>1736.1674664100001</v>
      </c>
      <c r="G1294">
        <v>1734.19023793</v>
      </c>
      <c r="H1294">
        <v>21.108089969632498</v>
      </c>
      <c r="J1294" t="b">
        <v>0</v>
      </c>
    </row>
    <row r="1295" spans="1:10" x14ac:dyDescent="0.25">
      <c r="A1295">
        <v>1293</v>
      </c>
      <c r="B1295" t="s">
        <v>2568</v>
      </c>
      <c r="C1295" s="1">
        <v>46220</v>
      </c>
      <c r="D1295">
        <v>68</v>
      </c>
      <c r="F1295">
        <v>1689.49164991</v>
      </c>
      <c r="H1295">
        <v>20.854098696969601</v>
      </c>
      <c r="J1295" t="b">
        <v>0</v>
      </c>
    </row>
    <row r="1296" spans="1:10" x14ac:dyDescent="0.25">
      <c r="A1296">
        <v>1294</v>
      </c>
      <c r="B1296" t="s">
        <v>2570</v>
      </c>
      <c r="C1296" s="1">
        <v>46220</v>
      </c>
      <c r="J1296" t="b">
        <v>0</v>
      </c>
    </row>
    <row r="1297" spans="1:10" x14ac:dyDescent="0.25">
      <c r="A1297">
        <v>1295</v>
      </c>
      <c r="B1297" t="s">
        <v>3675</v>
      </c>
      <c r="C1297" s="1">
        <v>46220</v>
      </c>
      <c r="D1297">
        <v>99.580385000000007</v>
      </c>
      <c r="E1297">
        <v>589.83723443999997</v>
      </c>
      <c r="F1297">
        <v>592.84010889000001</v>
      </c>
      <c r="G1297">
        <v>589.83723443999997</v>
      </c>
      <c r="H1297">
        <v>9.9265594735192302</v>
      </c>
      <c r="J1297" t="b">
        <v>0</v>
      </c>
    </row>
    <row r="1298" spans="1:10" x14ac:dyDescent="0.25">
      <c r="A1298">
        <v>1296</v>
      </c>
      <c r="B1298" t="s">
        <v>3681</v>
      </c>
      <c r="C1298" s="1">
        <v>46220</v>
      </c>
      <c r="D1298">
        <v>91.129224999999906</v>
      </c>
      <c r="E1298">
        <v>667.56584996000004</v>
      </c>
      <c r="F1298">
        <v>669.36973040999999</v>
      </c>
      <c r="G1298">
        <v>667.56584996000004</v>
      </c>
      <c r="H1298">
        <v>10.7249071643846</v>
      </c>
      <c r="J1298" t="b">
        <v>0</v>
      </c>
    </row>
    <row r="1299" spans="1:10" x14ac:dyDescent="0.25">
      <c r="A1299">
        <v>1297</v>
      </c>
      <c r="B1299" t="s">
        <v>3683</v>
      </c>
      <c r="C1299" s="1">
        <v>46220</v>
      </c>
      <c r="D1299">
        <v>96.676900000000003</v>
      </c>
      <c r="E1299">
        <v>367.71833918999999</v>
      </c>
      <c r="F1299">
        <v>369.71714494000003</v>
      </c>
      <c r="G1299">
        <v>367.71833918999999</v>
      </c>
      <c r="H1299">
        <v>7.5421853193967801</v>
      </c>
      <c r="I1299">
        <v>83250</v>
      </c>
      <c r="J1299" t="b">
        <v>0</v>
      </c>
    </row>
    <row r="1300" spans="1:10" x14ac:dyDescent="0.25">
      <c r="A1300">
        <v>1298</v>
      </c>
      <c r="B1300" t="s">
        <v>3685</v>
      </c>
      <c r="C1300" s="1">
        <v>46220</v>
      </c>
      <c r="D1300">
        <v>97.424944999999994</v>
      </c>
      <c r="E1300">
        <v>631.55485336000004</v>
      </c>
      <c r="F1300">
        <v>633.74299761999998</v>
      </c>
      <c r="G1300">
        <v>631.55485336000004</v>
      </c>
      <c r="H1300">
        <v>10.305699106475201</v>
      </c>
      <c r="J1300" t="b">
        <v>0</v>
      </c>
    </row>
    <row r="1301" spans="1:10" x14ac:dyDescent="0.25">
      <c r="A1301">
        <v>1299</v>
      </c>
      <c r="B1301" t="s">
        <v>3687</v>
      </c>
      <c r="C1301" s="1">
        <v>46220</v>
      </c>
      <c r="D1301">
        <v>96.764214999999993</v>
      </c>
      <c r="E1301">
        <v>594.90886029000001</v>
      </c>
      <c r="F1301">
        <v>597.09804169999995</v>
      </c>
      <c r="G1301">
        <v>594.90886029000001</v>
      </c>
      <c r="H1301">
        <v>10.0320376963748</v>
      </c>
      <c r="J1301" t="b">
        <v>0</v>
      </c>
    </row>
    <row r="1302" spans="1:10" x14ac:dyDescent="0.25">
      <c r="A1302">
        <v>1300</v>
      </c>
      <c r="B1302" t="s">
        <v>3688</v>
      </c>
      <c r="C1302" s="1">
        <v>46220</v>
      </c>
      <c r="D1302">
        <v>99.066265000000001</v>
      </c>
      <c r="E1302">
        <v>640.73464355999999</v>
      </c>
      <c r="F1302">
        <v>643.75617938000005</v>
      </c>
      <c r="G1302">
        <v>640.73464355999999</v>
      </c>
      <c r="H1302">
        <v>10.564434194608999</v>
      </c>
      <c r="J1302" t="b">
        <v>0</v>
      </c>
    </row>
    <row r="1303" spans="1:10" x14ac:dyDescent="0.25">
      <c r="A1303">
        <v>1301</v>
      </c>
      <c r="B1303" t="s">
        <v>3690</v>
      </c>
      <c r="C1303" s="1">
        <v>46220</v>
      </c>
      <c r="D1303">
        <v>98.718649999999997</v>
      </c>
      <c r="E1303">
        <v>489.01627901000001</v>
      </c>
      <c r="F1303">
        <v>492.04161995999999</v>
      </c>
      <c r="G1303">
        <v>489.01627901000001</v>
      </c>
      <c r="H1303">
        <v>8.8353714753855002</v>
      </c>
      <c r="J1303" t="b">
        <v>0</v>
      </c>
    </row>
    <row r="1304" spans="1:10" x14ac:dyDescent="0.25">
      <c r="A1304">
        <v>1302</v>
      </c>
      <c r="B1304" t="s">
        <v>3691</v>
      </c>
      <c r="C1304" s="1">
        <v>46220</v>
      </c>
      <c r="D1304">
        <v>92.239014999999995</v>
      </c>
      <c r="E1304">
        <v>460.37831344</v>
      </c>
      <c r="F1304">
        <v>462.57227989</v>
      </c>
      <c r="G1304">
        <v>460.37831344</v>
      </c>
      <c r="H1304">
        <v>8.6285890916999293</v>
      </c>
      <c r="J1304" t="b">
        <v>0</v>
      </c>
    </row>
    <row r="1305" spans="1:10" x14ac:dyDescent="0.25">
      <c r="A1305">
        <v>1303</v>
      </c>
      <c r="B1305" t="s">
        <v>3693</v>
      </c>
      <c r="C1305" s="1">
        <v>46220</v>
      </c>
      <c r="D1305">
        <v>99.690605000000005</v>
      </c>
      <c r="E1305">
        <v>678.69748367</v>
      </c>
      <c r="F1305">
        <v>676.34278443000005</v>
      </c>
      <c r="G1305">
        <v>678.69748367</v>
      </c>
      <c r="H1305">
        <v>10.845480557378799</v>
      </c>
      <c r="J1305" t="b">
        <v>0</v>
      </c>
    </row>
    <row r="1306" spans="1:10" x14ac:dyDescent="0.25">
      <c r="A1306">
        <v>1304</v>
      </c>
      <c r="B1306" t="s">
        <v>3695</v>
      </c>
      <c r="C1306" s="1">
        <v>46220</v>
      </c>
      <c r="D1306">
        <v>97.591909999999999</v>
      </c>
      <c r="E1306">
        <v>524.59138536</v>
      </c>
      <c r="F1306">
        <v>527.22464259000003</v>
      </c>
      <c r="G1306">
        <v>524.59138536</v>
      </c>
      <c r="H1306">
        <v>9.1432440325117206</v>
      </c>
      <c r="J1306" t="b">
        <v>0</v>
      </c>
    </row>
    <row r="1307" spans="1:10" x14ac:dyDescent="0.25">
      <c r="A1307">
        <v>1305</v>
      </c>
      <c r="B1307" t="s">
        <v>3697</v>
      </c>
      <c r="C1307" s="1">
        <v>46220</v>
      </c>
      <c r="D1307">
        <v>22.684999999999999</v>
      </c>
      <c r="H1307">
        <v>9.7429948106552597</v>
      </c>
      <c r="I1307">
        <v>145391</v>
      </c>
      <c r="J1307" t="b">
        <v>0</v>
      </c>
    </row>
    <row r="1308" spans="1:10" x14ac:dyDescent="0.25">
      <c r="A1308">
        <v>1306</v>
      </c>
      <c r="B1308" t="s">
        <v>3699</v>
      </c>
      <c r="C1308" s="1">
        <v>46220</v>
      </c>
      <c r="D1308">
        <v>15.95</v>
      </c>
      <c r="H1308">
        <v>9.8138849327316002</v>
      </c>
      <c r="I1308">
        <v>110004</v>
      </c>
      <c r="J1308" t="b">
        <v>0</v>
      </c>
    </row>
    <row r="1309" spans="1:10" x14ac:dyDescent="0.25">
      <c r="A1309">
        <v>1307</v>
      </c>
      <c r="B1309" t="s">
        <v>3701</v>
      </c>
      <c r="C1309" s="1">
        <v>46220</v>
      </c>
      <c r="D1309">
        <v>16.02</v>
      </c>
      <c r="H1309">
        <v>9.9664527896296704</v>
      </c>
      <c r="I1309">
        <v>222021</v>
      </c>
      <c r="J1309" t="b">
        <v>0</v>
      </c>
    </row>
    <row r="1310" spans="1:10" x14ac:dyDescent="0.25">
      <c r="A1310">
        <v>1308</v>
      </c>
      <c r="B1310" t="s">
        <v>3703</v>
      </c>
      <c r="C1310" s="1">
        <v>46220</v>
      </c>
      <c r="J1310" t="b">
        <v>0</v>
      </c>
    </row>
    <row r="1311" spans="1:10" x14ac:dyDescent="0.25">
      <c r="A1311">
        <v>1309</v>
      </c>
      <c r="B1311" t="s">
        <v>3706</v>
      </c>
      <c r="C1311" s="1">
        <v>46220</v>
      </c>
      <c r="J1311" t="b">
        <v>0</v>
      </c>
    </row>
    <row r="1312" spans="1:10" x14ac:dyDescent="0.25">
      <c r="A1312">
        <v>1310</v>
      </c>
      <c r="B1312" t="s">
        <v>2549</v>
      </c>
      <c r="C1312" s="1">
        <v>46220</v>
      </c>
      <c r="D1312">
        <v>97.464524999999995</v>
      </c>
      <c r="E1312">
        <v>615.13265658</v>
      </c>
      <c r="F1312">
        <v>616.45525586999997</v>
      </c>
      <c r="G1312">
        <v>615.13265658</v>
      </c>
      <c r="H1312">
        <v>10.163582993426999</v>
      </c>
      <c r="J1312" t="b">
        <v>0</v>
      </c>
    </row>
    <row r="1313" spans="1:10" x14ac:dyDescent="0.25">
      <c r="A1313">
        <v>1311</v>
      </c>
      <c r="B1313" t="s">
        <v>2553</v>
      </c>
      <c r="C1313" s="1">
        <v>46220</v>
      </c>
      <c r="D1313">
        <v>95.5</v>
      </c>
      <c r="F1313">
        <v>579.58323122000002</v>
      </c>
      <c r="H1313">
        <v>9.7997278034691906</v>
      </c>
      <c r="J1313" t="b">
        <v>0</v>
      </c>
    </row>
    <row r="1314" spans="1:10" x14ac:dyDescent="0.25">
      <c r="A1314">
        <v>1312</v>
      </c>
      <c r="B1314" t="s">
        <v>2362</v>
      </c>
      <c r="C1314" s="1">
        <v>46220</v>
      </c>
      <c r="D1314">
        <v>77.543800000000005</v>
      </c>
      <c r="E1314">
        <v>1108.3903750699999</v>
      </c>
      <c r="F1314">
        <v>1110.7355499099999</v>
      </c>
      <c r="G1314">
        <v>1108.3903750699999</v>
      </c>
      <c r="H1314">
        <v>15.054069713181899</v>
      </c>
      <c r="J1314" t="b">
        <v>0</v>
      </c>
    </row>
    <row r="1315" spans="1:10" x14ac:dyDescent="0.25">
      <c r="A1315">
        <v>1313</v>
      </c>
      <c r="B1315" t="s">
        <v>2366</v>
      </c>
      <c r="C1315" s="1">
        <v>46220</v>
      </c>
      <c r="D1315">
        <v>75.247005000000001</v>
      </c>
      <c r="E1315">
        <v>974.11853531999998</v>
      </c>
      <c r="F1315">
        <v>976.45134406</v>
      </c>
      <c r="G1315">
        <v>974.11853531999998</v>
      </c>
      <c r="H1315">
        <v>14.0412160366993</v>
      </c>
      <c r="J1315" t="b">
        <v>0</v>
      </c>
    </row>
    <row r="1316" spans="1:10" x14ac:dyDescent="0.25">
      <c r="A1316">
        <v>1314</v>
      </c>
      <c r="B1316" t="s">
        <v>2368</v>
      </c>
      <c r="C1316" s="1">
        <v>46220</v>
      </c>
      <c r="D1316">
        <v>81.25</v>
      </c>
      <c r="F1316">
        <v>1220.8867923800001</v>
      </c>
      <c r="H1316">
        <v>16.142903138058799</v>
      </c>
      <c r="J1316" t="b">
        <v>0</v>
      </c>
    </row>
    <row r="1317" spans="1:10" x14ac:dyDescent="0.25">
      <c r="A1317">
        <v>1315</v>
      </c>
      <c r="B1317" t="s">
        <v>3637</v>
      </c>
      <c r="C1317" s="1">
        <v>46220</v>
      </c>
      <c r="D1317">
        <v>96.245189999999994</v>
      </c>
      <c r="E1317">
        <v>641.62803365000002</v>
      </c>
      <c r="F1317">
        <v>643.72977956</v>
      </c>
      <c r="G1317">
        <v>641.62803365000002</v>
      </c>
      <c r="H1317">
        <v>10.5412421025417</v>
      </c>
      <c r="J1317" t="b">
        <v>0</v>
      </c>
    </row>
    <row r="1318" spans="1:10" x14ac:dyDescent="0.25">
      <c r="A1318">
        <v>1316</v>
      </c>
      <c r="B1318" t="s">
        <v>3641</v>
      </c>
      <c r="C1318" s="1">
        <v>46220</v>
      </c>
      <c r="J1318" t="b">
        <v>0</v>
      </c>
    </row>
    <row r="1319" spans="1:10" x14ac:dyDescent="0.25">
      <c r="A1319">
        <v>1317</v>
      </c>
      <c r="B1319" t="s">
        <v>3643</v>
      </c>
      <c r="C1319" s="1">
        <v>46220</v>
      </c>
      <c r="D1319">
        <v>25.515000000000001</v>
      </c>
      <c r="H1319">
        <v>9.8829422506865097</v>
      </c>
      <c r="I1319">
        <v>35450</v>
      </c>
      <c r="J1319" t="b">
        <v>0</v>
      </c>
    </row>
    <row r="1320" spans="1:10" x14ac:dyDescent="0.25">
      <c r="A1320">
        <v>1318</v>
      </c>
      <c r="B1320" t="s">
        <v>2095</v>
      </c>
      <c r="C1320" s="1">
        <v>46220</v>
      </c>
      <c r="D1320">
        <v>93.994824999999906</v>
      </c>
      <c r="E1320">
        <v>1025.9117082600001</v>
      </c>
      <c r="F1320">
        <v>1029.66656618</v>
      </c>
      <c r="G1320">
        <v>1025.9117082600001</v>
      </c>
      <c r="H1320">
        <v>13.880419840732801</v>
      </c>
      <c r="J1320" t="b">
        <v>0</v>
      </c>
    </row>
    <row r="1321" spans="1:10" x14ac:dyDescent="0.25">
      <c r="A1321">
        <v>1319</v>
      </c>
      <c r="B1321" t="s">
        <v>2099</v>
      </c>
      <c r="C1321" s="1">
        <v>46220</v>
      </c>
      <c r="D1321">
        <v>83.957525000000004</v>
      </c>
      <c r="E1321">
        <v>1352.1456528799999</v>
      </c>
      <c r="F1321">
        <v>1355.2691766400001</v>
      </c>
      <c r="G1321">
        <v>1352.1456528799999</v>
      </c>
      <c r="H1321">
        <v>17.642402390310501</v>
      </c>
      <c r="J1321" t="b">
        <v>0</v>
      </c>
    </row>
    <row r="1322" spans="1:10" x14ac:dyDescent="0.25">
      <c r="A1322">
        <v>1320</v>
      </c>
      <c r="B1322" t="s">
        <v>2580</v>
      </c>
      <c r="C1322" s="1">
        <v>46220</v>
      </c>
      <c r="D1322">
        <v>100.02793</v>
      </c>
      <c r="E1322">
        <v>403.82641661000002</v>
      </c>
      <c r="F1322">
        <v>406.20244825999998</v>
      </c>
      <c r="G1322">
        <v>403.82641661000002</v>
      </c>
      <c r="H1322">
        <v>8.0335599108749207</v>
      </c>
      <c r="J1322" t="b">
        <v>0</v>
      </c>
    </row>
    <row r="1323" spans="1:10" x14ac:dyDescent="0.25">
      <c r="A1323">
        <v>1321</v>
      </c>
      <c r="B1323" t="s">
        <v>2582</v>
      </c>
      <c r="C1323" s="1">
        <v>46220</v>
      </c>
      <c r="D1323">
        <v>93.747704999999996</v>
      </c>
      <c r="E1323">
        <v>858.91106321999996</v>
      </c>
      <c r="F1323">
        <v>860.56068998000001</v>
      </c>
      <c r="G1323">
        <v>858.91106321999996</v>
      </c>
      <c r="H1323">
        <v>12.706157641598899</v>
      </c>
      <c r="J1323" t="b">
        <v>0</v>
      </c>
    </row>
    <row r="1324" spans="1:10" x14ac:dyDescent="0.25">
      <c r="A1324">
        <v>1322</v>
      </c>
      <c r="B1324" t="s">
        <v>2584</v>
      </c>
      <c r="C1324" s="1">
        <v>46220</v>
      </c>
      <c r="D1324">
        <v>99.25</v>
      </c>
      <c r="F1324">
        <v>377.75152945999997</v>
      </c>
      <c r="H1324">
        <v>7.7450430754365298</v>
      </c>
      <c r="J1324" t="b">
        <v>0</v>
      </c>
    </row>
    <row r="1325" spans="1:10" x14ac:dyDescent="0.25">
      <c r="A1325">
        <v>1323</v>
      </c>
      <c r="B1325" t="s">
        <v>2586</v>
      </c>
      <c r="C1325" s="1">
        <v>46220</v>
      </c>
      <c r="J1325" t="b">
        <v>0</v>
      </c>
    </row>
    <row r="1326" spans="1:10" x14ac:dyDescent="0.25">
      <c r="A1326">
        <v>1324</v>
      </c>
      <c r="B1326" t="s">
        <v>2572</v>
      </c>
      <c r="C1326" s="1">
        <v>46220</v>
      </c>
      <c r="D1326">
        <v>94.093885</v>
      </c>
      <c r="E1326">
        <v>1011.9</v>
      </c>
      <c r="F1326">
        <v>983.34</v>
      </c>
      <c r="G1326">
        <v>1011.9</v>
      </c>
      <c r="H1326">
        <v>13.9403398869289</v>
      </c>
      <c r="J1326" t="b">
        <v>0</v>
      </c>
    </row>
    <row r="1327" spans="1:10" x14ac:dyDescent="0.25">
      <c r="A1327">
        <v>1325</v>
      </c>
      <c r="B1327" t="s">
        <v>2576</v>
      </c>
      <c r="C1327" s="1">
        <v>46220</v>
      </c>
      <c r="D1327">
        <v>99.125</v>
      </c>
      <c r="F1327">
        <v>768.05291745</v>
      </c>
      <c r="H1327">
        <v>11.712622778524</v>
      </c>
      <c r="J1327" t="b">
        <v>0</v>
      </c>
    </row>
    <row r="1328" spans="1:10" x14ac:dyDescent="0.25">
      <c r="A1328">
        <v>1326</v>
      </c>
      <c r="B1328" t="s">
        <v>2588</v>
      </c>
      <c r="C1328" s="1">
        <v>46220</v>
      </c>
      <c r="D1328">
        <v>100.12309999999999</v>
      </c>
      <c r="E1328">
        <v>545.93768705000002</v>
      </c>
      <c r="F1328">
        <v>549.80018422000001</v>
      </c>
      <c r="G1328">
        <v>545.93768705000002</v>
      </c>
      <c r="H1328">
        <v>9.58024401246041</v>
      </c>
      <c r="J1328" t="b">
        <v>0</v>
      </c>
    </row>
    <row r="1329" spans="1:10" x14ac:dyDescent="0.25">
      <c r="A1329" s="2">
        <v>1327</v>
      </c>
      <c r="B1329" t="s">
        <v>2592</v>
      </c>
      <c r="C1329" s="1">
        <v>46220</v>
      </c>
      <c r="D1329">
        <v>90.905119999999997</v>
      </c>
      <c r="E1329">
        <v>1118.1618630099999</v>
      </c>
      <c r="F1329">
        <v>1120.1743667600001</v>
      </c>
      <c r="G1329">
        <v>1118.1618630099999</v>
      </c>
      <c r="H1329">
        <v>15.3337565744815</v>
      </c>
      <c r="J1329" t="b">
        <v>0</v>
      </c>
    </row>
    <row r="1330" spans="1:10" x14ac:dyDescent="0.25">
      <c r="A1330" s="2">
        <v>1328</v>
      </c>
      <c r="B1330" t="s">
        <v>2594</v>
      </c>
      <c r="C1330" s="1">
        <v>46220</v>
      </c>
      <c r="D1330">
        <v>96.625</v>
      </c>
      <c r="F1330">
        <v>614.41501976999996</v>
      </c>
      <c r="H1330">
        <v>10.115567305920001</v>
      </c>
      <c r="J1330" t="b">
        <v>0</v>
      </c>
    </row>
    <row r="1331" spans="1:10" x14ac:dyDescent="0.25">
      <c r="A1331" s="2">
        <v>1329</v>
      </c>
      <c r="B1331" t="s">
        <v>2703</v>
      </c>
      <c r="C1331" s="1">
        <v>46220</v>
      </c>
      <c r="D1331">
        <v>87.639080000000007</v>
      </c>
      <c r="E1331">
        <v>988.27759829000001</v>
      </c>
      <c r="F1331">
        <v>989.77269668999998</v>
      </c>
      <c r="G1331">
        <v>988.27759829000001</v>
      </c>
      <c r="H1331">
        <v>13.9088496899939</v>
      </c>
      <c r="J1331" t="b">
        <v>0</v>
      </c>
    </row>
    <row r="1332" spans="1:10" x14ac:dyDescent="0.25">
      <c r="A1332" s="2">
        <v>1330</v>
      </c>
      <c r="B1332" t="s">
        <v>2707</v>
      </c>
      <c r="C1332" s="1">
        <v>46220</v>
      </c>
      <c r="J1332" t="b">
        <v>0</v>
      </c>
    </row>
    <row r="1333" spans="1:10" x14ac:dyDescent="0.25">
      <c r="A1333" s="2">
        <v>1331</v>
      </c>
      <c r="B1333" t="s">
        <v>3708</v>
      </c>
      <c r="C1333" s="1">
        <v>46220</v>
      </c>
      <c r="D1333">
        <v>100.5936</v>
      </c>
      <c r="E1333">
        <v>361.64028051000003</v>
      </c>
      <c r="F1333">
        <v>363.42926769000002</v>
      </c>
      <c r="G1333">
        <v>361.64028051000003</v>
      </c>
      <c r="H1333">
        <v>7.7785124446180696</v>
      </c>
      <c r="J1333" t="b">
        <v>0</v>
      </c>
    </row>
    <row r="1334" spans="1:10" x14ac:dyDescent="0.25">
      <c r="A1334" s="2">
        <v>1332</v>
      </c>
      <c r="B1334" t="s">
        <v>3712</v>
      </c>
      <c r="C1334" s="1">
        <v>46220</v>
      </c>
      <c r="D1334">
        <v>95.461964999999907</v>
      </c>
      <c r="E1334">
        <v>654.77465594</v>
      </c>
      <c r="F1334">
        <v>656.02479292999999</v>
      </c>
      <c r="G1334">
        <v>654.77465594</v>
      </c>
      <c r="H1334">
        <v>10.6372052836905</v>
      </c>
      <c r="J1334" t="b">
        <v>0</v>
      </c>
    </row>
    <row r="1335" spans="1:10" x14ac:dyDescent="0.25">
      <c r="A1335" s="2">
        <v>1333</v>
      </c>
      <c r="B1335" t="s">
        <v>3714</v>
      </c>
      <c r="C1335" s="1">
        <v>46220</v>
      </c>
      <c r="D1335">
        <v>98.3125</v>
      </c>
      <c r="F1335">
        <v>311.70007550999998</v>
      </c>
      <c r="H1335">
        <v>6.9056021608815001</v>
      </c>
      <c r="J1335" t="b">
        <v>0</v>
      </c>
    </row>
    <row r="1336" spans="1:10" x14ac:dyDescent="0.25">
      <c r="A1336" s="2">
        <v>1334</v>
      </c>
      <c r="B1336" t="s">
        <v>2271</v>
      </c>
      <c r="C1336" s="1">
        <v>46220</v>
      </c>
      <c r="D1336">
        <v>95.608929999999901</v>
      </c>
      <c r="E1336">
        <v>443.06484792999998</v>
      </c>
      <c r="F1336">
        <v>713.08801600000004</v>
      </c>
      <c r="G1336">
        <v>443.06484792999998</v>
      </c>
      <c r="H1336">
        <v>10.2523680600495</v>
      </c>
      <c r="J1336" t="b">
        <v>0</v>
      </c>
    </row>
    <row r="1337" spans="1:10" x14ac:dyDescent="0.25">
      <c r="A1337" s="2">
        <v>1335</v>
      </c>
      <c r="B1337" t="s">
        <v>2275</v>
      </c>
      <c r="C1337" s="1">
        <v>46220</v>
      </c>
      <c r="D1337">
        <v>93.918369999999996</v>
      </c>
      <c r="E1337">
        <v>414.30744026000002</v>
      </c>
      <c r="F1337">
        <v>414.75846462999999</v>
      </c>
      <c r="G1337">
        <v>414.30744026000002</v>
      </c>
      <c r="H1337">
        <v>8.2303371525059799</v>
      </c>
      <c r="J1337" t="b">
        <v>0</v>
      </c>
    </row>
    <row r="1338" spans="1:10" x14ac:dyDescent="0.25">
      <c r="A1338" s="2">
        <v>1336</v>
      </c>
      <c r="B1338" t="s">
        <v>2277</v>
      </c>
      <c r="C1338" s="1">
        <v>46220</v>
      </c>
      <c r="D1338">
        <v>97.76388</v>
      </c>
      <c r="E1338">
        <v>307.39752834000001</v>
      </c>
      <c r="F1338">
        <v>309.72471171000001</v>
      </c>
      <c r="G1338">
        <v>307.39752834000001</v>
      </c>
      <c r="H1338">
        <v>7.10724690680434</v>
      </c>
      <c r="J1338" t="b">
        <v>0</v>
      </c>
    </row>
    <row r="1339" spans="1:10" x14ac:dyDescent="0.25">
      <c r="A1339" s="2">
        <v>1337</v>
      </c>
      <c r="B1339" t="s">
        <v>2279</v>
      </c>
      <c r="C1339" s="1">
        <v>46220</v>
      </c>
      <c r="D1339">
        <v>94.604034999999996</v>
      </c>
      <c r="E1339">
        <v>459.56709002000002</v>
      </c>
      <c r="F1339">
        <v>460.53118074000002</v>
      </c>
      <c r="G1339">
        <v>459.56709002000002</v>
      </c>
      <c r="H1339">
        <v>8.6349640189383194</v>
      </c>
      <c r="J1339" t="b">
        <v>0</v>
      </c>
    </row>
    <row r="1340" spans="1:10" x14ac:dyDescent="0.25">
      <c r="A1340" s="2">
        <v>1338</v>
      </c>
      <c r="B1340" t="s">
        <v>2281</v>
      </c>
      <c r="C1340" s="1">
        <v>46220</v>
      </c>
      <c r="D1340">
        <v>90.974885</v>
      </c>
      <c r="E1340">
        <v>3430.1993797599998</v>
      </c>
      <c r="F1340">
        <v>3320.7799990799999</v>
      </c>
      <c r="G1340">
        <v>3430.1993797599998</v>
      </c>
      <c r="H1340">
        <v>10.787319640356699</v>
      </c>
      <c r="J1340" t="b">
        <v>0</v>
      </c>
    </row>
    <row r="1341" spans="1:10" x14ac:dyDescent="0.25">
      <c r="A1341" s="2">
        <v>1339</v>
      </c>
      <c r="B1341" t="s">
        <v>2283</v>
      </c>
      <c r="C1341" s="1">
        <v>46220</v>
      </c>
      <c r="D1341">
        <v>90.206329999999994</v>
      </c>
      <c r="E1341">
        <v>353.02610580999999</v>
      </c>
      <c r="F1341">
        <v>354.98244469000002</v>
      </c>
      <c r="G1341">
        <v>353.02610580999999</v>
      </c>
      <c r="H1341">
        <v>7.54820231348004</v>
      </c>
      <c r="J1341" t="b">
        <v>0</v>
      </c>
    </row>
    <row r="1342" spans="1:10" x14ac:dyDescent="0.25">
      <c r="A1342" s="2">
        <v>1340</v>
      </c>
      <c r="B1342" t="s">
        <v>3645</v>
      </c>
      <c r="C1342" s="1">
        <v>46220</v>
      </c>
      <c r="D1342">
        <v>101.92274999999999</v>
      </c>
      <c r="E1342">
        <v>363.39437724999999</v>
      </c>
      <c r="F1342">
        <v>367.06483288999999</v>
      </c>
      <c r="G1342">
        <v>363.39437724999999</v>
      </c>
      <c r="H1342">
        <v>8.1433227245991198</v>
      </c>
      <c r="J1342" t="b">
        <v>0</v>
      </c>
    </row>
    <row r="1343" spans="1:10" x14ac:dyDescent="0.25">
      <c r="A1343" s="2">
        <v>1341</v>
      </c>
      <c r="B1343" t="s">
        <v>3650</v>
      </c>
      <c r="C1343" s="1">
        <v>46220</v>
      </c>
      <c r="J1343" t="b">
        <v>1</v>
      </c>
    </row>
    <row r="1344" spans="1:10" x14ac:dyDescent="0.25">
      <c r="A1344" s="2">
        <v>1342</v>
      </c>
      <c r="B1344" t="s">
        <v>3652</v>
      </c>
      <c r="C1344" s="1">
        <v>46220</v>
      </c>
      <c r="D1344">
        <v>98.25</v>
      </c>
      <c r="E1344">
        <v>653.94780703000004</v>
      </c>
      <c r="F1344">
        <v>655.97994919999996</v>
      </c>
      <c r="G1344">
        <v>653.94780703000004</v>
      </c>
      <c r="H1344">
        <v>10.6433728667271</v>
      </c>
      <c r="I1344">
        <v>4985</v>
      </c>
      <c r="J1344" t="b">
        <v>0</v>
      </c>
    </row>
    <row r="1345" spans="1:10" x14ac:dyDescent="0.25">
      <c r="A1345" s="2">
        <v>1343</v>
      </c>
      <c r="B1345" t="s">
        <v>3654</v>
      </c>
      <c r="C1345" s="1">
        <v>46220</v>
      </c>
      <c r="D1345">
        <v>99.875</v>
      </c>
      <c r="H1345">
        <v>8.5623224942852794</v>
      </c>
      <c r="J1345" t="b">
        <v>1</v>
      </c>
    </row>
    <row r="1346" spans="1:10" x14ac:dyDescent="0.25">
      <c r="A1346" s="2">
        <v>1344</v>
      </c>
      <c r="B1346" t="s">
        <v>3656</v>
      </c>
      <c r="C1346" s="1">
        <v>46220</v>
      </c>
      <c r="D1346">
        <v>99.875</v>
      </c>
      <c r="J1346" t="b">
        <v>1</v>
      </c>
    </row>
    <row r="1347" spans="1:10" x14ac:dyDescent="0.25">
      <c r="A1347" s="2">
        <v>1345</v>
      </c>
      <c r="B1347" t="s">
        <v>2596</v>
      </c>
      <c r="C1347" s="1">
        <v>46220</v>
      </c>
      <c r="D1347">
        <v>74.75</v>
      </c>
      <c r="E1347">
        <v>869.43510002999994</v>
      </c>
      <c r="F1347">
        <v>871.50368523999998</v>
      </c>
      <c r="G1347">
        <v>869.43510002999994</v>
      </c>
      <c r="H1347">
        <v>12.9892806749587</v>
      </c>
      <c r="I1347">
        <v>700</v>
      </c>
      <c r="J1347" t="b">
        <v>0</v>
      </c>
    </row>
    <row r="1348" spans="1:10" x14ac:dyDescent="0.25">
      <c r="A1348" s="2">
        <v>1346</v>
      </c>
      <c r="B1348" t="s">
        <v>2600</v>
      </c>
      <c r="C1348" s="1">
        <v>46220</v>
      </c>
      <c r="D1348">
        <v>79.519454999999994</v>
      </c>
      <c r="E1348">
        <v>527.25910687999999</v>
      </c>
      <c r="F1348">
        <v>528.89932596999995</v>
      </c>
      <c r="G1348">
        <v>527.25910687999999</v>
      </c>
      <c r="H1348">
        <v>9.8845528729811996</v>
      </c>
      <c r="J1348" t="b">
        <v>0</v>
      </c>
    </row>
    <row r="1349" spans="1:10" x14ac:dyDescent="0.25">
      <c r="A1349" s="2">
        <v>1347</v>
      </c>
      <c r="B1349" t="s">
        <v>2602</v>
      </c>
      <c r="C1349" s="1">
        <v>46220</v>
      </c>
      <c r="D1349">
        <v>91.25</v>
      </c>
      <c r="F1349">
        <v>989.37187591999998</v>
      </c>
      <c r="H1349">
        <v>13.2515768416964</v>
      </c>
      <c r="J1349" t="b">
        <v>0</v>
      </c>
    </row>
    <row r="1350" spans="1:10" x14ac:dyDescent="0.25">
      <c r="A1350" s="2">
        <v>1348</v>
      </c>
      <c r="B1350" t="s">
        <v>2604</v>
      </c>
      <c r="C1350" s="1">
        <v>46220</v>
      </c>
      <c r="D1350">
        <v>93.5</v>
      </c>
      <c r="F1350">
        <v>830.47345926000003</v>
      </c>
      <c r="H1350">
        <v>11.863338730388</v>
      </c>
      <c r="J1350" t="b">
        <v>0</v>
      </c>
    </row>
    <row r="1351" spans="1:10" x14ac:dyDescent="0.25">
      <c r="A1351" s="2">
        <v>1349</v>
      </c>
      <c r="B1351" t="s">
        <v>2606</v>
      </c>
      <c r="C1351" s="1">
        <v>46220</v>
      </c>
      <c r="D1351">
        <v>93.5</v>
      </c>
      <c r="F1351">
        <v>830.47345926000003</v>
      </c>
      <c r="H1351">
        <v>11.863338730388101</v>
      </c>
      <c r="J1351" t="b">
        <v>0</v>
      </c>
    </row>
    <row r="1352" spans="1:10" x14ac:dyDescent="0.25">
      <c r="A1352" s="2">
        <v>1350</v>
      </c>
      <c r="B1352" t="s">
        <v>2608</v>
      </c>
      <c r="C1352" s="1">
        <v>46220</v>
      </c>
      <c r="J1352" t="b">
        <v>0</v>
      </c>
    </row>
    <row r="1353" spans="1:10" x14ac:dyDescent="0.25">
      <c r="A1353" s="2">
        <v>1351</v>
      </c>
      <c r="B1353" t="s">
        <v>2709</v>
      </c>
      <c r="C1353" s="1">
        <v>46220</v>
      </c>
      <c r="D1353">
        <v>87.482714999999999</v>
      </c>
      <c r="E1353">
        <v>688.01416586000005</v>
      </c>
      <c r="F1353">
        <v>690.29534824999996</v>
      </c>
      <c r="G1353">
        <v>688.01416586000005</v>
      </c>
      <c r="H1353">
        <v>10.672072500707101</v>
      </c>
      <c r="J1353" t="b">
        <v>0</v>
      </c>
    </row>
    <row r="1354" spans="1:10" x14ac:dyDescent="0.25">
      <c r="A1354" s="2">
        <v>1352</v>
      </c>
      <c r="B1354" t="s">
        <v>2317</v>
      </c>
      <c r="C1354" s="1">
        <v>46220</v>
      </c>
      <c r="D1354">
        <v>53.799605</v>
      </c>
      <c r="E1354">
        <v>1662.5607897899999</v>
      </c>
      <c r="F1354">
        <v>1663.9106229500001</v>
      </c>
      <c r="G1354">
        <v>1662.5607897899999</v>
      </c>
      <c r="H1354">
        <v>20.740523324059701</v>
      </c>
      <c r="J1354" t="b">
        <v>0</v>
      </c>
    </row>
    <row r="1355" spans="1:10" x14ac:dyDescent="0.25">
      <c r="A1355" s="2">
        <v>1353</v>
      </c>
      <c r="B1355" t="s">
        <v>2321</v>
      </c>
      <c r="C1355" s="1">
        <v>46220</v>
      </c>
      <c r="D1355">
        <v>76.144274999999993</v>
      </c>
      <c r="E1355">
        <v>2208.3236342599998</v>
      </c>
      <c r="F1355">
        <v>2211.7021578899999</v>
      </c>
      <c r="G1355">
        <v>2208.3236342599998</v>
      </c>
      <c r="H1355">
        <v>26.330473679264099</v>
      </c>
      <c r="J1355" t="b">
        <v>0</v>
      </c>
    </row>
    <row r="1356" spans="1:10" x14ac:dyDescent="0.25">
      <c r="A1356" s="2">
        <v>1354</v>
      </c>
      <c r="B1356" t="s">
        <v>2323</v>
      </c>
      <c r="C1356" s="1">
        <v>46220</v>
      </c>
      <c r="D1356">
        <v>84.25</v>
      </c>
      <c r="F1356">
        <v>1038.66778604</v>
      </c>
      <c r="H1356">
        <v>14.4652100994352</v>
      </c>
      <c r="J1356" t="b">
        <v>0</v>
      </c>
    </row>
    <row r="1357" spans="1:10" x14ac:dyDescent="0.25">
      <c r="A1357" s="2">
        <v>1355</v>
      </c>
      <c r="B1357" t="s">
        <v>2325</v>
      </c>
      <c r="C1357" s="1">
        <v>46220</v>
      </c>
      <c r="J1357" t="b">
        <v>0</v>
      </c>
    </row>
    <row r="1358" spans="1:10" x14ac:dyDescent="0.25">
      <c r="A1358" s="2">
        <v>1356</v>
      </c>
      <c r="B1358" t="s">
        <v>2382</v>
      </c>
      <c r="C1358" s="1">
        <v>46220</v>
      </c>
      <c r="D1358">
        <v>102.29944999999999</v>
      </c>
      <c r="E1358">
        <v>683.41116707000003</v>
      </c>
      <c r="F1358">
        <v>685.86374890000002</v>
      </c>
      <c r="G1358">
        <v>683.41116707000003</v>
      </c>
      <c r="H1358">
        <v>11.431429963996599</v>
      </c>
      <c r="J1358" t="b">
        <v>0</v>
      </c>
    </row>
    <row r="1359" spans="1:10" x14ac:dyDescent="0.25">
      <c r="A1359" s="2">
        <v>1357</v>
      </c>
      <c r="B1359" t="s">
        <v>2386</v>
      </c>
      <c r="C1359" s="1">
        <v>46220</v>
      </c>
      <c r="D1359">
        <v>87.598429999999993</v>
      </c>
      <c r="E1359">
        <v>679.09108975000004</v>
      </c>
      <c r="F1359">
        <v>681.32357076999995</v>
      </c>
      <c r="G1359">
        <v>679.09108975000004</v>
      </c>
      <c r="H1359">
        <v>10.9736439582015</v>
      </c>
      <c r="J1359" t="b">
        <v>0</v>
      </c>
    </row>
    <row r="1360" spans="1:10" x14ac:dyDescent="0.25">
      <c r="A1360" s="2">
        <v>1358</v>
      </c>
      <c r="B1360" t="s">
        <v>2610</v>
      </c>
      <c r="C1360" s="1">
        <v>46220</v>
      </c>
      <c r="D1360">
        <v>83.800759999999997</v>
      </c>
      <c r="E1360">
        <v>1408.30409156</v>
      </c>
      <c r="F1360">
        <v>1410.44394603</v>
      </c>
      <c r="G1360">
        <v>1408.30409156</v>
      </c>
      <c r="H1360">
        <v>18.695985954038399</v>
      </c>
      <c r="J1360" t="b">
        <v>0</v>
      </c>
    </row>
    <row r="1361" spans="1:10" x14ac:dyDescent="0.25">
      <c r="A1361" s="2">
        <v>1359</v>
      </c>
      <c r="B1361" t="s">
        <v>2614</v>
      </c>
      <c r="C1361" s="1">
        <v>46220</v>
      </c>
      <c r="J1361" t="b">
        <v>0</v>
      </c>
    </row>
    <row r="1362" spans="1:10" x14ac:dyDescent="0.25">
      <c r="A1362" s="2">
        <v>1360</v>
      </c>
      <c r="B1362" t="s">
        <v>2616</v>
      </c>
      <c r="C1362" s="1">
        <v>46220</v>
      </c>
      <c r="D1362">
        <v>95.75</v>
      </c>
      <c r="F1362">
        <v>725.81793453</v>
      </c>
      <c r="H1362">
        <v>11.352226592708799</v>
      </c>
      <c r="J1362" t="b">
        <v>0</v>
      </c>
    </row>
    <row r="1363" spans="1:10" x14ac:dyDescent="0.25">
      <c r="A1363" s="2">
        <v>1361</v>
      </c>
      <c r="B1363" t="s">
        <v>2618</v>
      </c>
      <c r="C1363" s="1">
        <v>46220</v>
      </c>
      <c r="D1363">
        <v>96.85615</v>
      </c>
      <c r="E1363">
        <v>661.11365465999995</v>
      </c>
      <c r="F1363">
        <v>662.39636355000005</v>
      </c>
      <c r="G1363">
        <v>661.11365465999995</v>
      </c>
      <c r="H1363">
        <v>10.6210239039456</v>
      </c>
      <c r="J1363" t="b">
        <v>0</v>
      </c>
    </row>
    <row r="1364" spans="1:10" x14ac:dyDescent="0.25">
      <c r="A1364" s="2">
        <v>1362</v>
      </c>
      <c r="B1364" t="s">
        <v>2622</v>
      </c>
      <c r="C1364" s="1">
        <v>46220</v>
      </c>
      <c r="J1364" t="b">
        <v>0</v>
      </c>
    </row>
    <row r="1365" spans="1:10" x14ac:dyDescent="0.25">
      <c r="A1365" s="2">
        <v>1363</v>
      </c>
      <c r="B1365" t="s">
        <v>2624</v>
      </c>
      <c r="C1365" s="1">
        <v>46220</v>
      </c>
      <c r="J1365" t="b">
        <v>0</v>
      </c>
    </row>
    <row r="1366" spans="1:10" x14ac:dyDescent="0.25">
      <c r="A1366" s="2">
        <v>1364</v>
      </c>
      <c r="B1366" t="s">
        <v>3865</v>
      </c>
      <c r="C1366" s="1">
        <v>46220</v>
      </c>
      <c r="D1366">
        <v>93.410134999999997</v>
      </c>
      <c r="E1366">
        <v>240.30176788</v>
      </c>
      <c r="F1366">
        <v>243.03406408999999</v>
      </c>
      <c r="G1366">
        <v>240.30176788</v>
      </c>
      <c r="H1366">
        <v>7.1790076601451096</v>
      </c>
      <c r="J1366" t="b">
        <v>0</v>
      </c>
    </row>
    <row r="1367" spans="1:10" x14ac:dyDescent="0.25">
      <c r="A1367" s="2">
        <v>1365</v>
      </c>
      <c r="B1367" t="s">
        <v>3871</v>
      </c>
      <c r="C1367" s="1">
        <v>46220</v>
      </c>
      <c r="D1367">
        <v>76.274974999999998</v>
      </c>
      <c r="E1367">
        <v>740.91903823999996</v>
      </c>
      <c r="F1367">
        <v>742.78915049</v>
      </c>
      <c r="G1367">
        <v>740.91903823999996</v>
      </c>
      <c r="H1367">
        <v>12.260179303535301</v>
      </c>
      <c r="J1367" t="b">
        <v>0</v>
      </c>
    </row>
    <row r="1368" spans="1:10" x14ac:dyDescent="0.25">
      <c r="A1368" s="2">
        <v>1366</v>
      </c>
      <c r="B1368" t="s">
        <v>3873</v>
      </c>
      <c r="C1368" s="1">
        <v>46220</v>
      </c>
      <c r="J1368" t="b">
        <v>0</v>
      </c>
    </row>
    <row r="1369" spans="1:10" x14ac:dyDescent="0.25">
      <c r="A1369" s="2">
        <v>1367</v>
      </c>
      <c r="B1369" t="s">
        <v>3877</v>
      </c>
      <c r="C1369" s="1">
        <v>46220</v>
      </c>
      <c r="J1369" t="b">
        <v>0</v>
      </c>
    </row>
    <row r="1370" spans="1:10" x14ac:dyDescent="0.25">
      <c r="A1370" s="2">
        <v>1368</v>
      </c>
      <c r="B1370" t="s">
        <v>3882</v>
      </c>
      <c r="C1370" s="1">
        <v>46220</v>
      </c>
      <c r="J1370" t="b">
        <v>0</v>
      </c>
    </row>
    <row r="1371" spans="1:10" x14ac:dyDescent="0.25">
      <c r="A1371" s="2">
        <v>1369</v>
      </c>
      <c r="B1371" t="s">
        <v>3885</v>
      </c>
      <c r="C1371" s="1">
        <v>46220</v>
      </c>
      <c r="J1371" t="b">
        <v>0</v>
      </c>
    </row>
    <row r="1372" spans="1:10" x14ac:dyDescent="0.25">
      <c r="A1372" s="2">
        <v>1370</v>
      </c>
      <c r="B1372" t="s">
        <v>3888</v>
      </c>
      <c r="C1372" s="1">
        <v>46220</v>
      </c>
      <c r="J1372" t="b">
        <v>0</v>
      </c>
    </row>
    <row r="1373" spans="1:10" x14ac:dyDescent="0.25">
      <c r="A1373" s="2">
        <v>1371</v>
      </c>
      <c r="B1373" t="s">
        <v>3891</v>
      </c>
      <c r="C1373" s="1">
        <v>46220</v>
      </c>
      <c r="D1373">
        <v>60.881010000000003</v>
      </c>
      <c r="F1373">
        <v>1876.02000922</v>
      </c>
      <c r="H1373">
        <v>23.0046306539132</v>
      </c>
      <c r="J1373" t="b">
        <v>0</v>
      </c>
    </row>
    <row r="1374" spans="1:10" x14ac:dyDescent="0.25">
      <c r="A1374" s="2">
        <v>1372</v>
      </c>
      <c r="B1374" t="s">
        <v>3895</v>
      </c>
      <c r="C1374" s="1">
        <v>46220</v>
      </c>
      <c r="D1374">
        <v>83.959429999999998</v>
      </c>
      <c r="E1374">
        <v>2716.6595437000001</v>
      </c>
      <c r="F1374">
        <v>2719.34314262</v>
      </c>
      <c r="G1374">
        <v>2716.6595437000001</v>
      </c>
      <c r="H1374">
        <v>30.4072453016053</v>
      </c>
      <c r="J1374" t="b">
        <v>0</v>
      </c>
    </row>
    <row r="1375" spans="1:10" x14ac:dyDescent="0.25">
      <c r="A1375" s="2">
        <v>1373</v>
      </c>
      <c r="B1375" t="s">
        <v>3897</v>
      </c>
      <c r="C1375" s="1">
        <v>46220</v>
      </c>
      <c r="J1375" t="b">
        <v>0</v>
      </c>
    </row>
    <row r="1376" spans="1:10" x14ac:dyDescent="0.25">
      <c r="A1376" s="2">
        <v>1374</v>
      </c>
      <c r="B1376" t="s">
        <v>3323</v>
      </c>
      <c r="C1376" s="1">
        <v>46129</v>
      </c>
    </row>
    <row r="1377" spans="1:7" x14ac:dyDescent="0.25">
      <c r="A1377" s="2">
        <v>1375</v>
      </c>
      <c r="B1377" t="s">
        <v>3326</v>
      </c>
      <c r="C1377" s="1">
        <v>46129</v>
      </c>
      <c r="D1377">
        <v>99.771450000000002</v>
      </c>
      <c r="E1377">
        <v>636.27808791999996</v>
      </c>
      <c r="F1377">
        <v>638.83804773999998</v>
      </c>
      <c r="G1377">
        <v>636.27808791999996</v>
      </c>
    </row>
    <row r="1378" spans="1:7" x14ac:dyDescent="0.25">
      <c r="A1378" s="2">
        <v>1376</v>
      </c>
      <c r="B1378" t="s">
        <v>3329</v>
      </c>
      <c r="C1378" s="1">
        <v>46129</v>
      </c>
      <c r="D1378">
        <v>89.25</v>
      </c>
      <c r="F1378">
        <v>635.90165628</v>
      </c>
    </row>
    <row r="1379" spans="1:7" x14ac:dyDescent="0.25">
      <c r="A1379" s="2">
        <v>1377</v>
      </c>
      <c r="B1379" t="s">
        <v>44</v>
      </c>
      <c r="C1379" s="1">
        <v>46129</v>
      </c>
      <c r="D1379">
        <v>83.241010000000003</v>
      </c>
      <c r="E1379">
        <v>1828.59136152</v>
      </c>
      <c r="F1379">
        <v>1831.4355322599999</v>
      </c>
      <c r="G1379">
        <v>1828.59136152</v>
      </c>
    </row>
    <row r="1380" spans="1:7" x14ac:dyDescent="0.25">
      <c r="A1380" s="2">
        <v>1378</v>
      </c>
      <c r="B1380" t="s">
        <v>37</v>
      </c>
      <c r="C1380" s="1">
        <v>46129</v>
      </c>
      <c r="D1380">
        <v>75.533389999999997</v>
      </c>
      <c r="E1380">
        <v>2066.1659970699998</v>
      </c>
      <c r="F1380">
        <v>2072.4033602700001</v>
      </c>
      <c r="G1380">
        <v>2066.1659970699998</v>
      </c>
    </row>
    <row r="1381" spans="1:7" x14ac:dyDescent="0.25">
      <c r="A1381" s="2">
        <v>1379</v>
      </c>
      <c r="B1381" t="s">
        <v>42</v>
      </c>
      <c r="C1381" s="1">
        <v>46129</v>
      </c>
      <c r="D1381">
        <v>87.726060000000004</v>
      </c>
      <c r="E1381">
        <v>1579.1818413399999</v>
      </c>
      <c r="F1381">
        <v>1581.62293262</v>
      </c>
      <c r="G1381">
        <v>1579.1818413399999</v>
      </c>
    </row>
    <row r="1382" spans="1:7" x14ac:dyDescent="0.25">
      <c r="A1382" s="2">
        <v>1380</v>
      </c>
      <c r="B1382" t="s">
        <v>60</v>
      </c>
      <c r="C1382" s="1">
        <v>46129</v>
      </c>
      <c r="D1382">
        <v>36.78866</v>
      </c>
      <c r="E1382">
        <v>2503.3562313100001</v>
      </c>
      <c r="F1382">
        <v>2504.6825844700002</v>
      </c>
      <c r="G1382">
        <v>2503.3562313100001</v>
      </c>
    </row>
    <row r="1383" spans="1:7" x14ac:dyDescent="0.25">
      <c r="A1383" s="2">
        <v>1381</v>
      </c>
      <c r="B1383" t="s">
        <v>40</v>
      </c>
      <c r="C1383" s="1">
        <v>46129</v>
      </c>
      <c r="D1383">
        <v>60.615740000000002</v>
      </c>
      <c r="E1383">
        <v>1169.98304536</v>
      </c>
      <c r="F1383">
        <v>1171.46880272</v>
      </c>
      <c r="G1383">
        <v>1169.98304536</v>
      </c>
    </row>
    <row r="1384" spans="1:7" x14ac:dyDescent="0.25">
      <c r="A1384" s="2">
        <v>1382</v>
      </c>
      <c r="B1384" t="s">
        <v>52</v>
      </c>
      <c r="C1384" s="1">
        <v>46129</v>
      </c>
      <c r="D1384">
        <v>60.479979999999998</v>
      </c>
      <c r="E1384">
        <v>1179.24557523</v>
      </c>
      <c r="F1384">
        <v>1181.32235517</v>
      </c>
      <c r="G1384">
        <v>1179.24557523</v>
      </c>
    </row>
    <row r="1385" spans="1:7" x14ac:dyDescent="0.25">
      <c r="A1385" s="2">
        <v>1383</v>
      </c>
      <c r="B1385" t="s">
        <v>58</v>
      </c>
      <c r="C1385" s="1">
        <v>46129</v>
      </c>
      <c r="D1385">
        <v>37.455629999999999</v>
      </c>
      <c r="E1385">
        <v>2757.1400870399998</v>
      </c>
      <c r="F1385">
        <v>2759.0938903800002</v>
      </c>
      <c r="G1385">
        <v>2757.1400870399998</v>
      </c>
    </row>
    <row r="1386" spans="1:7" x14ac:dyDescent="0.25">
      <c r="A1386" s="2">
        <v>1384</v>
      </c>
      <c r="B1386" t="s">
        <v>56</v>
      </c>
      <c r="C1386" s="1">
        <v>46129</v>
      </c>
      <c r="D1386">
        <v>61.012810000000002</v>
      </c>
      <c r="E1386">
        <v>1298.16222376</v>
      </c>
      <c r="F1386">
        <v>1300.00987244</v>
      </c>
      <c r="G1386">
        <v>1298.16222376</v>
      </c>
    </row>
    <row r="1387" spans="1:7" x14ac:dyDescent="0.25">
      <c r="A1387" s="2">
        <v>1385</v>
      </c>
      <c r="B1387" t="s">
        <v>46</v>
      </c>
      <c r="C1387" s="1">
        <v>46129</v>
      </c>
      <c r="D1387">
        <v>39.292119999999997</v>
      </c>
      <c r="E1387">
        <v>3424.8671062799999</v>
      </c>
      <c r="F1387">
        <v>3427.51585054</v>
      </c>
      <c r="G1387">
        <v>3424.8671062799999</v>
      </c>
    </row>
    <row r="1388" spans="1:7" x14ac:dyDescent="0.25">
      <c r="A1388" s="2">
        <v>1386</v>
      </c>
      <c r="B1388" t="s">
        <v>50</v>
      </c>
      <c r="C1388" s="1">
        <v>46129</v>
      </c>
      <c r="D1388">
        <v>65.131290000000007</v>
      </c>
      <c r="E1388">
        <v>2100.7376725300001</v>
      </c>
      <c r="F1388">
        <v>2103.8670634800001</v>
      </c>
      <c r="G1388">
        <v>2100.7376725300001</v>
      </c>
    </row>
    <row r="1389" spans="1:7" x14ac:dyDescent="0.25">
      <c r="A1389" s="2">
        <v>1387</v>
      </c>
      <c r="B1389" t="s">
        <v>54</v>
      </c>
      <c r="C1389" s="1">
        <v>46129</v>
      </c>
      <c r="D1389">
        <v>54.624879999999997</v>
      </c>
      <c r="E1389">
        <v>4073.4074298700002</v>
      </c>
      <c r="F1389">
        <v>4076.8605124199998</v>
      </c>
      <c r="G1389">
        <v>4073.4074298700002</v>
      </c>
    </row>
    <row r="1390" spans="1:7" x14ac:dyDescent="0.25">
      <c r="A1390" s="2">
        <v>1388</v>
      </c>
      <c r="B1390" t="s">
        <v>120</v>
      </c>
      <c r="C1390" s="1">
        <v>46129</v>
      </c>
    </row>
    <row r="1391" spans="1:7" x14ac:dyDescent="0.25">
      <c r="A1391" s="2">
        <v>1389</v>
      </c>
      <c r="B1391" t="s">
        <v>48</v>
      </c>
      <c r="C1391" s="1">
        <v>46129</v>
      </c>
      <c r="D1391">
        <v>75.697130000000001</v>
      </c>
      <c r="E1391">
        <v>1913.48905236</v>
      </c>
      <c r="F1391">
        <v>1917.4476600600001</v>
      </c>
      <c r="G1391">
        <v>1913.48905236</v>
      </c>
    </row>
    <row r="1392" spans="1:7" x14ac:dyDescent="0.25">
      <c r="A1392" s="2">
        <v>1390</v>
      </c>
      <c r="B1392" t="s">
        <v>122</v>
      </c>
      <c r="C1392" s="1">
        <v>46129</v>
      </c>
      <c r="D1392">
        <v>100.25</v>
      </c>
    </row>
    <row r="1393" spans="1:7" x14ac:dyDescent="0.25">
      <c r="A1393" s="2">
        <v>1391</v>
      </c>
      <c r="B1393" t="s">
        <v>124</v>
      </c>
      <c r="C1393" s="1">
        <v>46129</v>
      </c>
      <c r="D1393">
        <v>99.9375</v>
      </c>
      <c r="F1393">
        <v>332.20380673</v>
      </c>
    </row>
    <row r="1394" spans="1:7" x14ac:dyDescent="0.25">
      <c r="A1394" s="2">
        <v>1392</v>
      </c>
      <c r="B1394" t="s">
        <v>62</v>
      </c>
      <c r="C1394" s="1">
        <v>46129</v>
      </c>
      <c r="D1394">
        <v>89</v>
      </c>
      <c r="F1394">
        <v>1142.1788264899999</v>
      </c>
    </row>
    <row r="1395" spans="1:7" x14ac:dyDescent="0.25">
      <c r="A1395" s="2">
        <v>1393</v>
      </c>
      <c r="B1395" t="s">
        <v>126</v>
      </c>
      <c r="C1395" s="1">
        <v>46129</v>
      </c>
      <c r="D1395">
        <v>86</v>
      </c>
    </row>
    <row r="1396" spans="1:7" x14ac:dyDescent="0.25">
      <c r="A1396" s="2">
        <v>1394</v>
      </c>
      <c r="B1396" t="s">
        <v>3334</v>
      </c>
      <c r="C1396" s="1">
        <v>46129</v>
      </c>
      <c r="D1396">
        <v>102.03100000000001</v>
      </c>
      <c r="E1396">
        <v>497.10670499999998</v>
      </c>
      <c r="F1396">
        <v>499.77929073000001</v>
      </c>
      <c r="G1396">
        <v>497.10670499999998</v>
      </c>
    </row>
    <row r="1397" spans="1:7" x14ac:dyDescent="0.25">
      <c r="A1397" s="2">
        <v>1395</v>
      </c>
      <c r="B1397" t="s">
        <v>3338</v>
      </c>
      <c r="C1397" s="1">
        <v>46129</v>
      </c>
      <c r="D1397">
        <v>100.90479999999999</v>
      </c>
      <c r="E1397">
        <v>517.49612147000005</v>
      </c>
      <c r="F1397">
        <v>520.22025948999999</v>
      </c>
      <c r="G1397">
        <v>517.49612147000005</v>
      </c>
    </row>
    <row r="1398" spans="1:7" x14ac:dyDescent="0.25">
      <c r="A1398" s="2">
        <v>1396</v>
      </c>
      <c r="B1398" t="s">
        <v>3340</v>
      </c>
      <c r="C1398" s="1">
        <v>46129</v>
      </c>
    </row>
    <row r="1399" spans="1:7" x14ac:dyDescent="0.25">
      <c r="A1399" s="2">
        <v>1397</v>
      </c>
      <c r="B1399" t="s">
        <v>3342</v>
      </c>
      <c r="C1399" s="1">
        <v>46129</v>
      </c>
    </row>
    <row r="1400" spans="1:7" x14ac:dyDescent="0.25">
      <c r="A1400" s="2">
        <v>1398</v>
      </c>
      <c r="B1400" t="s">
        <v>3345</v>
      </c>
      <c r="C1400" s="1">
        <v>46129</v>
      </c>
    </row>
    <row r="1401" spans="1:7" x14ac:dyDescent="0.25">
      <c r="A1401" s="2">
        <v>1399</v>
      </c>
      <c r="B1401" t="s">
        <v>3347</v>
      </c>
      <c r="C1401" s="1">
        <v>46129</v>
      </c>
      <c r="D1401">
        <v>125.2449</v>
      </c>
      <c r="E1401">
        <v>-554.82715713000005</v>
      </c>
      <c r="F1401">
        <v>-552.64883693000002</v>
      </c>
      <c r="G1401">
        <v>-554.82715713000005</v>
      </c>
    </row>
    <row r="1402" spans="1:7" x14ac:dyDescent="0.25">
      <c r="A1402" s="2">
        <v>1400</v>
      </c>
      <c r="B1402" t="s">
        <v>3349</v>
      </c>
      <c r="C1402" s="1">
        <v>46129</v>
      </c>
      <c r="D1402">
        <v>102.46259999999999</v>
      </c>
      <c r="E1402">
        <v>552.26634904000002</v>
      </c>
      <c r="F1402">
        <v>554.12256790000004</v>
      </c>
      <c r="G1402">
        <v>552.26634904000002</v>
      </c>
    </row>
    <row r="1403" spans="1:7" x14ac:dyDescent="0.25">
      <c r="A1403" s="2">
        <v>1401</v>
      </c>
      <c r="B1403" t="s">
        <v>3351</v>
      </c>
      <c r="C1403" s="1">
        <v>46129</v>
      </c>
      <c r="D1403">
        <v>135.6635</v>
      </c>
      <c r="E1403">
        <v>-746.20718180999995</v>
      </c>
      <c r="F1403">
        <v>-744.32905120999999</v>
      </c>
      <c r="G1403">
        <v>-746.20718180999995</v>
      </c>
    </row>
    <row r="1404" spans="1:7" x14ac:dyDescent="0.25">
      <c r="A1404" s="2">
        <v>1402</v>
      </c>
      <c r="B1404" t="s">
        <v>3353</v>
      </c>
      <c r="C1404" s="1">
        <v>46129</v>
      </c>
      <c r="F1404">
        <v>422.63071710999998</v>
      </c>
    </row>
    <row r="1405" spans="1:7" x14ac:dyDescent="0.25">
      <c r="A1405" s="2">
        <v>1403</v>
      </c>
      <c r="B1405" t="s">
        <v>3355</v>
      </c>
      <c r="C1405" s="1">
        <v>46129</v>
      </c>
      <c r="F1405">
        <v>333.96470919000001</v>
      </c>
    </row>
    <row r="1406" spans="1:7" x14ac:dyDescent="0.25">
      <c r="A1406" s="2">
        <v>1404</v>
      </c>
      <c r="B1406" t="s">
        <v>3357</v>
      </c>
      <c r="C1406" s="1">
        <v>46129</v>
      </c>
      <c r="D1406">
        <v>102.125</v>
      </c>
      <c r="F1406">
        <v>590.70717045000004</v>
      </c>
    </row>
    <row r="1407" spans="1:7" x14ac:dyDescent="0.25">
      <c r="A1407" s="2">
        <v>1405</v>
      </c>
      <c r="B1407" t="s">
        <v>3358</v>
      </c>
      <c r="C1407" s="1">
        <v>46129</v>
      </c>
    </row>
    <row r="1408" spans="1:7" x14ac:dyDescent="0.25">
      <c r="A1408" s="2">
        <v>1406</v>
      </c>
      <c r="B1408" t="s">
        <v>3360</v>
      </c>
      <c r="C1408" s="1">
        <v>46129</v>
      </c>
    </row>
    <row r="1409" spans="1:7" x14ac:dyDescent="0.25">
      <c r="A1409" s="2">
        <v>1407</v>
      </c>
      <c r="B1409" t="s">
        <v>3362</v>
      </c>
      <c r="C1409" s="1">
        <v>46129</v>
      </c>
    </row>
    <row r="1410" spans="1:7" x14ac:dyDescent="0.25">
      <c r="A1410" s="2">
        <v>1408</v>
      </c>
      <c r="B1410" t="s">
        <v>128</v>
      </c>
      <c r="C1410" s="1">
        <v>46129</v>
      </c>
      <c r="D1410">
        <v>106.97920000000001</v>
      </c>
      <c r="E1410">
        <v>223.60529238999999</v>
      </c>
      <c r="F1410">
        <v>225.77294412000001</v>
      </c>
      <c r="G1410">
        <v>223.60529238999999</v>
      </c>
    </row>
    <row r="1411" spans="1:7" x14ac:dyDescent="0.25">
      <c r="A1411" s="2">
        <v>1409</v>
      </c>
      <c r="B1411" t="s">
        <v>118</v>
      </c>
      <c r="C1411" s="1">
        <v>46129</v>
      </c>
      <c r="D1411">
        <v>71.375</v>
      </c>
      <c r="F1411">
        <v>2302.0117902000002</v>
      </c>
    </row>
    <row r="1412" spans="1:7" x14ac:dyDescent="0.25">
      <c r="A1412" s="2">
        <v>1410</v>
      </c>
      <c r="B1412" t="s">
        <v>130</v>
      </c>
      <c r="C1412" s="1">
        <v>46129</v>
      </c>
      <c r="D1412">
        <v>69.5</v>
      </c>
    </row>
    <row r="1413" spans="1:7" x14ac:dyDescent="0.25">
      <c r="A1413" s="2">
        <v>1411</v>
      </c>
      <c r="B1413" t="s">
        <v>114</v>
      </c>
      <c r="C1413" s="1">
        <v>46129</v>
      </c>
      <c r="D1413">
        <v>85.5</v>
      </c>
      <c r="F1413">
        <v>1365.6614347100001</v>
      </c>
    </row>
    <row r="1414" spans="1:7" x14ac:dyDescent="0.25">
      <c r="A1414" s="2">
        <v>1412</v>
      </c>
      <c r="B1414" t="s">
        <v>91</v>
      </c>
      <c r="C1414" s="1">
        <v>46129</v>
      </c>
      <c r="D1414">
        <v>82.720370000000003</v>
      </c>
      <c r="E1414">
        <v>985.77897496000003</v>
      </c>
      <c r="F1414">
        <v>988.43463717999998</v>
      </c>
      <c r="G1414">
        <v>985.77897496000003</v>
      </c>
    </row>
    <row r="1415" spans="1:7" x14ac:dyDescent="0.25">
      <c r="A1415" s="2">
        <v>1413</v>
      </c>
      <c r="B1415" t="s">
        <v>95</v>
      </c>
      <c r="C1415" s="1">
        <v>46129</v>
      </c>
      <c r="D1415">
        <v>88.25</v>
      </c>
      <c r="F1415">
        <v>839.15875720999998</v>
      </c>
    </row>
    <row r="1416" spans="1:7" x14ac:dyDescent="0.25">
      <c r="A1416" s="2">
        <v>1414</v>
      </c>
      <c r="B1416" t="s">
        <v>174</v>
      </c>
      <c r="C1416" s="1">
        <v>46129</v>
      </c>
      <c r="D1416">
        <v>91.5</v>
      </c>
      <c r="F1416">
        <v>802.47541192999995</v>
      </c>
    </row>
    <row r="1417" spans="1:7" x14ac:dyDescent="0.25">
      <c r="A1417" s="2">
        <v>1415</v>
      </c>
      <c r="B1417" t="s">
        <v>228</v>
      </c>
      <c r="C1417" s="1">
        <v>46129</v>
      </c>
      <c r="D1417">
        <v>98.492769999999993</v>
      </c>
      <c r="E1417">
        <v>611.45572398000002</v>
      </c>
      <c r="F1417">
        <v>613.91442310000002</v>
      </c>
      <c r="G1417">
        <v>611.45572398000002</v>
      </c>
    </row>
    <row r="1418" spans="1:7" x14ac:dyDescent="0.25">
      <c r="A1418" s="2">
        <v>1416</v>
      </c>
      <c r="B1418" t="s">
        <v>232</v>
      </c>
      <c r="C1418" s="1">
        <v>46129</v>
      </c>
      <c r="D1418">
        <v>97.029309999999995</v>
      </c>
      <c r="E1418">
        <v>526.96483493000005</v>
      </c>
      <c r="F1418">
        <v>527.67547032000004</v>
      </c>
      <c r="G1418">
        <v>526.96483493000005</v>
      </c>
    </row>
    <row r="1419" spans="1:7" x14ac:dyDescent="0.25">
      <c r="A1419" s="2">
        <v>1417</v>
      </c>
      <c r="B1419" t="s">
        <v>234</v>
      </c>
      <c r="C1419" s="1">
        <v>46129</v>
      </c>
      <c r="D1419">
        <v>91.01849</v>
      </c>
      <c r="E1419">
        <v>465.65143984999997</v>
      </c>
      <c r="F1419">
        <v>466.04773201</v>
      </c>
      <c r="G1419">
        <v>465.65143984999997</v>
      </c>
    </row>
    <row r="1420" spans="1:7" x14ac:dyDescent="0.25">
      <c r="A1420" s="2">
        <v>1418</v>
      </c>
      <c r="B1420" t="s">
        <v>236</v>
      </c>
      <c r="C1420" s="1">
        <v>46129</v>
      </c>
    </row>
    <row r="1421" spans="1:7" x14ac:dyDescent="0.25">
      <c r="A1421" s="2">
        <v>1419</v>
      </c>
      <c r="B1421" t="s">
        <v>238</v>
      </c>
      <c r="C1421" s="1">
        <v>46129</v>
      </c>
      <c r="D1421">
        <v>98.446389999999994</v>
      </c>
      <c r="E1421">
        <v>358.71086931999997</v>
      </c>
      <c r="F1421">
        <v>361.77176335000001</v>
      </c>
      <c r="G1421">
        <v>358.71086931999997</v>
      </c>
    </row>
    <row r="1422" spans="1:7" x14ac:dyDescent="0.25">
      <c r="A1422" s="2">
        <v>1420</v>
      </c>
      <c r="B1422" t="s">
        <v>240</v>
      </c>
      <c r="C1422" s="1">
        <v>46129</v>
      </c>
      <c r="D1422">
        <v>96.124769999999998</v>
      </c>
      <c r="E1422">
        <v>457.65243257999998</v>
      </c>
      <c r="F1422">
        <v>461.37772031999998</v>
      </c>
      <c r="G1422">
        <v>457.65243257999998</v>
      </c>
    </row>
    <row r="1423" spans="1:7" x14ac:dyDescent="0.25">
      <c r="A1423" s="2">
        <v>1421</v>
      </c>
      <c r="B1423" t="s">
        <v>3664</v>
      </c>
      <c r="C1423" s="1">
        <v>46129</v>
      </c>
    </row>
    <row r="1424" spans="1:7" x14ac:dyDescent="0.25">
      <c r="A1424" s="2">
        <v>1422</v>
      </c>
      <c r="B1424" t="s">
        <v>3666</v>
      </c>
      <c r="C1424" s="1">
        <v>46129</v>
      </c>
    </row>
    <row r="1425" spans="1:7" x14ac:dyDescent="0.25">
      <c r="A1425" s="2">
        <v>1423</v>
      </c>
      <c r="B1425" t="s">
        <v>242</v>
      </c>
      <c r="C1425" s="1">
        <v>46129</v>
      </c>
    </row>
    <row r="1426" spans="1:7" x14ac:dyDescent="0.25">
      <c r="A1426" s="2">
        <v>1424</v>
      </c>
      <c r="B1426" t="s">
        <v>244</v>
      </c>
      <c r="C1426" s="1">
        <v>46129</v>
      </c>
      <c r="D1426">
        <v>95</v>
      </c>
      <c r="F1426">
        <v>591.03022743999998</v>
      </c>
    </row>
    <row r="1427" spans="1:7" x14ac:dyDescent="0.25">
      <c r="A1427" s="2">
        <v>1425</v>
      </c>
      <c r="B1427" t="s">
        <v>246</v>
      </c>
      <c r="C1427" s="1">
        <v>46129</v>
      </c>
    </row>
    <row r="1428" spans="1:7" x14ac:dyDescent="0.25">
      <c r="A1428" s="2">
        <v>1426</v>
      </c>
      <c r="B1428" t="s">
        <v>248</v>
      </c>
      <c r="C1428" s="1">
        <v>46129</v>
      </c>
      <c r="D1428">
        <v>93.5</v>
      </c>
      <c r="F1428">
        <v>498.00997029000001</v>
      </c>
    </row>
    <row r="1429" spans="1:7" x14ac:dyDescent="0.25">
      <c r="A1429" s="2">
        <v>1427</v>
      </c>
      <c r="B1429" t="s">
        <v>250</v>
      </c>
      <c r="C1429" s="1">
        <v>46129</v>
      </c>
      <c r="D1429">
        <v>93.25</v>
      </c>
      <c r="F1429">
        <v>493.45624447</v>
      </c>
    </row>
    <row r="1430" spans="1:7" x14ac:dyDescent="0.25">
      <c r="A1430" s="2">
        <v>1428</v>
      </c>
      <c r="B1430" t="s">
        <v>252</v>
      </c>
      <c r="C1430" s="1">
        <v>46129</v>
      </c>
    </row>
    <row r="1431" spans="1:7" x14ac:dyDescent="0.25">
      <c r="A1431" s="2">
        <v>1429</v>
      </c>
      <c r="B1431" t="s">
        <v>254</v>
      </c>
      <c r="C1431" s="1">
        <v>46129</v>
      </c>
      <c r="D1431">
        <v>101.0625</v>
      </c>
      <c r="F1431">
        <v>1404.83315027</v>
      </c>
    </row>
    <row r="1432" spans="1:7" x14ac:dyDescent="0.25">
      <c r="A1432" s="2">
        <v>1430</v>
      </c>
      <c r="B1432" t="s">
        <v>257</v>
      </c>
      <c r="C1432" s="1">
        <v>46129</v>
      </c>
    </row>
    <row r="1433" spans="1:7" x14ac:dyDescent="0.25">
      <c r="A1433" s="2">
        <v>1431</v>
      </c>
      <c r="B1433" t="s">
        <v>259</v>
      </c>
      <c r="C1433" s="1">
        <v>46129</v>
      </c>
    </row>
    <row r="1434" spans="1:7" x14ac:dyDescent="0.25">
      <c r="A1434" s="2">
        <v>1432</v>
      </c>
      <c r="B1434" t="s">
        <v>344</v>
      </c>
      <c r="C1434" s="1">
        <v>46129</v>
      </c>
      <c r="D1434">
        <v>101.3937</v>
      </c>
      <c r="E1434">
        <v>657.11784522999994</v>
      </c>
      <c r="F1434">
        <v>658.69292996000001</v>
      </c>
      <c r="G1434">
        <v>657.11784522999994</v>
      </c>
    </row>
    <row r="1435" spans="1:7" x14ac:dyDescent="0.25">
      <c r="A1435" s="2">
        <v>1433</v>
      </c>
      <c r="B1435" t="s">
        <v>348</v>
      </c>
      <c r="C1435" s="1">
        <v>46129</v>
      </c>
      <c r="D1435">
        <v>34.222380000000001</v>
      </c>
      <c r="E1435">
        <v>2400.9791748500002</v>
      </c>
      <c r="F1435">
        <v>2392.5442600900001</v>
      </c>
      <c r="G1435">
        <v>2400.9791748500002</v>
      </c>
    </row>
    <row r="1436" spans="1:7" x14ac:dyDescent="0.25">
      <c r="A1436" s="2">
        <v>1434</v>
      </c>
      <c r="B1436" t="s">
        <v>350</v>
      </c>
      <c r="C1436" s="1">
        <v>46129</v>
      </c>
      <c r="D1436">
        <v>26</v>
      </c>
      <c r="F1436">
        <v>3523.2502728700001</v>
      </c>
    </row>
    <row r="1437" spans="1:7" x14ac:dyDescent="0.25">
      <c r="A1437" s="2">
        <v>1435</v>
      </c>
      <c r="B1437" t="s">
        <v>352</v>
      </c>
      <c r="C1437" s="1">
        <v>46129</v>
      </c>
      <c r="D1437">
        <v>95.25</v>
      </c>
      <c r="F1437">
        <v>609.68165695000005</v>
      </c>
    </row>
    <row r="1438" spans="1:7" x14ac:dyDescent="0.25">
      <c r="A1438" s="2">
        <v>1436</v>
      </c>
      <c r="B1438" t="s">
        <v>354</v>
      </c>
      <c r="C1438" s="1">
        <v>46129</v>
      </c>
      <c r="D1438">
        <v>84.75</v>
      </c>
      <c r="F1438">
        <v>989.02581901999997</v>
      </c>
    </row>
    <row r="1439" spans="1:7" x14ac:dyDescent="0.25">
      <c r="A1439" s="2">
        <v>1437</v>
      </c>
      <c r="B1439" t="s">
        <v>176</v>
      </c>
      <c r="C1439" s="1">
        <v>46129</v>
      </c>
      <c r="D1439">
        <v>101.0171</v>
      </c>
      <c r="E1439">
        <v>544.11194274000002</v>
      </c>
      <c r="F1439">
        <v>546.81955473999994</v>
      </c>
      <c r="G1439">
        <v>544.11194274000002</v>
      </c>
    </row>
    <row r="1440" spans="1:7" x14ac:dyDescent="0.25">
      <c r="A1440" s="2">
        <v>1438</v>
      </c>
      <c r="B1440" t="s">
        <v>178</v>
      </c>
      <c r="C1440" s="1">
        <v>46129</v>
      </c>
      <c r="D1440">
        <v>102.285</v>
      </c>
      <c r="E1440">
        <v>423.63525234000002</v>
      </c>
      <c r="F1440">
        <v>425.51316015999998</v>
      </c>
      <c r="G1440">
        <v>423.63525234000002</v>
      </c>
    </row>
    <row r="1441" spans="1:7" x14ac:dyDescent="0.25">
      <c r="A1441" s="2">
        <v>1439</v>
      </c>
      <c r="B1441" t="s">
        <v>180</v>
      </c>
      <c r="C1441" s="1">
        <v>46129</v>
      </c>
      <c r="D1441">
        <v>100.54259999999999</v>
      </c>
      <c r="E1441">
        <v>919.03204822999999</v>
      </c>
      <c r="F1441">
        <v>921.52954380000006</v>
      </c>
      <c r="G1441">
        <v>919.03204822999999</v>
      </c>
    </row>
    <row r="1442" spans="1:7" x14ac:dyDescent="0.25">
      <c r="A1442" s="2">
        <v>1440</v>
      </c>
      <c r="B1442" t="s">
        <v>182</v>
      </c>
      <c r="C1442" s="1">
        <v>46129</v>
      </c>
      <c r="D1442">
        <v>103.02849999999999</v>
      </c>
      <c r="E1442">
        <v>388.75772576000003</v>
      </c>
      <c r="F1442">
        <v>391.27478552999997</v>
      </c>
      <c r="G1442">
        <v>388.75772576000003</v>
      </c>
    </row>
    <row r="1443" spans="1:7" x14ac:dyDescent="0.25">
      <c r="A1443" s="2">
        <v>1441</v>
      </c>
      <c r="B1443" t="s">
        <v>184</v>
      </c>
      <c r="C1443" s="1">
        <v>46129</v>
      </c>
      <c r="D1443">
        <v>92.724000000000004</v>
      </c>
      <c r="E1443">
        <v>835.05670307000003</v>
      </c>
      <c r="F1443">
        <v>836.75981874000001</v>
      </c>
      <c r="G1443">
        <v>835.05670307000003</v>
      </c>
    </row>
    <row r="1444" spans="1:7" x14ac:dyDescent="0.25">
      <c r="A1444" s="2">
        <v>1442</v>
      </c>
      <c r="B1444" t="s">
        <v>186</v>
      </c>
      <c r="C1444" s="1">
        <v>46129</v>
      </c>
      <c r="D1444">
        <v>92.683459999999997</v>
      </c>
      <c r="E1444">
        <v>834.40022362000002</v>
      </c>
      <c r="F1444">
        <v>837.02279856999996</v>
      </c>
      <c r="G1444">
        <v>834.40022362000002</v>
      </c>
    </row>
    <row r="1445" spans="1:7" x14ac:dyDescent="0.25">
      <c r="A1445" s="2">
        <v>1443</v>
      </c>
      <c r="B1445" t="s">
        <v>188</v>
      </c>
      <c r="C1445" s="1">
        <v>46129</v>
      </c>
      <c r="D1445">
        <v>93.661510000000007</v>
      </c>
      <c r="E1445">
        <v>499.98248869000003</v>
      </c>
      <c r="F1445">
        <v>502.62889039999999</v>
      </c>
      <c r="G1445">
        <v>499.98248869000003</v>
      </c>
    </row>
    <row r="1446" spans="1:7" x14ac:dyDescent="0.25">
      <c r="A1446" s="2">
        <v>1444</v>
      </c>
      <c r="B1446" t="s">
        <v>190</v>
      </c>
      <c r="C1446" s="1">
        <v>46129</v>
      </c>
      <c r="D1446">
        <v>92.52364</v>
      </c>
      <c r="E1446">
        <v>829.55235813000002</v>
      </c>
      <c r="F1446">
        <v>832.33398196999997</v>
      </c>
      <c r="G1446">
        <v>829.55235813000002</v>
      </c>
    </row>
    <row r="1447" spans="1:7" x14ac:dyDescent="0.25">
      <c r="A1447" s="2">
        <v>1445</v>
      </c>
      <c r="B1447" t="s">
        <v>192</v>
      </c>
      <c r="C1447" s="1">
        <v>46129</v>
      </c>
      <c r="D1447">
        <v>93.109570000000005</v>
      </c>
      <c r="E1447">
        <v>480.483473</v>
      </c>
      <c r="F1447">
        <v>483.09717740000002</v>
      </c>
      <c r="G1447">
        <v>480.483473</v>
      </c>
    </row>
    <row r="1448" spans="1:7" x14ac:dyDescent="0.25">
      <c r="A1448" s="2">
        <v>1446</v>
      </c>
      <c r="B1448" t="s">
        <v>194</v>
      </c>
      <c r="C1448" s="1">
        <v>46129</v>
      </c>
      <c r="D1448">
        <v>94.179180000000002</v>
      </c>
      <c r="E1448">
        <v>831.78200263999997</v>
      </c>
      <c r="F1448">
        <v>834.37601702999996</v>
      </c>
      <c r="G1448">
        <v>831.78200263999997</v>
      </c>
    </row>
    <row r="1449" spans="1:7" x14ac:dyDescent="0.25">
      <c r="A1449" s="2">
        <v>1447</v>
      </c>
      <c r="B1449" t="s">
        <v>196</v>
      </c>
      <c r="C1449" s="1">
        <v>46129</v>
      </c>
      <c r="D1449">
        <v>94.350480000000005</v>
      </c>
      <c r="E1449">
        <v>536.76159975999997</v>
      </c>
      <c r="F1449">
        <v>539.22677566000004</v>
      </c>
      <c r="G1449">
        <v>536.76159975999997</v>
      </c>
    </row>
    <row r="1450" spans="1:7" x14ac:dyDescent="0.25">
      <c r="A1450" s="2">
        <v>1448</v>
      </c>
      <c r="B1450" t="s">
        <v>198</v>
      </c>
      <c r="C1450" s="1">
        <v>46129</v>
      </c>
      <c r="D1450">
        <v>77.542000000000002</v>
      </c>
      <c r="E1450">
        <v>919.85817842999995</v>
      </c>
      <c r="F1450">
        <v>919.73371859999997</v>
      </c>
      <c r="G1450">
        <v>919.85817842999995</v>
      </c>
    </row>
    <row r="1451" spans="1:7" x14ac:dyDescent="0.25">
      <c r="A1451" s="2">
        <v>1449</v>
      </c>
      <c r="B1451" t="s">
        <v>200</v>
      </c>
      <c r="C1451" s="1">
        <v>46129</v>
      </c>
      <c r="D1451">
        <v>82.516000000000005</v>
      </c>
      <c r="E1451">
        <v>893.96172707000005</v>
      </c>
      <c r="F1451">
        <v>895.20529123999995</v>
      </c>
      <c r="G1451">
        <v>893.96172707000005</v>
      </c>
    </row>
    <row r="1452" spans="1:7" x14ac:dyDescent="0.25">
      <c r="A1452" s="2">
        <v>1450</v>
      </c>
      <c r="B1452" t="s">
        <v>83</v>
      </c>
      <c r="C1452" s="1">
        <v>46129</v>
      </c>
      <c r="D1452">
        <v>77.00564</v>
      </c>
      <c r="E1452">
        <v>983.06445369000005</v>
      </c>
      <c r="F1452">
        <v>983.69065405000003</v>
      </c>
      <c r="G1452">
        <v>983.06445369000005</v>
      </c>
    </row>
    <row r="1453" spans="1:7" x14ac:dyDescent="0.25">
      <c r="A1453" s="2">
        <v>1451</v>
      </c>
      <c r="B1453" t="s">
        <v>202</v>
      </c>
      <c r="C1453" s="1">
        <v>46129</v>
      </c>
      <c r="D1453">
        <v>98.229849999999999</v>
      </c>
      <c r="E1453">
        <v>303.90530716000001</v>
      </c>
      <c r="F1453">
        <v>306.52989559999997</v>
      </c>
      <c r="G1453">
        <v>303.90530716000001</v>
      </c>
    </row>
    <row r="1454" spans="1:7" x14ac:dyDescent="0.25">
      <c r="A1454" s="2">
        <v>1452</v>
      </c>
      <c r="B1454" t="s">
        <v>204</v>
      </c>
      <c r="C1454" s="1">
        <v>46129</v>
      </c>
      <c r="D1454">
        <v>100.074</v>
      </c>
      <c r="E1454">
        <v>829.56226944000002</v>
      </c>
      <c r="F1454">
        <v>831.99833390000003</v>
      </c>
      <c r="G1454">
        <v>829.56226944000002</v>
      </c>
    </row>
    <row r="1455" spans="1:7" x14ac:dyDescent="0.25">
      <c r="A1455" s="2">
        <v>1453</v>
      </c>
      <c r="B1455" t="s">
        <v>206</v>
      </c>
      <c r="C1455" s="1">
        <v>46129</v>
      </c>
      <c r="D1455">
        <v>98.253039999999999</v>
      </c>
      <c r="E1455">
        <v>466.76327822000002</v>
      </c>
      <c r="F1455">
        <v>469.37554714999999</v>
      </c>
      <c r="G1455">
        <v>466.76327822000002</v>
      </c>
    </row>
    <row r="1456" spans="1:7" x14ac:dyDescent="0.25">
      <c r="A1456" s="2">
        <v>1454</v>
      </c>
      <c r="B1456" t="s">
        <v>208</v>
      </c>
      <c r="C1456" s="1">
        <v>46129</v>
      </c>
      <c r="D1456">
        <v>78.5</v>
      </c>
      <c r="F1456">
        <v>964.80089410000005</v>
      </c>
    </row>
    <row r="1457" spans="1:7" x14ac:dyDescent="0.25">
      <c r="A1457" s="2">
        <v>1455</v>
      </c>
      <c r="B1457" t="s">
        <v>85</v>
      </c>
      <c r="C1457" s="1">
        <v>46129</v>
      </c>
      <c r="D1457">
        <v>79</v>
      </c>
      <c r="F1457">
        <v>839.96049250999999</v>
      </c>
    </row>
    <row r="1458" spans="1:7" x14ac:dyDescent="0.25">
      <c r="A1458" s="2">
        <v>1456</v>
      </c>
      <c r="B1458" t="s">
        <v>131</v>
      </c>
      <c r="C1458" s="1">
        <v>46129</v>
      </c>
      <c r="D1458">
        <v>96.866860000000003</v>
      </c>
      <c r="E1458">
        <v>301.74510979000001</v>
      </c>
      <c r="F1458">
        <v>303.93486768000002</v>
      </c>
      <c r="G1458">
        <v>301.74510979000001</v>
      </c>
    </row>
    <row r="1459" spans="1:7" x14ac:dyDescent="0.25">
      <c r="A1459" s="2">
        <v>1457</v>
      </c>
      <c r="B1459" t="s">
        <v>97</v>
      </c>
      <c r="C1459" s="1">
        <v>46129</v>
      </c>
      <c r="D1459">
        <v>70.375619999999998</v>
      </c>
      <c r="E1459">
        <v>1779.05465802</v>
      </c>
      <c r="F1459">
        <v>1781.6701638500001</v>
      </c>
      <c r="G1459">
        <v>1779.05465802</v>
      </c>
    </row>
    <row r="1460" spans="1:7" x14ac:dyDescent="0.25">
      <c r="A1460" s="2">
        <v>1458</v>
      </c>
      <c r="B1460" t="s">
        <v>101</v>
      </c>
      <c r="C1460" s="1">
        <v>46129</v>
      </c>
      <c r="D1460">
        <v>70.307910000000007</v>
      </c>
      <c r="E1460">
        <v>1707.04232232</v>
      </c>
      <c r="F1460">
        <v>1709.5828650799999</v>
      </c>
      <c r="G1460">
        <v>1707.04232232</v>
      </c>
    </row>
    <row r="1461" spans="1:7" x14ac:dyDescent="0.25">
      <c r="A1461" s="2">
        <v>1459</v>
      </c>
      <c r="B1461" t="s">
        <v>133</v>
      </c>
      <c r="C1461" s="1">
        <v>46129</v>
      </c>
      <c r="D1461">
        <v>93.500969999999995</v>
      </c>
      <c r="E1461">
        <v>783.86480296000002</v>
      </c>
      <c r="F1461">
        <v>786.97064439999997</v>
      </c>
      <c r="G1461">
        <v>783.86480296000002</v>
      </c>
    </row>
    <row r="1462" spans="1:7" x14ac:dyDescent="0.25">
      <c r="A1462" s="2">
        <v>1460</v>
      </c>
      <c r="B1462" t="s">
        <v>103</v>
      </c>
      <c r="C1462" s="1">
        <v>46129</v>
      </c>
      <c r="D1462">
        <v>67.25</v>
      </c>
      <c r="F1462">
        <v>1816.23150218</v>
      </c>
    </row>
    <row r="1463" spans="1:7" x14ac:dyDescent="0.25">
      <c r="A1463" s="2">
        <v>1461</v>
      </c>
      <c r="B1463" t="s">
        <v>162</v>
      </c>
      <c r="C1463" s="1">
        <v>46129</v>
      </c>
      <c r="D1463">
        <v>75.94717</v>
      </c>
      <c r="E1463">
        <v>1745.70371381</v>
      </c>
      <c r="F1463">
        <v>1748.0762336400001</v>
      </c>
      <c r="G1463">
        <v>1745.70371381</v>
      </c>
    </row>
    <row r="1464" spans="1:7" x14ac:dyDescent="0.25">
      <c r="A1464" s="2">
        <v>1462</v>
      </c>
      <c r="B1464" t="s">
        <v>164</v>
      </c>
      <c r="C1464" s="1">
        <v>46129</v>
      </c>
      <c r="D1464">
        <v>96.623649999999998</v>
      </c>
      <c r="E1464">
        <v>847.16693611000005</v>
      </c>
      <c r="F1464">
        <v>848.70708578999995</v>
      </c>
      <c r="G1464">
        <v>847.16693611000005</v>
      </c>
    </row>
    <row r="1465" spans="1:7" x14ac:dyDescent="0.25">
      <c r="A1465" s="2">
        <v>1463</v>
      </c>
      <c r="B1465" t="s">
        <v>105</v>
      </c>
      <c r="C1465" s="1">
        <v>46129</v>
      </c>
      <c r="D1465">
        <v>82.097679999999997</v>
      </c>
      <c r="F1465">
        <v>1177.98911658</v>
      </c>
    </row>
    <row r="1466" spans="1:7" x14ac:dyDescent="0.25">
      <c r="A1466" s="2">
        <v>1464</v>
      </c>
      <c r="B1466" t="s">
        <v>166</v>
      </c>
      <c r="C1466" s="1">
        <v>46129</v>
      </c>
    </row>
    <row r="1467" spans="1:7" x14ac:dyDescent="0.25">
      <c r="A1467" s="2">
        <v>1465</v>
      </c>
      <c r="B1467" t="s">
        <v>168</v>
      </c>
      <c r="C1467" s="1">
        <v>46129</v>
      </c>
      <c r="D1467">
        <v>100</v>
      </c>
      <c r="F1467">
        <v>418.63716959999999</v>
      </c>
    </row>
    <row r="1468" spans="1:7" x14ac:dyDescent="0.25">
      <c r="A1468" s="2">
        <v>1466</v>
      </c>
      <c r="B1468" t="s">
        <v>170</v>
      </c>
      <c r="C1468" s="1">
        <v>46129</v>
      </c>
      <c r="D1468">
        <v>91.5</v>
      </c>
      <c r="F1468">
        <v>847.30778846999999</v>
      </c>
    </row>
    <row r="1469" spans="1:7" x14ac:dyDescent="0.25">
      <c r="A1469" s="2">
        <v>1467</v>
      </c>
      <c r="B1469" t="s">
        <v>172</v>
      </c>
      <c r="C1469" s="1">
        <v>46129</v>
      </c>
      <c r="D1469">
        <v>91.5</v>
      </c>
      <c r="F1469">
        <v>1444.8921855200001</v>
      </c>
    </row>
    <row r="1470" spans="1:7" x14ac:dyDescent="0.25">
      <c r="A1470" s="2">
        <v>1468</v>
      </c>
      <c r="B1470" t="s">
        <v>3619</v>
      </c>
      <c r="C1470" s="1">
        <v>46129</v>
      </c>
      <c r="D1470">
        <v>96</v>
      </c>
      <c r="F1470">
        <v>601.22428996999997</v>
      </c>
    </row>
    <row r="1471" spans="1:7" x14ac:dyDescent="0.25">
      <c r="A1471" s="2">
        <v>1469</v>
      </c>
      <c r="B1471" t="s">
        <v>3623</v>
      </c>
      <c r="C1471" s="1">
        <v>46129</v>
      </c>
      <c r="D1471">
        <v>92.25</v>
      </c>
      <c r="F1471">
        <v>509.04480864999999</v>
      </c>
    </row>
    <row r="1472" spans="1:7" x14ac:dyDescent="0.25">
      <c r="A1472" s="2">
        <v>1470</v>
      </c>
      <c r="B1472" t="s">
        <v>3625</v>
      </c>
      <c r="C1472" s="1">
        <v>46129</v>
      </c>
      <c r="D1472">
        <v>86</v>
      </c>
      <c r="F1472">
        <v>1126.14143631</v>
      </c>
    </row>
    <row r="1473" spans="1:7" x14ac:dyDescent="0.25">
      <c r="A1473" s="2">
        <v>1471</v>
      </c>
      <c r="B1473" t="s">
        <v>216</v>
      </c>
      <c r="C1473" s="1">
        <v>46129</v>
      </c>
      <c r="D1473">
        <v>91.59348</v>
      </c>
      <c r="E1473">
        <v>1364.25575942</v>
      </c>
      <c r="F1473">
        <v>1366.7818408099999</v>
      </c>
      <c r="G1473">
        <v>1364.25575942</v>
      </c>
    </row>
    <row r="1474" spans="1:7" x14ac:dyDescent="0.25">
      <c r="A1474" s="2">
        <v>1472</v>
      </c>
      <c r="B1474" t="s">
        <v>89</v>
      </c>
      <c r="C1474" s="1">
        <v>46129</v>
      </c>
      <c r="D1474">
        <v>75.809349999999995</v>
      </c>
      <c r="E1474">
        <v>1924.3203206400001</v>
      </c>
      <c r="F1474">
        <v>1927.2130784599999</v>
      </c>
      <c r="G1474">
        <v>1924.3203206400001</v>
      </c>
    </row>
    <row r="1475" spans="1:7" x14ac:dyDescent="0.25">
      <c r="A1475" s="2">
        <v>1473</v>
      </c>
      <c r="B1475" t="s">
        <v>218</v>
      </c>
      <c r="C1475" s="1">
        <v>46129</v>
      </c>
      <c r="D1475">
        <v>97.207400000000007</v>
      </c>
      <c r="E1475">
        <v>830.60099575000004</v>
      </c>
      <c r="F1475">
        <v>833.28876418000004</v>
      </c>
      <c r="G1475">
        <v>830.60099575000004</v>
      </c>
    </row>
    <row r="1476" spans="1:7" x14ac:dyDescent="0.25">
      <c r="A1476" s="2">
        <v>1474</v>
      </c>
      <c r="B1476" t="s">
        <v>220</v>
      </c>
      <c r="C1476" s="1">
        <v>46129</v>
      </c>
    </row>
    <row r="1477" spans="1:7" x14ac:dyDescent="0.25">
      <c r="A1477" s="2">
        <v>1475</v>
      </c>
      <c r="B1477" t="s">
        <v>222</v>
      </c>
      <c r="C1477" s="1">
        <v>46129</v>
      </c>
      <c r="D1477">
        <v>94.75</v>
      </c>
      <c r="F1477">
        <v>808.98195950000002</v>
      </c>
    </row>
    <row r="1478" spans="1:7" x14ac:dyDescent="0.25">
      <c r="A1478" s="2">
        <v>1476</v>
      </c>
      <c r="B1478" t="s">
        <v>260</v>
      </c>
      <c r="C1478" s="1">
        <v>46129</v>
      </c>
      <c r="D1478">
        <v>68</v>
      </c>
      <c r="F1478">
        <v>3318.0839624499999</v>
      </c>
    </row>
    <row r="1479" spans="1:7" x14ac:dyDescent="0.25">
      <c r="A1479" s="2">
        <v>1477</v>
      </c>
      <c r="B1479" t="s">
        <v>264</v>
      </c>
      <c r="C1479" s="1">
        <v>46129</v>
      </c>
      <c r="D1479">
        <v>68.126999999999995</v>
      </c>
      <c r="F1479">
        <v>1400.7832515800001</v>
      </c>
    </row>
    <row r="1480" spans="1:7" x14ac:dyDescent="0.25">
      <c r="A1480" s="2">
        <v>1478</v>
      </c>
      <c r="B1480" t="s">
        <v>266</v>
      </c>
      <c r="C1480" s="1">
        <v>46129</v>
      </c>
      <c r="D1480">
        <v>80.487009999999998</v>
      </c>
      <c r="E1480">
        <v>757.69959965999999</v>
      </c>
      <c r="F1480">
        <v>760.00280551000003</v>
      </c>
      <c r="G1480">
        <v>757.69959965999999</v>
      </c>
    </row>
    <row r="1481" spans="1:7" x14ac:dyDescent="0.25">
      <c r="A1481" s="2">
        <v>1479</v>
      </c>
      <c r="B1481" t="s">
        <v>268</v>
      </c>
      <c r="C1481" s="1">
        <v>46129</v>
      </c>
      <c r="D1481">
        <v>62.428649999999998</v>
      </c>
      <c r="F1481">
        <v>1537.8562378500001</v>
      </c>
    </row>
    <row r="1482" spans="1:7" x14ac:dyDescent="0.25">
      <c r="A1482" s="2">
        <v>1480</v>
      </c>
      <c r="B1482" t="s">
        <v>270</v>
      </c>
      <c r="C1482" s="1">
        <v>46129</v>
      </c>
      <c r="D1482">
        <v>92.718580000000003</v>
      </c>
      <c r="F1482">
        <v>1021.3715826500001</v>
      </c>
    </row>
    <row r="1483" spans="1:7" x14ac:dyDescent="0.25">
      <c r="A1483" s="2">
        <v>1481</v>
      </c>
      <c r="B1483" t="s">
        <v>272</v>
      </c>
      <c r="C1483" s="1">
        <v>46129</v>
      </c>
    </row>
    <row r="1484" spans="1:7" x14ac:dyDescent="0.25">
      <c r="A1484" s="2">
        <v>1482</v>
      </c>
      <c r="B1484" t="s">
        <v>274</v>
      </c>
      <c r="C1484" s="1">
        <v>46129</v>
      </c>
      <c r="D1484">
        <v>62.450740000000003</v>
      </c>
      <c r="E1484">
        <v>2417.4126148800001</v>
      </c>
      <c r="F1484">
        <v>2419.89166518</v>
      </c>
      <c r="G1484">
        <v>2417.4126148800001</v>
      </c>
    </row>
    <row r="1485" spans="1:7" x14ac:dyDescent="0.25">
      <c r="A1485" s="2">
        <v>1483</v>
      </c>
      <c r="B1485" t="s">
        <v>276</v>
      </c>
      <c r="C1485" s="1">
        <v>46129</v>
      </c>
    </row>
    <row r="1486" spans="1:7" x14ac:dyDescent="0.25">
      <c r="A1486" s="2">
        <v>1484</v>
      </c>
      <c r="B1486" t="s">
        <v>278</v>
      </c>
      <c r="C1486" s="1">
        <v>46129</v>
      </c>
      <c r="D1486">
        <v>90.25</v>
      </c>
      <c r="F1486">
        <v>830.91213463999998</v>
      </c>
    </row>
    <row r="1487" spans="1:7" x14ac:dyDescent="0.25">
      <c r="A1487" s="2">
        <v>1485</v>
      </c>
      <c r="B1487" t="s">
        <v>280</v>
      </c>
      <c r="C1487" s="1">
        <v>46129</v>
      </c>
      <c r="D1487">
        <v>100</v>
      </c>
      <c r="F1487">
        <v>406.70260524999998</v>
      </c>
    </row>
    <row r="1488" spans="1:7" x14ac:dyDescent="0.25">
      <c r="A1488" s="2">
        <v>1486</v>
      </c>
      <c r="B1488" t="s">
        <v>281</v>
      </c>
      <c r="C1488" s="1">
        <v>46129</v>
      </c>
    </row>
    <row r="1489" spans="1:7" x14ac:dyDescent="0.25">
      <c r="A1489" s="2">
        <v>1487</v>
      </c>
      <c r="B1489" t="s">
        <v>285</v>
      </c>
      <c r="C1489" s="1">
        <v>46129</v>
      </c>
      <c r="D1489">
        <v>81.5</v>
      </c>
      <c r="F1489">
        <v>1062.6081487700001</v>
      </c>
    </row>
    <row r="1490" spans="1:7" x14ac:dyDescent="0.25">
      <c r="A1490" s="2">
        <v>1488</v>
      </c>
      <c r="B1490" t="s">
        <v>286</v>
      </c>
      <c r="C1490" s="1">
        <v>46129</v>
      </c>
      <c r="D1490">
        <v>92.625</v>
      </c>
      <c r="F1490">
        <v>506.44147942000001</v>
      </c>
    </row>
    <row r="1491" spans="1:7" x14ac:dyDescent="0.25">
      <c r="A1491" s="2">
        <v>1489</v>
      </c>
      <c r="B1491" t="s">
        <v>335</v>
      </c>
      <c r="C1491" s="1">
        <v>46129</v>
      </c>
      <c r="D1491">
        <v>89.335679999999996</v>
      </c>
      <c r="E1491">
        <v>880.64342293000004</v>
      </c>
      <c r="F1491">
        <v>881.97364375999996</v>
      </c>
      <c r="G1491">
        <v>880.64342293000004</v>
      </c>
    </row>
    <row r="1492" spans="1:7" x14ac:dyDescent="0.25">
      <c r="A1492" s="2">
        <v>1490</v>
      </c>
      <c r="B1492" t="s">
        <v>339</v>
      </c>
      <c r="C1492" s="1">
        <v>46129</v>
      </c>
      <c r="D1492">
        <v>70.13485</v>
      </c>
      <c r="E1492">
        <v>1773.1337173899999</v>
      </c>
      <c r="F1492">
        <v>1775.82244474</v>
      </c>
      <c r="G1492">
        <v>1773.1337173899999</v>
      </c>
    </row>
    <row r="1493" spans="1:7" x14ac:dyDescent="0.25">
      <c r="A1493" s="2">
        <v>1491</v>
      </c>
      <c r="B1493" t="s">
        <v>341</v>
      </c>
      <c r="C1493" s="1">
        <v>46129</v>
      </c>
      <c r="D1493">
        <v>87</v>
      </c>
      <c r="F1493">
        <v>838.20912664000002</v>
      </c>
    </row>
    <row r="1494" spans="1:7" x14ac:dyDescent="0.25">
      <c r="A1494" s="2">
        <v>1492</v>
      </c>
      <c r="B1494" t="s">
        <v>343</v>
      </c>
      <c r="C1494" s="1">
        <v>46129</v>
      </c>
      <c r="D1494">
        <v>84</v>
      </c>
      <c r="F1494">
        <v>834.95690433000004</v>
      </c>
    </row>
    <row r="1495" spans="1:7" x14ac:dyDescent="0.25">
      <c r="A1495" s="2">
        <v>1493</v>
      </c>
      <c r="B1495" t="s">
        <v>355</v>
      </c>
      <c r="C1495" s="1">
        <v>46129</v>
      </c>
      <c r="D1495">
        <v>20.479330000000001</v>
      </c>
      <c r="E1495">
        <v>8180.0408254200001</v>
      </c>
      <c r="F1495">
        <v>8183.48416946</v>
      </c>
      <c r="G1495">
        <v>8180.0408254200001</v>
      </c>
    </row>
    <row r="1496" spans="1:7" x14ac:dyDescent="0.25">
      <c r="A1496" s="2">
        <v>1494</v>
      </c>
      <c r="B1496" t="s">
        <v>359</v>
      </c>
      <c r="C1496" s="1">
        <v>46129</v>
      </c>
      <c r="D1496">
        <v>64.6096</v>
      </c>
      <c r="E1496">
        <v>2272.2152821700001</v>
      </c>
      <c r="F1496">
        <v>2274.9512889600001</v>
      </c>
      <c r="G1496">
        <v>2272.2152821700001</v>
      </c>
    </row>
    <row r="1497" spans="1:7" x14ac:dyDescent="0.25">
      <c r="A1497" s="2">
        <v>1495</v>
      </c>
      <c r="B1497" t="s">
        <v>361</v>
      </c>
      <c r="C1497" s="1">
        <v>46129</v>
      </c>
    </row>
    <row r="1498" spans="1:7" x14ac:dyDescent="0.25">
      <c r="A1498" s="2">
        <v>1496</v>
      </c>
      <c r="B1498" t="s">
        <v>363</v>
      </c>
      <c r="C1498" s="1">
        <v>46129</v>
      </c>
      <c r="D1498">
        <v>64.339330000000004</v>
      </c>
      <c r="E1498">
        <v>2840.0977737600001</v>
      </c>
      <c r="F1498">
        <v>2842.7393891400002</v>
      </c>
      <c r="G1498">
        <v>2840.0977737600001</v>
      </c>
    </row>
    <row r="1499" spans="1:7" x14ac:dyDescent="0.25">
      <c r="A1499" s="2">
        <v>1497</v>
      </c>
      <c r="B1499" t="s">
        <v>365</v>
      </c>
      <c r="C1499" s="1">
        <v>46129</v>
      </c>
      <c r="D1499">
        <v>53</v>
      </c>
      <c r="F1499">
        <v>2247.8516481500001</v>
      </c>
    </row>
    <row r="1500" spans="1:7" x14ac:dyDescent="0.25">
      <c r="A1500" s="2">
        <v>1498</v>
      </c>
      <c r="B1500" t="s">
        <v>367</v>
      </c>
      <c r="C1500" s="1">
        <v>46129</v>
      </c>
    </row>
    <row r="1501" spans="1:7" x14ac:dyDescent="0.25">
      <c r="A1501" s="2">
        <v>1499</v>
      </c>
      <c r="B1501" t="s">
        <v>369</v>
      </c>
      <c r="C1501" s="1">
        <v>46129</v>
      </c>
      <c r="D1501">
        <v>62</v>
      </c>
      <c r="F1501">
        <v>3238.6303037399998</v>
      </c>
    </row>
    <row r="1502" spans="1:7" x14ac:dyDescent="0.25">
      <c r="A1502" s="2">
        <v>1500</v>
      </c>
      <c r="B1502" t="s">
        <v>371</v>
      </c>
      <c r="C1502" s="1">
        <v>46129</v>
      </c>
      <c r="D1502">
        <v>63.5</v>
      </c>
      <c r="F1502">
        <v>2953.3590278800002</v>
      </c>
    </row>
    <row r="1503" spans="1:7" x14ac:dyDescent="0.25">
      <c r="A1503" s="2">
        <v>1501</v>
      </c>
      <c r="B1503" t="s">
        <v>373</v>
      </c>
      <c r="C1503" s="1">
        <v>46129</v>
      </c>
    </row>
    <row r="1504" spans="1:7" x14ac:dyDescent="0.25">
      <c r="A1504" s="2">
        <v>1502</v>
      </c>
      <c r="B1504" t="s">
        <v>288</v>
      </c>
      <c r="C1504" s="1">
        <v>46129</v>
      </c>
      <c r="D1504">
        <v>141.45410000000001</v>
      </c>
      <c r="F1504">
        <v>-524.05948712999998</v>
      </c>
    </row>
    <row r="1505" spans="1:7" x14ac:dyDescent="0.25">
      <c r="A1505" s="2">
        <v>1503</v>
      </c>
      <c r="B1505" t="s">
        <v>292</v>
      </c>
      <c r="C1505" s="1">
        <v>46129</v>
      </c>
      <c r="D1505">
        <v>97.861750000000001</v>
      </c>
      <c r="E1505">
        <v>998.92054954000002</v>
      </c>
      <c r="F1505">
        <v>1001.55618077</v>
      </c>
      <c r="G1505">
        <v>998.92054954000002</v>
      </c>
    </row>
    <row r="1506" spans="1:7" x14ac:dyDescent="0.25">
      <c r="A1506" s="2">
        <v>1504</v>
      </c>
      <c r="B1506" t="s">
        <v>294</v>
      </c>
      <c r="C1506" s="1">
        <v>46129</v>
      </c>
      <c r="D1506">
        <v>93.446659999999994</v>
      </c>
      <c r="E1506">
        <v>389.70048691</v>
      </c>
      <c r="F1506">
        <v>391.50961388000002</v>
      </c>
      <c r="G1506">
        <v>389.70048691</v>
      </c>
    </row>
    <row r="1507" spans="1:7" x14ac:dyDescent="0.25">
      <c r="A1507" s="2">
        <v>1505</v>
      </c>
      <c r="B1507" t="s">
        <v>296</v>
      </c>
      <c r="C1507" s="1">
        <v>46129</v>
      </c>
    </row>
    <row r="1508" spans="1:7" x14ac:dyDescent="0.25">
      <c r="A1508" s="2">
        <v>1506</v>
      </c>
      <c r="B1508" t="s">
        <v>3143</v>
      </c>
      <c r="C1508" s="1">
        <v>46129</v>
      </c>
    </row>
    <row r="1509" spans="1:7" x14ac:dyDescent="0.25">
      <c r="A1509" s="2">
        <v>1507</v>
      </c>
      <c r="B1509" t="s">
        <v>298</v>
      </c>
      <c r="C1509" s="1">
        <v>46129</v>
      </c>
      <c r="D1509">
        <v>49.80153</v>
      </c>
      <c r="E1509">
        <v>2431.2081623300001</v>
      </c>
      <c r="F1509">
        <v>2433.54323703</v>
      </c>
      <c r="G1509">
        <v>2431.2081623300001</v>
      </c>
    </row>
    <row r="1510" spans="1:7" x14ac:dyDescent="0.25">
      <c r="A1510" s="2">
        <v>1508</v>
      </c>
      <c r="B1510" t="s">
        <v>300</v>
      </c>
      <c r="C1510" s="1">
        <v>46129</v>
      </c>
      <c r="D1510">
        <v>96.353960000000001</v>
      </c>
      <c r="E1510">
        <v>806.58642187999999</v>
      </c>
      <c r="F1510">
        <v>812.86208854999995</v>
      </c>
      <c r="G1510">
        <v>806.58642187999999</v>
      </c>
    </row>
    <row r="1511" spans="1:7" x14ac:dyDescent="0.25">
      <c r="A1511" s="2">
        <v>1509</v>
      </c>
      <c r="B1511" t="s">
        <v>302</v>
      </c>
      <c r="C1511" s="1">
        <v>46129</v>
      </c>
    </row>
    <row r="1512" spans="1:7" x14ac:dyDescent="0.25">
      <c r="A1512" s="2">
        <v>1510</v>
      </c>
      <c r="B1512" t="s">
        <v>304</v>
      </c>
      <c r="C1512" s="1">
        <v>46129</v>
      </c>
      <c r="D1512">
        <v>79.5</v>
      </c>
      <c r="F1512">
        <v>1700.0855936200001</v>
      </c>
    </row>
    <row r="1513" spans="1:7" x14ac:dyDescent="0.25">
      <c r="A1513" s="2">
        <v>1511</v>
      </c>
      <c r="B1513" t="s">
        <v>306</v>
      </c>
      <c r="C1513" s="1">
        <v>46129</v>
      </c>
      <c r="D1513">
        <v>80.5</v>
      </c>
      <c r="F1513">
        <v>1631.0366409200001</v>
      </c>
    </row>
    <row r="1514" spans="1:7" x14ac:dyDescent="0.25">
      <c r="A1514" s="2">
        <v>1512</v>
      </c>
      <c r="B1514" t="s">
        <v>308</v>
      </c>
      <c r="C1514" s="1">
        <v>46129</v>
      </c>
      <c r="D1514">
        <v>80.5</v>
      </c>
      <c r="F1514">
        <v>1642.5395908200001</v>
      </c>
    </row>
    <row r="1515" spans="1:7" x14ac:dyDescent="0.25">
      <c r="A1515" s="2">
        <v>1513</v>
      </c>
      <c r="B1515" t="s">
        <v>375</v>
      </c>
      <c r="C1515" s="1">
        <v>46129</v>
      </c>
      <c r="D1515">
        <v>80</v>
      </c>
      <c r="F1515">
        <v>951.92919836999999</v>
      </c>
    </row>
    <row r="1516" spans="1:7" x14ac:dyDescent="0.25">
      <c r="A1516" s="2">
        <v>1514</v>
      </c>
      <c r="B1516" t="s">
        <v>379</v>
      </c>
      <c r="C1516" s="1">
        <v>46129</v>
      </c>
      <c r="D1516">
        <v>60.5</v>
      </c>
      <c r="F1516">
        <v>1538.51491549</v>
      </c>
    </row>
    <row r="1517" spans="1:7" x14ac:dyDescent="0.25">
      <c r="A1517" s="2">
        <v>1515</v>
      </c>
      <c r="B1517" t="s">
        <v>400</v>
      </c>
      <c r="C1517" s="1">
        <v>46129</v>
      </c>
      <c r="D1517">
        <v>75.5</v>
      </c>
    </row>
    <row r="1518" spans="1:7" x14ac:dyDescent="0.25">
      <c r="A1518" s="2">
        <v>1516</v>
      </c>
      <c r="B1518" t="s">
        <v>401</v>
      </c>
      <c r="C1518" s="1">
        <v>46129</v>
      </c>
      <c r="D1518">
        <v>84.5</v>
      </c>
      <c r="F1518">
        <v>1204.8103064300001</v>
      </c>
    </row>
    <row r="1519" spans="1:7" x14ac:dyDescent="0.25">
      <c r="A1519" s="2">
        <v>1517</v>
      </c>
      <c r="B1519" t="s">
        <v>403</v>
      </c>
      <c r="C1519" s="1">
        <v>46129</v>
      </c>
      <c r="D1519">
        <v>85.5</v>
      </c>
      <c r="F1519">
        <v>1450.71439523</v>
      </c>
    </row>
    <row r="1520" spans="1:7" x14ac:dyDescent="0.25">
      <c r="A1520" s="2">
        <v>1518</v>
      </c>
      <c r="B1520" t="s">
        <v>405</v>
      </c>
      <c r="C1520" s="1">
        <v>46129</v>
      </c>
      <c r="D1520">
        <v>88.125</v>
      </c>
      <c r="F1520">
        <v>1089.99645865</v>
      </c>
    </row>
    <row r="1521" spans="1:7" x14ac:dyDescent="0.25">
      <c r="A1521" s="2">
        <v>1519</v>
      </c>
      <c r="B1521" t="s">
        <v>407</v>
      </c>
      <c r="C1521" s="1">
        <v>46129</v>
      </c>
    </row>
    <row r="1522" spans="1:7" x14ac:dyDescent="0.25">
      <c r="A1522" s="2">
        <v>1520</v>
      </c>
      <c r="B1522" t="s">
        <v>409</v>
      </c>
      <c r="C1522" s="1">
        <v>46129</v>
      </c>
    </row>
    <row r="1523" spans="1:7" x14ac:dyDescent="0.25">
      <c r="A1523" s="2">
        <v>1521</v>
      </c>
      <c r="B1523" t="s">
        <v>410</v>
      </c>
      <c r="C1523" s="1">
        <v>46129</v>
      </c>
    </row>
    <row r="1524" spans="1:7" x14ac:dyDescent="0.25">
      <c r="A1524" s="2">
        <v>1522</v>
      </c>
      <c r="B1524" t="s">
        <v>411</v>
      </c>
      <c r="C1524" s="1">
        <v>46129</v>
      </c>
    </row>
    <row r="1525" spans="1:7" x14ac:dyDescent="0.25">
      <c r="A1525" s="2">
        <v>1523</v>
      </c>
      <c r="B1525" t="s">
        <v>1033</v>
      </c>
      <c r="C1525" s="1">
        <v>46129</v>
      </c>
      <c r="D1525">
        <v>99.044790000000006</v>
      </c>
      <c r="E1525">
        <v>260.10792248000001</v>
      </c>
      <c r="F1525">
        <v>262.37004886</v>
      </c>
      <c r="G1525">
        <v>260.10792248000001</v>
      </c>
    </row>
    <row r="1526" spans="1:7" x14ac:dyDescent="0.25">
      <c r="A1526" s="2">
        <v>1524</v>
      </c>
      <c r="B1526" t="s">
        <v>1037</v>
      </c>
      <c r="C1526" s="1">
        <v>46129</v>
      </c>
      <c r="D1526">
        <v>99.719610000000003</v>
      </c>
      <c r="E1526">
        <v>237.65205709</v>
      </c>
      <c r="F1526">
        <v>241.36547775</v>
      </c>
      <c r="G1526">
        <v>237.65205709</v>
      </c>
    </row>
    <row r="1527" spans="1:7" x14ac:dyDescent="0.25">
      <c r="A1527" s="2">
        <v>1525</v>
      </c>
      <c r="B1527" t="s">
        <v>1039</v>
      </c>
      <c r="C1527" s="1">
        <v>46129</v>
      </c>
      <c r="D1527">
        <v>100.7662</v>
      </c>
      <c r="E1527">
        <v>591.55056033000005</v>
      </c>
      <c r="F1527">
        <v>593.92939845000001</v>
      </c>
      <c r="G1527">
        <v>591.55056033000005</v>
      </c>
    </row>
    <row r="1528" spans="1:7" x14ac:dyDescent="0.25">
      <c r="A1528" s="2">
        <v>1526</v>
      </c>
      <c r="B1528" t="s">
        <v>1041</v>
      </c>
      <c r="C1528" s="1">
        <v>46129</v>
      </c>
      <c r="D1528">
        <v>96.577839999999995</v>
      </c>
      <c r="E1528">
        <v>655.12915957999996</v>
      </c>
      <c r="F1528">
        <v>657.17506663999995</v>
      </c>
      <c r="G1528">
        <v>655.12915957999996</v>
      </c>
    </row>
    <row r="1529" spans="1:7" x14ac:dyDescent="0.25">
      <c r="A1529" s="2">
        <v>1527</v>
      </c>
      <c r="B1529" t="s">
        <v>1043</v>
      </c>
      <c r="C1529" s="1">
        <v>46129</v>
      </c>
      <c r="D1529">
        <v>96.577839999999995</v>
      </c>
      <c r="E1529">
        <v>655.12915957999996</v>
      </c>
      <c r="F1529">
        <v>657.17506663999995</v>
      </c>
      <c r="G1529">
        <v>655.12915957999996</v>
      </c>
    </row>
    <row r="1530" spans="1:7" x14ac:dyDescent="0.25">
      <c r="A1530" s="2">
        <v>1528</v>
      </c>
      <c r="B1530" t="s">
        <v>1044</v>
      </c>
      <c r="C1530" s="1">
        <v>46129</v>
      </c>
      <c r="D1530">
        <v>100.7662</v>
      </c>
      <c r="E1530">
        <v>591.55056033000005</v>
      </c>
      <c r="F1530">
        <v>593.92939845000001</v>
      </c>
      <c r="G1530">
        <v>591.55056033000005</v>
      </c>
    </row>
    <row r="1531" spans="1:7" x14ac:dyDescent="0.25">
      <c r="A1531" s="2">
        <v>1529</v>
      </c>
      <c r="B1531" t="s">
        <v>1045</v>
      </c>
      <c r="C1531" s="1">
        <v>46129</v>
      </c>
      <c r="D1531">
        <v>100.9315</v>
      </c>
      <c r="E1531">
        <v>616.60244838000006</v>
      </c>
      <c r="F1531">
        <v>619.17746523999995</v>
      </c>
      <c r="G1531">
        <v>616.60244838000006</v>
      </c>
    </row>
    <row r="1532" spans="1:7" x14ac:dyDescent="0.25">
      <c r="A1532" s="2">
        <v>1530</v>
      </c>
      <c r="B1532" t="s">
        <v>1047</v>
      </c>
      <c r="C1532" s="1">
        <v>46129</v>
      </c>
      <c r="D1532">
        <v>100.0317</v>
      </c>
      <c r="E1532">
        <v>419.5729417</v>
      </c>
      <c r="F1532">
        <v>419.39214016</v>
      </c>
      <c r="G1532">
        <v>419.5729417</v>
      </c>
    </row>
    <row r="1533" spans="1:7" x14ac:dyDescent="0.25">
      <c r="A1533" s="2">
        <v>1531</v>
      </c>
      <c r="B1533" t="s">
        <v>1049</v>
      </c>
      <c r="C1533" s="1">
        <v>46129</v>
      </c>
      <c r="D1533">
        <v>101.1555</v>
      </c>
      <c r="E1533">
        <v>356.51023235000002</v>
      </c>
      <c r="F1533">
        <v>359.10216300000002</v>
      </c>
      <c r="G1533">
        <v>356.51023235000002</v>
      </c>
    </row>
    <row r="1534" spans="1:7" x14ac:dyDescent="0.25">
      <c r="A1534" s="2">
        <v>1532</v>
      </c>
      <c r="B1534" t="s">
        <v>1051</v>
      </c>
      <c r="C1534" s="1">
        <v>46129</v>
      </c>
    </row>
    <row r="1535" spans="1:7" x14ac:dyDescent="0.25">
      <c r="A1535" s="2">
        <v>1533</v>
      </c>
      <c r="B1535" t="s">
        <v>1053</v>
      </c>
      <c r="C1535" s="1">
        <v>46129</v>
      </c>
      <c r="D1535">
        <v>87.346059999999994</v>
      </c>
      <c r="E1535">
        <v>613.68748015000006</v>
      </c>
      <c r="F1535">
        <v>616.49940665999998</v>
      </c>
      <c r="G1535">
        <v>613.68748015000006</v>
      </c>
    </row>
    <row r="1536" spans="1:7" x14ac:dyDescent="0.25">
      <c r="A1536" s="2">
        <v>1534</v>
      </c>
      <c r="B1536" t="s">
        <v>1055</v>
      </c>
      <c r="C1536" s="1">
        <v>46129</v>
      </c>
      <c r="D1536">
        <v>87.346059999999994</v>
      </c>
      <c r="E1536">
        <v>613.68748015000006</v>
      </c>
      <c r="F1536">
        <v>616.49940665999998</v>
      </c>
      <c r="G1536">
        <v>613.68748015000006</v>
      </c>
    </row>
    <row r="1537" spans="1:7" x14ac:dyDescent="0.25">
      <c r="A1537" s="2">
        <v>1535</v>
      </c>
      <c r="B1537" t="s">
        <v>1056</v>
      </c>
      <c r="C1537" s="1">
        <v>46129</v>
      </c>
      <c r="D1537">
        <v>99.044790000000006</v>
      </c>
      <c r="E1537">
        <v>260.10792248000001</v>
      </c>
      <c r="F1537">
        <v>262.37004886</v>
      </c>
      <c r="G1537">
        <v>260.10792248000001</v>
      </c>
    </row>
    <row r="1538" spans="1:7" x14ac:dyDescent="0.25">
      <c r="A1538" s="2">
        <v>1536</v>
      </c>
      <c r="B1538" t="s">
        <v>29</v>
      </c>
      <c r="C1538" s="1">
        <v>46129</v>
      </c>
      <c r="D1538">
        <v>74.798580000000001</v>
      </c>
      <c r="E1538">
        <v>1469.46921903</v>
      </c>
      <c r="F1538">
        <v>1471.796668</v>
      </c>
      <c r="G1538">
        <v>1469.46921903</v>
      </c>
    </row>
    <row r="1539" spans="1:7" x14ac:dyDescent="0.25">
      <c r="A1539" s="2">
        <v>1537</v>
      </c>
      <c r="B1539" t="s">
        <v>135</v>
      </c>
      <c r="C1539" s="1">
        <v>46129</v>
      </c>
      <c r="D1539">
        <v>89.386740000000003</v>
      </c>
      <c r="E1539">
        <v>1071.35037928</v>
      </c>
      <c r="F1539">
        <v>1075.0403016800001</v>
      </c>
      <c r="G1539">
        <v>1071.35037928</v>
      </c>
    </row>
    <row r="1540" spans="1:7" x14ac:dyDescent="0.25">
      <c r="A1540" s="2">
        <v>1538</v>
      </c>
      <c r="B1540" t="s">
        <v>22</v>
      </c>
      <c r="C1540" s="1">
        <v>46129</v>
      </c>
      <c r="D1540">
        <v>65.101849999999999</v>
      </c>
      <c r="E1540">
        <v>1485.5438656900001</v>
      </c>
      <c r="F1540">
        <v>1487.8754338000001</v>
      </c>
      <c r="G1540">
        <v>1485.5438656900001</v>
      </c>
    </row>
    <row r="1541" spans="1:7" x14ac:dyDescent="0.25">
      <c r="A1541" s="2">
        <v>1539</v>
      </c>
      <c r="B1541" t="s">
        <v>20</v>
      </c>
      <c r="C1541" s="1">
        <v>46129</v>
      </c>
      <c r="D1541">
        <v>85.764430000000004</v>
      </c>
      <c r="E1541">
        <v>1088.9790759099999</v>
      </c>
      <c r="F1541">
        <v>1092.3303693</v>
      </c>
      <c r="G1541">
        <v>1088.9790759099999</v>
      </c>
    </row>
    <row r="1542" spans="1:7" x14ac:dyDescent="0.25">
      <c r="A1542" s="2">
        <v>1540</v>
      </c>
      <c r="B1542" t="s">
        <v>137</v>
      </c>
      <c r="C1542" s="1">
        <v>46129</v>
      </c>
      <c r="D1542">
        <v>103.605</v>
      </c>
      <c r="E1542">
        <v>119.10341912</v>
      </c>
      <c r="F1542">
        <v>126.07652502000001</v>
      </c>
      <c r="G1542">
        <v>119.10341912</v>
      </c>
    </row>
    <row r="1543" spans="1:7" x14ac:dyDescent="0.25">
      <c r="A1543" s="2">
        <v>1541</v>
      </c>
      <c r="B1543" t="s">
        <v>139</v>
      </c>
      <c r="C1543" s="1">
        <v>46129</v>
      </c>
      <c r="D1543">
        <v>103.2595</v>
      </c>
      <c r="E1543">
        <v>551.40919334</v>
      </c>
      <c r="F1543">
        <v>553.65576026999997</v>
      </c>
      <c r="G1543">
        <v>551.40919334</v>
      </c>
    </row>
    <row r="1544" spans="1:7" x14ac:dyDescent="0.25">
      <c r="A1544" s="2">
        <v>1542</v>
      </c>
      <c r="B1544" t="s">
        <v>141</v>
      </c>
      <c r="C1544" s="1">
        <v>46129</v>
      </c>
      <c r="D1544">
        <v>100.89700000000001</v>
      </c>
      <c r="E1544">
        <v>-20.795999999999999</v>
      </c>
      <c r="F1544">
        <v>-35.745899999999999</v>
      </c>
      <c r="G1544">
        <v>-20.795999999999999</v>
      </c>
    </row>
    <row r="1545" spans="1:7" x14ac:dyDescent="0.25">
      <c r="A1545" s="2">
        <v>1543</v>
      </c>
      <c r="B1545" t="s">
        <v>143</v>
      </c>
      <c r="C1545" s="1">
        <v>46129</v>
      </c>
    </row>
    <row r="1546" spans="1:7" x14ac:dyDescent="0.25">
      <c r="A1546" s="2">
        <v>1544</v>
      </c>
      <c r="B1546" t="s">
        <v>145</v>
      </c>
      <c r="C1546" s="1">
        <v>46129</v>
      </c>
      <c r="D1546">
        <v>99.683269999999993</v>
      </c>
      <c r="E1546">
        <v>320.26924650000001</v>
      </c>
      <c r="F1546">
        <v>322.63828853000001</v>
      </c>
      <c r="G1546">
        <v>320.26924650000001</v>
      </c>
    </row>
    <row r="1547" spans="1:7" x14ac:dyDescent="0.25">
      <c r="A1547" s="2">
        <v>1545</v>
      </c>
      <c r="B1547" t="s">
        <v>147</v>
      </c>
      <c r="C1547" s="1">
        <v>46129</v>
      </c>
      <c r="D1547">
        <v>103.8596</v>
      </c>
      <c r="E1547">
        <v>570.12608662000002</v>
      </c>
      <c r="F1547">
        <v>572.61567965999996</v>
      </c>
      <c r="G1547">
        <v>570.12608662000002</v>
      </c>
    </row>
    <row r="1548" spans="1:7" x14ac:dyDescent="0.25">
      <c r="A1548" s="2">
        <v>1546</v>
      </c>
      <c r="B1548" t="s">
        <v>149</v>
      </c>
      <c r="C1548" s="1">
        <v>46129</v>
      </c>
      <c r="D1548">
        <v>96.757300000000001</v>
      </c>
      <c r="E1548">
        <v>1170.06078927</v>
      </c>
      <c r="F1548">
        <v>1171.9400662</v>
      </c>
      <c r="G1548">
        <v>1170.06078927</v>
      </c>
    </row>
    <row r="1549" spans="1:7" x14ac:dyDescent="0.25">
      <c r="A1549" s="2">
        <v>1547</v>
      </c>
      <c r="B1549" t="s">
        <v>151</v>
      </c>
      <c r="C1549" s="1">
        <v>46129</v>
      </c>
      <c r="D1549">
        <v>93.790819999999997</v>
      </c>
      <c r="E1549">
        <v>459.93433628999998</v>
      </c>
      <c r="F1549">
        <v>462.45257574999999</v>
      </c>
      <c r="G1549">
        <v>459.93433628999998</v>
      </c>
    </row>
    <row r="1550" spans="1:7" x14ac:dyDescent="0.25">
      <c r="A1550" s="2">
        <v>1548</v>
      </c>
      <c r="B1550" t="s">
        <v>26</v>
      </c>
      <c r="C1550" s="1">
        <v>46129</v>
      </c>
      <c r="D1550">
        <v>60.048000000000002</v>
      </c>
      <c r="E1550">
        <v>1433.95214225</v>
      </c>
      <c r="F1550">
        <v>1436.0084611699999</v>
      </c>
      <c r="G1550">
        <v>1433.95214225</v>
      </c>
    </row>
    <row r="1551" spans="1:7" x14ac:dyDescent="0.25">
      <c r="A1551" s="2">
        <v>1549</v>
      </c>
      <c r="B1551" t="s">
        <v>31</v>
      </c>
      <c r="C1551" s="1">
        <v>46129</v>
      </c>
      <c r="D1551">
        <v>73.858320000000006</v>
      </c>
      <c r="E1551">
        <v>1333.4837528200001</v>
      </c>
      <c r="F1551">
        <v>1336.39813112</v>
      </c>
      <c r="G1551">
        <v>1333.4837528200001</v>
      </c>
    </row>
    <row r="1552" spans="1:7" x14ac:dyDescent="0.25">
      <c r="A1552" s="2">
        <v>1550</v>
      </c>
      <c r="B1552" t="s">
        <v>24</v>
      </c>
      <c r="C1552" s="1">
        <v>46129</v>
      </c>
      <c r="D1552">
        <v>75.29607</v>
      </c>
      <c r="E1552">
        <v>1425.5489355300001</v>
      </c>
      <c r="F1552">
        <v>1428.58415932</v>
      </c>
      <c r="G1552">
        <v>1425.5489355300001</v>
      </c>
    </row>
    <row r="1553" spans="1:7" x14ac:dyDescent="0.25">
      <c r="A1553" s="2">
        <v>1551</v>
      </c>
      <c r="B1553" t="s">
        <v>153</v>
      </c>
      <c r="C1553" s="1">
        <v>46129</v>
      </c>
      <c r="D1553">
        <v>99.583529999999996</v>
      </c>
      <c r="E1553">
        <v>553.20248898</v>
      </c>
      <c r="F1553">
        <v>561.76100444999997</v>
      </c>
      <c r="G1553">
        <v>553.20248898</v>
      </c>
    </row>
    <row r="1554" spans="1:7" x14ac:dyDescent="0.25">
      <c r="A1554" s="2">
        <v>1552</v>
      </c>
      <c r="B1554" t="s">
        <v>155</v>
      </c>
      <c r="C1554" s="1">
        <v>46129</v>
      </c>
      <c r="D1554">
        <v>100.625</v>
      </c>
      <c r="F1554">
        <v>375.08411708</v>
      </c>
    </row>
    <row r="1555" spans="1:7" x14ac:dyDescent="0.25">
      <c r="A1555" s="2">
        <v>1553</v>
      </c>
      <c r="B1555" t="s">
        <v>157</v>
      </c>
      <c r="C1555" s="1">
        <v>46129</v>
      </c>
      <c r="D1555">
        <v>100.5</v>
      </c>
    </row>
    <row r="1556" spans="1:7" x14ac:dyDescent="0.25">
      <c r="A1556" s="2">
        <v>1554</v>
      </c>
      <c r="B1556" t="s">
        <v>158</v>
      </c>
      <c r="C1556" s="1">
        <v>46129</v>
      </c>
      <c r="D1556">
        <v>97.5</v>
      </c>
      <c r="F1556">
        <v>784.97046225999998</v>
      </c>
    </row>
    <row r="1557" spans="1:7" x14ac:dyDescent="0.25">
      <c r="A1557" s="2">
        <v>1555</v>
      </c>
      <c r="B1557" t="s">
        <v>160</v>
      </c>
      <c r="C1557" s="1">
        <v>46129</v>
      </c>
      <c r="D1557">
        <v>87.5</v>
      </c>
    </row>
    <row r="1558" spans="1:7" x14ac:dyDescent="0.25">
      <c r="A1558" s="2">
        <v>1556</v>
      </c>
      <c r="B1558" t="s">
        <v>381</v>
      </c>
      <c r="C1558" s="1">
        <v>46129</v>
      </c>
    </row>
    <row r="1559" spans="1:7" x14ac:dyDescent="0.25">
      <c r="A1559" s="2">
        <v>1557</v>
      </c>
      <c r="B1559" t="s">
        <v>385</v>
      </c>
      <c r="C1559" s="1">
        <v>46129</v>
      </c>
      <c r="D1559">
        <v>42.009390000000003</v>
      </c>
      <c r="E1559">
        <v>4156.9190782699998</v>
      </c>
      <c r="F1559">
        <v>4160.2503710399997</v>
      </c>
      <c r="G1559">
        <v>4156.9190782699998</v>
      </c>
    </row>
    <row r="1560" spans="1:7" x14ac:dyDescent="0.25">
      <c r="A1560" s="2">
        <v>1558</v>
      </c>
      <c r="B1560" t="s">
        <v>387</v>
      </c>
      <c r="C1560" s="1">
        <v>46129</v>
      </c>
    </row>
    <row r="1561" spans="1:7" x14ac:dyDescent="0.25">
      <c r="A1561" s="2">
        <v>1559</v>
      </c>
      <c r="B1561" t="s">
        <v>389</v>
      </c>
      <c r="C1561" s="1">
        <v>46129</v>
      </c>
    </row>
    <row r="1562" spans="1:7" x14ac:dyDescent="0.25">
      <c r="A1562" s="2">
        <v>1560</v>
      </c>
      <c r="B1562" t="s">
        <v>391</v>
      </c>
      <c r="C1562" s="1">
        <v>46129</v>
      </c>
    </row>
    <row r="1563" spans="1:7" x14ac:dyDescent="0.25">
      <c r="A1563" s="2">
        <v>1561</v>
      </c>
      <c r="B1563" t="s">
        <v>393</v>
      </c>
      <c r="C1563" s="1">
        <v>46129</v>
      </c>
      <c r="D1563">
        <v>54</v>
      </c>
      <c r="F1563">
        <v>3795.0886131900002</v>
      </c>
    </row>
    <row r="1564" spans="1:7" x14ac:dyDescent="0.25">
      <c r="A1564" s="2">
        <v>1562</v>
      </c>
      <c r="B1564" t="s">
        <v>395</v>
      </c>
      <c r="C1564" s="1">
        <v>46129</v>
      </c>
      <c r="D1564">
        <v>59.5</v>
      </c>
      <c r="F1564">
        <v>3507.7187348100001</v>
      </c>
    </row>
    <row r="1565" spans="1:7" x14ac:dyDescent="0.25">
      <c r="A1565" s="2">
        <v>1563</v>
      </c>
      <c r="B1565" t="s">
        <v>3363</v>
      </c>
      <c r="C1565" s="1">
        <v>46129</v>
      </c>
      <c r="D1565">
        <v>65</v>
      </c>
      <c r="F1565">
        <v>2334.5952275</v>
      </c>
    </row>
    <row r="1566" spans="1:7" x14ac:dyDescent="0.25">
      <c r="A1566" s="2">
        <v>1564</v>
      </c>
      <c r="B1566" t="s">
        <v>3367</v>
      </c>
      <c r="C1566" s="1">
        <v>46129</v>
      </c>
    </row>
    <row r="1567" spans="1:7" x14ac:dyDescent="0.25">
      <c r="A1567" s="2">
        <v>1565</v>
      </c>
      <c r="B1567" t="s">
        <v>3369</v>
      </c>
      <c r="C1567" s="1">
        <v>46129</v>
      </c>
      <c r="D1567">
        <v>71.5</v>
      </c>
      <c r="F1567">
        <v>1984.42455574</v>
      </c>
    </row>
    <row r="1568" spans="1:7" x14ac:dyDescent="0.25">
      <c r="A1568" s="2">
        <v>1566</v>
      </c>
      <c r="B1568" t="s">
        <v>428</v>
      </c>
      <c r="C1568" s="1">
        <v>46129</v>
      </c>
      <c r="D1568">
        <v>94.458060000000003</v>
      </c>
      <c r="E1568">
        <v>851.03405095999995</v>
      </c>
      <c r="F1568">
        <v>853.14286176999997</v>
      </c>
      <c r="G1568">
        <v>851.03405095999995</v>
      </c>
    </row>
    <row r="1569" spans="1:7" x14ac:dyDescent="0.25">
      <c r="A1569" s="2">
        <v>1567</v>
      </c>
      <c r="B1569" t="s">
        <v>432</v>
      </c>
      <c r="C1569" s="1">
        <v>46129</v>
      </c>
    </row>
    <row r="1570" spans="1:7" x14ac:dyDescent="0.25">
      <c r="A1570" s="2">
        <v>1568</v>
      </c>
      <c r="B1570" t="s">
        <v>434</v>
      </c>
      <c r="C1570" s="1">
        <v>46129</v>
      </c>
      <c r="D1570">
        <v>87.75</v>
      </c>
      <c r="F1570">
        <v>861.83505849999995</v>
      </c>
    </row>
    <row r="1571" spans="1:7" x14ac:dyDescent="0.25">
      <c r="A1571" s="2">
        <v>1569</v>
      </c>
      <c r="B1571" t="s">
        <v>436</v>
      </c>
      <c r="C1571" s="1">
        <v>46129</v>
      </c>
      <c r="D1571">
        <v>92.186719999999994</v>
      </c>
      <c r="E1571">
        <v>390.08832203999998</v>
      </c>
      <c r="F1571">
        <v>392.50884917000002</v>
      </c>
      <c r="G1571">
        <v>390.08832203999998</v>
      </c>
    </row>
    <row r="1572" spans="1:7" x14ac:dyDescent="0.25">
      <c r="A1572" s="2">
        <v>1570</v>
      </c>
      <c r="B1572" t="s">
        <v>440</v>
      </c>
      <c r="C1572" s="1">
        <v>46129</v>
      </c>
      <c r="D1572">
        <v>88.538839999999993</v>
      </c>
      <c r="E1572">
        <v>213.94929955999999</v>
      </c>
      <c r="F1572">
        <v>211.98098390999999</v>
      </c>
      <c r="G1572">
        <v>213.94929955999999</v>
      </c>
    </row>
    <row r="1573" spans="1:7" x14ac:dyDescent="0.25">
      <c r="A1573" s="2">
        <v>1571</v>
      </c>
      <c r="B1573" t="s">
        <v>442</v>
      </c>
      <c r="C1573" s="1">
        <v>46129</v>
      </c>
      <c r="D1573">
        <v>98.269229999999993</v>
      </c>
      <c r="E1573">
        <v>667.27089896999996</v>
      </c>
      <c r="F1573">
        <v>666.80288947999998</v>
      </c>
      <c r="G1573">
        <v>667.27089896999996</v>
      </c>
    </row>
    <row r="1574" spans="1:7" x14ac:dyDescent="0.25">
      <c r="A1574" s="2">
        <v>1572</v>
      </c>
      <c r="B1574" t="s">
        <v>444</v>
      </c>
      <c r="C1574" s="1">
        <v>46129</v>
      </c>
      <c r="D1574">
        <v>115.4333</v>
      </c>
      <c r="E1574">
        <v>-532.51875098999994</v>
      </c>
      <c r="F1574">
        <v>-530.46688829000004</v>
      </c>
      <c r="G1574">
        <v>-532.51875098999994</v>
      </c>
    </row>
    <row r="1575" spans="1:7" x14ac:dyDescent="0.25">
      <c r="A1575" s="2">
        <v>1573</v>
      </c>
      <c r="B1575" t="s">
        <v>446</v>
      </c>
      <c r="C1575" s="1">
        <v>46129</v>
      </c>
      <c r="D1575">
        <v>99.061040000000006</v>
      </c>
      <c r="E1575">
        <v>489.95815248999997</v>
      </c>
      <c r="F1575">
        <v>491.89317168000002</v>
      </c>
      <c r="G1575">
        <v>489.95815248999997</v>
      </c>
    </row>
    <row r="1576" spans="1:7" x14ac:dyDescent="0.25">
      <c r="A1576" s="2">
        <v>1574</v>
      </c>
      <c r="B1576" t="s">
        <v>449</v>
      </c>
      <c r="C1576" s="1">
        <v>46129</v>
      </c>
      <c r="D1576">
        <v>98.721919999999997</v>
      </c>
      <c r="E1576">
        <v>430.80012755000001</v>
      </c>
      <c r="F1576">
        <v>433.73582335999998</v>
      </c>
      <c r="G1576">
        <v>430.80012755000001</v>
      </c>
    </row>
    <row r="1577" spans="1:7" x14ac:dyDescent="0.25">
      <c r="A1577" s="2">
        <v>1575</v>
      </c>
      <c r="B1577" t="s">
        <v>451</v>
      </c>
      <c r="C1577" s="1">
        <v>46129</v>
      </c>
      <c r="D1577">
        <v>94.486230000000006</v>
      </c>
      <c r="E1577">
        <v>198.52714319</v>
      </c>
      <c r="F1577">
        <v>198.92277311999999</v>
      </c>
      <c r="G1577">
        <v>198.52714319</v>
      </c>
    </row>
    <row r="1578" spans="1:7" x14ac:dyDescent="0.25">
      <c r="A1578" s="2">
        <v>1576</v>
      </c>
      <c r="B1578" t="s">
        <v>453</v>
      </c>
      <c r="C1578" s="1">
        <v>46129</v>
      </c>
      <c r="D1578">
        <v>94</v>
      </c>
      <c r="F1578">
        <v>759.02363840999999</v>
      </c>
    </row>
    <row r="1579" spans="1:7" x14ac:dyDescent="0.25">
      <c r="A1579" s="2">
        <v>1577</v>
      </c>
      <c r="B1579" t="s">
        <v>455</v>
      </c>
      <c r="C1579" s="1">
        <v>46129</v>
      </c>
      <c r="D1579">
        <v>97</v>
      </c>
    </row>
    <row r="1580" spans="1:7" x14ac:dyDescent="0.25">
      <c r="A1580" s="2">
        <v>1578</v>
      </c>
      <c r="B1580" t="s">
        <v>502</v>
      </c>
      <c r="C1580" s="1">
        <v>46129</v>
      </c>
      <c r="D1580">
        <v>46.541339999999998</v>
      </c>
    </row>
    <row r="1581" spans="1:7" x14ac:dyDescent="0.25">
      <c r="A1581" s="2">
        <v>1579</v>
      </c>
      <c r="B1581" t="s">
        <v>506</v>
      </c>
      <c r="C1581" s="1">
        <v>46129</v>
      </c>
      <c r="D1581">
        <v>45.160580000000003</v>
      </c>
    </row>
    <row r="1582" spans="1:7" x14ac:dyDescent="0.25">
      <c r="A1582" s="2">
        <v>1580</v>
      </c>
      <c r="B1582" t="s">
        <v>508</v>
      </c>
      <c r="C1582" s="1">
        <v>46129</v>
      </c>
    </row>
    <row r="1583" spans="1:7" x14ac:dyDescent="0.25">
      <c r="A1583" s="2">
        <v>1581</v>
      </c>
      <c r="B1583" t="s">
        <v>510</v>
      </c>
      <c r="C1583" s="1">
        <v>46129</v>
      </c>
      <c r="D1583">
        <v>7.1724379999999996</v>
      </c>
    </row>
    <row r="1584" spans="1:7" x14ac:dyDescent="0.25">
      <c r="A1584" s="2">
        <v>1582</v>
      </c>
      <c r="B1584" t="s">
        <v>512</v>
      </c>
      <c r="C1584" s="1">
        <v>46129</v>
      </c>
      <c r="D1584">
        <v>48.981929999999998</v>
      </c>
    </row>
    <row r="1585" spans="1:7" x14ac:dyDescent="0.25">
      <c r="A1585" s="2">
        <v>1583</v>
      </c>
      <c r="B1585" t="s">
        <v>514</v>
      </c>
      <c r="C1585" s="1">
        <v>46129</v>
      </c>
      <c r="D1585">
        <v>6.4512640000000001</v>
      </c>
    </row>
    <row r="1586" spans="1:7" x14ac:dyDescent="0.25">
      <c r="A1586" s="2">
        <v>1584</v>
      </c>
      <c r="B1586" t="s">
        <v>516</v>
      </c>
      <c r="C1586" s="1">
        <v>46129</v>
      </c>
    </row>
    <row r="1587" spans="1:7" x14ac:dyDescent="0.25">
      <c r="A1587" s="2">
        <v>1585</v>
      </c>
      <c r="B1587" t="s">
        <v>518</v>
      </c>
      <c r="C1587" s="1">
        <v>46129</v>
      </c>
    </row>
    <row r="1588" spans="1:7" x14ac:dyDescent="0.25">
      <c r="A1588" s="2">
        <v>1586</v>
      </c>
      <c r="B1588" t="s">
        <v>520</v>
      </c>
      <c r="C1588" s="1">
        <v>46129</v>
      </c>
      <c r="D1588">
        <v>100.125</v>
      </c>
      <c r="F1588">
        <v>723.85892967999996</v>
      </c>
    </row>
    <row r="1589" spans="1:7" x14ac:dyDescent="0.25">
      <c r="A1589" s="2">
        <v>1587</v>
      </c>
      <c r="B1589" t="s">
        <v>523</v>
      </c>
      <c r="C1589" s="1">
        <v>46129</v>
      </c>
      <c r="D1589">
        <v>100.125</v>
      </c>
      <c r="F1589">
        <v>723.85892967999996</v>
      </c>
    </row>
    <row r="1590" spans="1:7" x14ac:dyDescent="0.25">
      <c r="A1590" s="2">
        <v>1588</v>
      </c>
      <c r="B1590" t="s">
        <v>524</v>
      </c>
      <c r="C1590" s="1">
        <v>46129</v>
      </c>
      <c r="D1590">
        <v>44</v>
      </c>
    </row>
    <row r="1591" spans="1:7" x14ac:dyDescent="0.25">
      <c r="A1591" s="2">
        <v>1589</v>
      </c>
      <c r="B1591" t="s">
        <v>526</v>
      </c>
      <c r="C1591" s="1">
        <v>46129</v>
      </c>
      <c r="D1591">
        <v>44</v>
      </c>
    </row>
    <row r="1592" spans="1:7" x14ac:dyDescent="0.25">
      <c r="A1592" s="2">
        <v>1590</v>
      </c>
      <c r="B1592" t="s">
        <v>3725</v>
      </c>
      <c r="C1592" s="1">
        <v>46129</v>
      </c>
    </row>
    <row r="1593" spans="1:7" x14ac:dyDescent="0.25">
      <c r="A1593" s="2">
        <v>1591</v>
      </c>
      <c r="B1593" t="s">
        <v>458</v>
      </c>
      <c r="C1593" s="1">
        <v>46129</v>
      </c>
      <c r="D1593">
        <v>100.9507</v>
      </c>
      <c r="E1593">
        <v>523.57255009000005</v>
      </c>
      <c r="F1593">
        <v>526.01775044999999</v>
      </c>
      <c r="G1593">
        <v>523.57255009000005</v>
      </c>
    </row>
    <row r="1594" spans="1:7" x14ac:dyDescent="0.25">
      <c r="A1594" s="2">
        <v>1592</v>
      </c>
      <c r="B1594" t="s">
        <v>463</v>
      </c>
      <c r="C1594" s="1">
        <v>46129</v>
      </c>
      <c r="D1594">
        <v>82.923770000000005</v>
      </c>
      <c r="E1594">
        <v>829.39746912999999</v>
      </c>
      <c r="F1594">
        <v>831.62580384</v>
      </c>
      <c r="G1594">
        <v>829.39746912999999</v>
      </c>
    </row>
    <row r="1595" spans="1:7" x14ac:dyDescent="0.25">
      <c r="A1595" s="2">
        <v>1593</v>
      </c>
      <c r="B1595" t="s">
        <v>465</v>
      </c>
      <c r="C1595" s="1">
        <v>46129</v>
      </c>
      <c r="D1595">
        <v>85</v>
      </c>
      <c r="F1595">
        <v>911.32722667999997</v>
      </c>
    </row>
    <row r="1596" spans="1:7" x14ac:dyDescent="0.25">
      <c r="A1596" s="2">
        <v>1594</v>
      </c>
      <c r="B1596" t="s">
        <v>467</v>
      </c>
      <c r="C1596" s="1">
        <v>46129</v>
      </c>
    </row>
    <row r="1597" spans="1:7" x14ac:dyDescent="0.25">
      <c r="A1597" s="2">
        <v>1595</v>
      </c>
      <c r="B1597" t="s">
        <v>470</v>
      </c>
      <c r="C1597" s="1">
        <v>46129</v>
      </c>
      <c r="D1597">
        <v>81.25</v>
      </c>
      <c r="F1597">
        <v>752.16655765999997</v>
      </c>
    </row>
    <row r="1598" spans="1:7" x14ac:dyDescent="0.25">
      <c r="A1598" s="2">
        <v>1596</v>
      </c>
      <c r="B1598" t="s">
        <v>472</v>
      </c>
      <c r="C1598" s="1">
        <v>46129</v>
      </c>
    </row>
    <row r="1599" spans="1:7" x14ac:dyDescent="0.25">
      <c r="A1599" s="2">
        <v>1597</v>
      </c>
      <c r="B1599" t="s">
        <v>474</v>
      </c>
      <c r="C1599" s="1">
        <v>46129</v>
      </c>
    </row>
    <row r="1600" spans="1:7" x14ac:dyDescent="0.25">
      <c r="A1600" s="2">
        <v>1598</v>
      </c>
      <c r="B1600" t="s">
        <v>3371</v>
      </c>
      <c r="C1600" s="1">
        <v>46129</v>
      </c>
      <c r="D1600">
        <v>98.625</v>
      </c>
      <c r="F1600">
        <v>710.84447935000003</v>
      </c>
    </row>
    <row r="1601" spans="1:7" x14ac:dyDescent="0.25">
      <c r="A1601" s="2">
        <v>1599</v>
      </c>
      <c r="B1601" t="s">
        <v>3375</v>
      </c>
      <c r="C1601" s="1">
        <v>46129</v>
      </c>
      <c r="D1601">
        <v>96.25</v>
      </c>
      <c r="F1601">
        <v>521.60653047999995</v>
      </c>
    </row>
    <row r="1602" spans="1:7" x14ac:dyDescent="0.25">
      <c r="A1602" s="2">
        <v>1600</v>
      </c>
      <c r="B1602" t="s">
        <v>3377</v>
      </c>
      <c r="C1602" s="1">
        <v>46129</v>
      </c>
      <c r="D1602">
        <v>98</v>
      </c>
      <c r="F1602">
        <v>574.84419243000002</v>
      </c>
    </row>
    <row r="1603" spans="1:7" x14ac:dyDescent="0.25">
      <c r="A1603" s="2">
        <v>1601</v>
      </c>
      <c r="B1603" t="s">
        <v>3379</v>
      </c>
      <c r="C1603" s="1">
        <v>46129</v>
      </c>
      <c r="D1603">
        <v>97.75</v>
      </c>
      <c r="F1603">
        <v>548.30806416999997</v>
      </c>
    </row>
    <row r="1604" spans="1:7" x14ac:dyDescent="0.25">
      <c r="A1604" s="2">
        <v>1602</v>
      </c>
      <c r="B1604" t="s">
        <v>3381</v>
      </c>
      <c r="C1604" s="1">
        <v>46129</v>
      </c>
      <c r="D1604">
        <v>90.125</v>
      </c>
      <c r="F1604">
        <v>686.14000300999999</v>
      </c>
    </row>
    <row r="1605" spans="1:7" x14ac:dyDescent="0.25">
      <c r="A1605" s="2">
        <v>1603</v>
      </c>
      <c r="B1605" t="s">
        <v>528</v>
      </c>
      <c r="C1605" s="1">
        <v>46129</v>
      </c>
      <c r="D1605">
        <v>78.75</v>
      </c>
      <c r="F1605">
        <v>1826.05932637</v>
      </c>
    </row>
    <row r="1606" spans="1:7" x14ac:dyDescent="0.25">
      <c r="A1606" s="2">
        <v>1604</v>
      </c>
      <c r="B1606" t="s">
        <v>532</v>
      </c>
      <c r="C1606" s="1">
        <v>46129</v>
      </c>
      <c r="D1606">
        <v>98.375</v>
      </c>
      <c r="F1606">
        <v>854.20316065999998</v>
      </c>
    </row>
    <row r="1607" spans="1:7" x14ac:dyDescent="0.25">
      <c r="A1607" s="2">
        <v>1605</v>
      </c>
      <c r="B1607" t="s">
        <v>534</v>
      </c>
      <c r="C1607" s="1">
        <v>46129</v>
      </c>
      <c r="D1607">
        <v>70</v>
      </c>
      <c r="F1607">
        <v>2408.9641346200001</v>
      </c>
    </row>
    <row r="1608" spans="1:7" x14ac:dyDescent="0.25">
      <c r="A1608" s="2">
        <v>1606</v>
      </c>
      <c r="B1608" t="s">
        <v>477</v>
      </c>
      <c r="C1608" s="1">
        <v>46129</v>
      </c>
      <c r="D1608">
        <v>26.119679999999999</v>
      </c>
      <c r="E1608">
        <v>4511.1993717599998</v>
      </c>
      <c r="F1608">
        <v>4513.4620887299998</v>
      </c>
      <c r="G1608">
        <v>4511.1993717599998</v>
      </c>
    </row>
    <row r="1609" spans="1:7" x14ac:dyDescent="0.25">
      <c r="A1609" s="2">
        <v>1607</v>
      </c>
      <c r="B1609" t="s">
        <v>481</v>
      </c>
      <c r="C1609" s="1">
        <v>46129</v>
      </c>
      <c r="D1609">
        <v>32.404110000000003</v>
      </c>
      <c r="E1609">
        <v>4864.8106713699999</v>
      </c>
      <c r="F1609">
        <v>4867.88374148</v>
      </c>
      <c r="G1609">
        <v>4864.8106713699999</v>
      </c>
    </row>
    <row r="1610" spans="1:7" x14ac:dyDescent="0.25">
      <c r="A1610" s="2">
        <v>1608</v>
      </c>
      <c r="B1610" t="s">
        <v>483</v>
      </c>
      <c r="C1610" s="1">
        <v>46129</v>
      </c>
      <c r="D1610">
        <v>51.22336</v>
      </c>
      <c r="E1610">
        <v>3101.9168060100001</v>
      </c>
      <c r="F1610">
        <v>3103.4839034400002</v>
      </c>
      <c r="G1610">
        <v>3101.9168060100001</v>
      </c>
    </row>
    <row r="1611" spans="1:7" x14ac:dyDescent="0.25">
      <c r="A1611" s="2">
        <v>1609</v>
      </c>
      <c r="B1611" t="s">
        <v>485</v>
      </c>
      <c r="C1611" s="1">
        <v>46129</v>
      </c>
      <c r="D1611">
        <v>79.920670000000001</v>
      </c>
      <c r="E1611">
        <v>1394.9087200399999</v>
      </c>
      <c r="F1611">
        <v>1396.7769603900001</v>
      </c>
      <c r="G1611">
        <v>1394.9087200399999</v>
      </c>
    </row>
    <row r="1612" spans="1:7" x14ac:dyDescent="0.25">
      <c r="A1612" s="2">
        <v>1610</v>
      </c>
      <c r="B1612" t="s">
        <v>487</v>
      </c>
      <c r="C1612" s="1">
        <v>46129</v>
      </c>
      <c r="E1612">
        <v>4152.5200000000004</v>
      </c>
      <c r="F1612">
        <v>3999.25</v>
      </c>
      <c r="G1612">
        <v>4152.5200000000004</v>
      </c>
    </row>
    <row r="1613" spans="1:7" x14ac:dyDescent="0.25">
      <c r="A1613" s="2">
        <v>1611</v>
      </c>
      <c r="B1613" t="s">
        <v>490</v>
      </c>
      <c r="C1613" s="1">
        <v>46129</v>
      </c>
    </row>
    <row r="1614" spans="1:7" x14ac:dyDescent="0.25">
      <c r="A1614" s="2">
        <v>1612</v>
      </c>
      <c r="B1614" t="s">
        <v>492</v>
      </c>
      <c r="C1614" s="1">
        <v>46129</v>
      </c>
      <c r="D1614">
        <v>24.600339999999999</v>
      </c>
      <c r="E1614">
        <v>2553.7672719799998</v>
      </c>
      <c r="F1614">
        <v>2550.58327276</v>
      </c>
      <c r="G1614">
        <v>2553.7672719799998</v>
      </c>
    </row>
    <row r="1615" spans="1:7" x14ac:dyDescent="0.25">
      <c r="A1615" s="2">
        <v>1613</v>
      </c>
      <c r="B1615" t="s">
        <v>494</v>
      </c>
      <c r="C1615" s="1">
        <v>46129</v>
      </c>
      <c r="D1615">
        <v>26.703099999999999</v>
      </c>
      <c r="E1615">
        <v>2383.0729495199998</v>
      </c>
      <c r="F1615">
        <v>2364.6676267100001</v>
      </c>
      <c r="G1615">
        <v>2383.0729495199998</v>
      </c>
    </row>
    <row r="1616" spans="1:7" x14ac:dyDescent="0.25">
      <c r="A1616" s="2">
        <v>1614</v>
      </c>
      <c r="B1616" t="s">
        <v>496</v>
      </c>
      <c r="C1616" s="1">
        <v>46129</v>
      </c>
    </row>
    <row r="1617" spans="1:7" x14ac:dyDescent="0.25">
      <c r="A1617" s="2">
        <v>1615</v>
      </c>
      <c r="B1617" t="s">
        <v>498</v>
      </c>
      <c r="C1617" s="1">
        <v>46129</v>
      </c>
      <c r="D1617">
        <v>42.745350000000002</v>
      </c>
      <c r="E1617">
        <v>4679.0029556600002</v>
      </c>
      <c r="F1617">
        <v>4681.3859352899999</v>
      </c>
      <c r="G1617">
        <v>4679.0029556600002</v>
      </c>
    </row>
    <row r="1618" spans="1:7" x14ac:dyDescent="0.25">
      <c r="A1618" s="2">
        <v>1616</v>
      </c>
      <c r="B1618" t="s">
        <v>500</v>
      </c>
      <c r="C1618" s="1">
        <v>46129</v>
      </c>
      <c r="D1618">
        <v>65</v>
      </c>
      <c r="F1618">
        <v>2207.3886803999999</v>
      </c>
    </row>
    <row r="1619" spans="1:7" x14ac:dyDescent="0.25">
      <c r="A1619" s="2">
        <v>1617</v>
      </c>
      <c r="B1619" t="s">
        <v>210</v>
      </c>
      <c r="C1619" s="1">
        <v>46129</v>
      </c>
      <c r="D1619">
        <v>89.020989999999998</v>
      </c>
      <c r="E1619">
        <v>1087.5217845</v>
      </c>
      <c r="F1619">
        <v>1091.22114775</v>
      </c>
      <c r="G1619">
        <v>1087.5217845</v>
      </c>
    </row>
    <row r="1620" spans="1:7" x14ac:dyDescent="0.25">
      <c r="A1620" s="2">
        <v>1618</v>
      </c>
      <c r="B1620" t="s">
        <v>109</v>
      </c>
      <c r="C1620" s="1">
        <v>46129</v>
      </c>
      <c r="D1620">
        <v>88.470849999999999</v>
      </c>
      <c r="E1620">
        <v>999.55907970999999</v>
      </c>
      <c r="F1620">
        <v>1002.11810467</v>
      </c>
      <c r="G1620">
        <v>999.55907970999999</v>
      </c>
    </row>
    <row r="1621" spans="1:7" x14ac:dyDescent="0.25">
      <c r="A1621" s="2">
        <v>1619</v>
      </c>
      <c r="B1621" t="s">
        <v>212</v>
      </c>
      <c r="C1621" s="1">
        <v>46129</v>
      </c>
      <c r="D1621">
        <v>94</v>
      </c>
      <c r="F1621">
        <v>591.29265239999995</v>
      </c>
    </row>
    <row r="1622" spans="1:7" x14ac:dyDescent="0.25">
      <c r="A1622" s="2">
        <v>1620</v>
      </c>
      <c r="B1622" t="s">
        <v>214</v>
      </c>
      <c r="C1622" s="1">
        <v>46129</v>
      </c>
      <c r="D1622">
        <v>94</v>
      </c>
      <c r="F1622">
        <v>1502.7584372599999</v>
      </c>
    </row>
    <row r="1623" spans="1:7" x14ac:dyDescent="0.25">
      <c r="A1623" s="2">
        <v>1621</v>
      </c>
      <c r="B1623" t="s">
        <v>552</v>
      </c>
      <c r="C1623" s="1">
        <v>46129</v>
      </c>
      <c r="D1623">
        <v>76.040319999999994</v>
      </c>
      <c r="E1623">
        <v>1307.2438536899999</v>
      </c>
      <c r="F1623">
        <v>1309.77913646</v>
      </c>
      <c r="G1623">
        <v>1307.2438536899999</v>
      </c>
    </row>
    <row r="1624" spans="1:7" x14ac:dyDescent="0.25">
      <c r="A1624" s="2">
        <v>1622</v>
      </c>
      <c r="B1624" t="s">
        <v>556</v>
      </c>
      <c r="C1624" s="1">
        <v>46129</v>
      </c>
      <c r="D1624">
        <v>74.198719999999994</v>
      </c>
      <c r="E1624">
        <v>777.63680438999995</v>
      </c>
      <c r="F1624">
        <v>779.49041958999999</v>
      </c>
      <c r="G1624">
        <v>777.63680438999995</v>
      </c>
    </row>
    <row r="1625" spans="1:7" x14ac:dyDescent="0.25">
      <c r="A1625" s="2">
        <v>1623</v>
      </c>
      <c r="B1625" t="s">
        <v>558</v>
      </c>
      <c r="C1625" s="1">
        <v>46129</v>
      </c>
      <c r="D1625">
        <v>100.5</v>
      </c>
      <c r="F1625">
        <v>263.20254398999998</v>
      </c>
    </row>
    <row r="1626" spans="1:7" x14ac:dyDescent="0.25">
      <c r="A1626" s="2">
        <v>1624</v>
      </c>
      <c r="B1626" t="s">
        <v>560</v>
      </c>
      <c r="C1626" s="1">
        <v>46129</v>
      </c>
      <c r="D1626">
        <v>100.5</v>
      </c>
      <c r="F1626">
        <v>256.77590457999997</v>
      </c>
    </row>
    <row r="1627" spans="1:7" x14ac:dyDescent="0.25">
      <c r="A1627" s="2">
        <v>1625</v>
      </c>
      <c r="B1627" t="s">
        <v>562</v>
      </c>
      <c r="C1627" s="1">
        <v>46129</v>
      </c>
      <c r="D1627">
        <v>94.5</v>
      </c>
      <c r="F1627">
        <v>550.40936513999998</v>
      </c>
    </row>
    <row r="1628" spans="1:7" x14ac:dyDescent="0.25">
      <c r="A1628" s="2">
        <v>1626</v>
      </c>
      <c r="B1628" t="s">
        <v>564</v>
      </c>
      <c r="C1628" s="1">
        <v>46129</v>
      </c>
    </row>
    <row r="1629" spans="1:7" x14ac:dyDescent="0.25">
      <c r="A1629" s="2">
        <v>1627</v>
      </c>
      <c r="B1629" t="s">
        <v>586</v>
      </c>
      <c r="C1629" s="1">
        <v>46129</v>
      </c>
    </row>
    <row r="1630" spans="1:7" x14ac:dyDescent="0.25">
      <c r="A1630" s="2">
        <v>1628</v>
      </c>
      <c r="B1630" t="s">
        <v>592</v>
      </c>
      <c r="C1630" s="1">
        <v>46129</v>
      </c>
    </row>
    <row r="1631" spans="1:7" x14ac:dyDescent="0.25">
      <c r="A1631" s="2">
        <v>1629</v>
      </c>
      <c r="B1631" t="s">
        <v>594</v>
      </c>
      <c r="C1631" s="1">
        <v>46129</v>
      </c>
      <c r="D1631">
        <v>95.029719999999998</v>
      </c>
      <c r="E1631">
        <v>99.759278480000006</v>
      </c>
      <c r="F1631">
        <v>101.57440361</v>
      </c>
      <c r="G1631">
        <v>99.759278480000006</v>
      </c>
    </row>
    <row r="1632" spans="1:7" x14ac:dyDescent="0.25">
      <c r="A1632" s="2">
        <v>1630</v>
      </c>
      <c r="B1632" t="s">
        <v>597</v>
      </c>
      <c r="C1632" s="1">
        <v>46129</v>
      </c>
    </row>
    <row r="1633" spans="1:7" x14ac:dyDescent="0.25">
      <c r="A1633" s="2">
        <v>1631</v>
      </c>
      <c r="B1633" t="s">
        <v>599</v>
      </c>
      <c r="C1633" s="1">
        <v>46129</v>
      </c>
      <c r="D1633">
        <v>70.388419999999996</v>
      </c>
      <c r="E1633">
        <v>176.76224550000001</v>
      </c>
      <c r="F1633">
        <v>177.48079557</v>
      </c>
      <c r="G1633">
        <v>176.76224550000001</v>
      </c>
    </row>
    <row r="1634" spans="1:7" x14ac:dyDescent="0.25">
      <c r="A1634" s="2">
        <v>1632</v>
      </c>
      <c r="B1634" t="s">
        <v>601</v>
      </c>
      <c r="C1634" s="1">
        <v>46129</v>
      </c>
      <c r="D1634">
        <v>90.396180000000001</v>
      </c>
      <c r="E1634">
        <v>106.91706963999999</v>
      </c>
      <c r="F1634">
        <v>108.87057123</v>
      </c>
      <c r="G1634">
        <v>106.91706963999999</v>
      </c>
    </row>
    <row r="1635" spans="1:7" x14ac:dyDescent="0.25">
      <c r="A1635" s="2">
        <v>1633</v>
      </c>
      <c r="B1635" t="s">
        <v>603</v>
      </c>
      <c r="C1635" s="1">
        <v>46129</v>
      </c>
      <c r="D1635">
        <v>98.603830000000002</v>
      </c>
      <c r="E1635">
        <v>57.520136119999997</v>
      </c>
      <c r="F1635">
        <v>63.823759709999997</v>
      </c>
      <c r="G1635">
        <v>57.520136119999997</v>
      </c>
    </row>
    <row r="1636" spans="1:7" x14ac:dyDescent="0.25">
      <c r="A1636" s="2">
        <v>1634</v>
      </c>
      <c r="B1636" t="s">
        <v>605</v>
      </c>
      <c r="C1636" s="1">
        <v>46129</v>
      </c>
    </row>
    <row r="1637" spans="1:7" x14ac:dyDescent="0.25">
      <c r="A1637" s="2">
        <v>1635</v>
      </c>
      <c r="B1637" t="s">
        <v>607</v>
      </c>
      <c r="C1637" s="1">
        <v>46129</v>
      </c>
      <c r="D1637">
        <v>87.656319999999994</v>
      </c>
      <c r="E1637">
        <v>193.31753633</v>
      </c>
      <c r="F1637">
        <v>192.42568896</v>
      </c>
      <c r="G1637">
        <v>193.31753633</v>
      </c>
    </row>
    <row r="1638" spans="1:7" x14ac:dyDescent="0.25">
      <c r="A1638" s="2">
        <v>1636</v>
      </c>
      <c r="B1638" t="s">
        <v>609</v>
      </c>
      <c r="C1638" s="1">
        <v>46129</v>
      </c>
      <c r="D1638">
        <v>98.39085</v>
      </c>
      <c r="E1638">
        <v>136.11213057000001</v>
      </c>
      <c r="F1638">
        <v>136.89197473999999</v>
      </c>
      <c r="G1638">
        <v>136.11213057000001</v>
      </c>
    </row>
    <row r="1639" spans="1:7" x14ac:dyDescent="0.25">
      <c r="A1639" s="2">
        <v>1637</v>
      </c>
      <c r="B1639" t="s">
        <v>611</v>
      </c>
      <c r="C1639" s="1">
        <v>46129</v>
      </c>
      <c r="D1639">
        <v>100.0338</v>
      </c>
      <c r="E1639">
        <v>124.417805</v>
      </c>
      <c r="F1639">
        <v>126.85207953</v>
      </c>
      <c r="G1639">
        <v>124.417805</v>
      </c>
    </row>
    <row r="1640" spans="1:7" x14ac:dyDescent="0.25">
      <c r="A1640" s="2">
        <v>1638</v>
      </c>
      <c r="B1640" t="s">
        <v>613</v>
      </c>
      <c r="C1640" s="1">
        <v>46129</v>
      </c>
      <c r="D1640">
        <v>87.807079999999999</v>
      </c>
      <c r="E1640">
        <v>178.23721965999999</v>
      </c>
      <c r="F1640">
        <v>177.61902502000001</v>
      </c>
      <c r="G1640">
        <v>178.23721965999999</v>
      </c>
    </row>
    <row r="1641" spans="1:7" x14ac:dyDescent="0.25">
      <c r="A1641" s="2">
        <v>1639</v>
      </c>
      <c r="B1641" t="s">
        <v>615</v>
      </c>
      <c r="C1641" s="1">
        <v>46129</v>
      </c>
      <c r="D1641">
        <v>100.52970000000001</v>
      </c>
      <c r="E1641">
        <v>111.42524340999999</v>
      </c>
      <c r="F1641">
        <v>112.47306424999999</v>
      </c>
      <c r="G1641">
        <v>111.42524340999999</v>
      </c>
    </row>
    <row r="1642" spans="1:7" x14ac:dyDescent="0.25">
      <c r="A1642" s="2">
        <v>1640</v>
      </c>
      <c r="B1642" t="s">
        <v>617</v>
      </c>
      <c r="C1642" s="1">
        <v>46129</v>
      </c>
      <c r="D1642">
        <v>100.625</v>
      </c>
      <c r="E1642">
        <v>84.001565999999997</v>
      </c>
      <c r="F1642">
        <v>87.492282500000002</v>
      </c>
      <c r="G1642">
        <v>84.001565999999997</v>
      </c>
    </row>
    <row r="1643" spans="1:7" x14ac:dyDescent="0.25">
      <c r="A1643" s="2">
        <v>1641</v>
      </c>
      <c r="B1643" t="s">
        <v>619</v>
      </c>
      <c r="C1643" s="1">
        <v>46129</v>
      </c>
    </row>
    <row r="1644" spans="1:7" x14ac:dyDescent="0.25">
      <c r="A1644" s="2">
        <v>1642</v>
      </c>
      <c r="B1644" t="s">
        <v>621</v>
      </c>
      <c r="C1644" s="1">
        <v>46129</v>
      </c>
      <c r="D1644">
        <v>98.420500000000004</v>
      </c>
      <c r="E1644">
        <v>111.56716018</v>
      </c>
      <c r="F1644">
        <v>112.71879829</v>
      </c>
      <c r="G1644">
        <v>111.56716018</v>
      </c>
    </row>
    <row r="1645" spans="1:7" x14ac:dyDescent="0.25">
      <c r="A1645" s="2">
        <v>1643</v>
      </c>
      <c r="B1645" t="s">
        <v>623</v>
      </c>
      <c r="C1645" s="1">
        <v>46129</v>
      </c>
      <c r="D1645">
        <v>99.660139999999998</v>
      </c>
      <c r="E1645">
        <v>91.319056829999994</v>
      </c>
      <c r="F1645">
        <v>93.340963489999993</v>
      </c>
      <c r="G1645">
        <v>91.319056829999994</v>
      </c>
    </row>
    <row r="1646" spans="1:7" x14ac:dyDescent="0.25">
      <c r="A1646" s="2">
        <v>1644</v>
      </c>
      <c r="B1646" t="s">
        <v>625</v>
      </c>
      <c r="C1646" s="1">
        <v>46129</v>
      </c>
    </row>
    <row r="1647" spans="1:7" x14ac:dyDescent="0.25">
      <c r="A1647" s="2">
        <v>1645</v>
      </c>
      <c r="B1647" t="s">
        <v>627</v>
      </c>
      <c r="C1647" s="1">
        <v>46129</v>
      </c>
    </row>
    <row r="1648" spans="1:7" x14ac:dyDescent="0.25">
      <c r="A1648" s="2">
        <v>1646</v>
      </c>
      <c r="B1648" t="s">
        <v>629</v>
      </c>
      <c r="C1648" s="1">
        <v>46129</v>
      </c>
    </row>
    <row r="1649" spans="1:7" x14ac:dyDescent="0.25">
      <c r="A1649" s="2">
        <v>1647</v>
      </c>
      <c r="B1649" t="s">
        <v>631</v>
      </c>
      <c r="C1649" s="1">
        <v>46129</v>
      </c>
    </row>
    <row r="1650" spans="1:7" x14ac:dyDescent="0.25">
      <c r="A1650" s="2">
        <v>1648</v>
      </c>
      <c r="B1650" t="s">
        <v>633</v>
      </c>
      <c r="C1650" s="1">
        <v>46129</v>
      </c>
      <c r="D1650">
        <v>103.4944</v>
      </c>
      <c r="E1650">
        <v>99.389503559999994</v>
      </c>
      <c r="F1650">
        <v>101.35943283</v>
      </c>
      <c r="G1650">
        <v>99.389503559999994</v>
      </c>
    </row>
    <row r="1651" spans="1:7" x14ac:dyDescent="0.25">
      <c r="A1651" s="2">
        <v>1649</v>
      </c>
      <c r="B1651" t="s">
        <v>635</v>
      </c>
      <c r="C1651" s="1">
        <v>46129</v>
      </c>
      <c r="D1651">
        <v>107.95780000000001</v>
      </c>
      <c r="E1651">
        <v>129.8135461</v>
      </c>
      <c r="F1651">
        <v>130.38611066999999</v>
      </c>
      <c r="G1651">
        <v>129.8135461</v>
      </c>
    </row>
    <row r="1652" spans="1:7" x14ac:dyDescent="0.25">
      <c r="A1652" s="2">
        <v>1650</v>
      </c>
      <c r="B1652" t="s">
        <v>637</v>
      </c>
      <c r="C1652" s="1">
        <v>46129</v>
      </c>
    </row>
    <row r="1653" spans="1:7" x14ac:dyDescent="0.25">
      <c r="A1653" s="2">
        <v>1651</v>
      </c>
      <c r="B1653" t="s">
        <v>639</v>
      </c>
      <c r="C1653" s="1">
        <v>46129</v>
      </c>
    </row>
    <row r="1654" spans="1:7" x14ac:dyDescent="0.25">
      <c r="A1654" s="2">
        <v>1652</v>
      </c>
      <c r="B1654" t="s">
        <v>641</v>
      </c>
      <c r="C1654" s="1">
        <v>46129</v>
      </c>
      <c r="D1654">
        <v>90.774569999999997</v>
      </c>
      <c r="E1654">
        <v>196.18928688</v>
      </c>
      <c r="F1654">
        <v>195.07946082999999</v>
      </c>
      <c r="G1654">
        <v>196.18928688</v>
      </c>
    </row>
    <row r="1655" spans="1:7" x14ac:dyDescent="0.25">
      <c r="A1655" s="2">
        <v>1653</v>
      </c>
      <c r="B1655" t="s">
        <v>643</v>
      </c>
      <c r="C1655" s="1">
        <v>46129</v>
      </c>
      <c r="D1655">
        <v>101.251</v>
      </c>
      <c r="E1655">
        <v>137.24366705</v>
      </c>
      <c r="F1655">
        <v>138.12181957999999</v>
      </c>
      <c r="G1655">
        <v>137.24366705</v>
      </c>
    </row>
    <row r="1656" spans="1:7" x14ac:dyDescent="0.25">
      <c r="A1656" s="2">
        <v>1654</v>
      </c>
      <c r="B1656" t="s">
        <v>645</v>
      </c>
      <c r="C1656" s="1">
        <v>46129</v>
      </c>
      <c r="D1656">
        <v>100.9686</v>
      </c>
      <c r="E1656">
        <v>111.84305506</v>
      </c>
      <c r="F1656">
        <v>113.94822884</v>
      </c>
      <c r="G1656">
        <v>111.84305506</v>
      </c>
    </row>
    <row r="1657" spans="1:7" x14ac:dyDescent="0.25">
      <c r="A1657" s="2">
        <v>1655</v>
      </c>
      <c r="B1657" t="s">
        <v>647</v>
      </c>
      <c r="C1657" s="1">
        <v>46129</v>
      </c>
    </row>
    <row r="1658" spans="1:7" x14ac:dyDescent="0.25">
      <c r="A1658" s="2">
        <v>1656</v>
      </c>
      <c r="B1658" t="s">
        <v>649</v>
      </c>
      <c r="C1658" s="1">
        <v>46129</v>
      </c>
    </row>
    <row r="1659" spans="1:7" x14ac:dyDescent="0.25">
      <c r="A1659" s="2">
        <v>1657</v>
      </c>
      <c r="B1659" t="s">
        <v>651</v>
      </c>
      <c r="C1659" s="1">
        <v>46129</v>
      </c>
      <c r="D1659">
        <v>97.993539999999996</v>
      </c>
      <c r="E1659">
        <v>177.74970005</v>
      </c>
      <c r="F1659">
        <v>176.61772637999999</v>
      </c>
      <c r="G1659">
        <v>177.74970005</v>
      </c>
    </row>
    <row r="1660" spans="1:7" x14ac:dyDescent="0.25">
      <c r="A1660" s="2">
        <v>1658</v>
      </c>
      <c r="B1660" t="s">
        <v>653</v>
      </c>
      <c r="C1660" s="1">
        <v>46129</v>
      </c>
      <c r="D1660">
        <v>101.2428</v>
      </c>
      <c r="E1660">
        <v>111.20425102</v>
      </c>
      <c r="F1660">
        <v>112.22889318</v>
      </c>
      <c r="G1660">
        <v>111.20425102</v>
      </c>
    </row>
    <row r="1661" spans="1:7" x14ac:dyDescent="0.25">
      <c r="A1661" s="2">
        <v>1659</v>
      </c>
      <c r="B1661" t="s">
        <v>655</v>
      </c>
      <c r="C1661" s="1">
        <v>46129</v>
      </c>
      <c r="D1661">
        <v>100.9846</v>
      </c>
      <c r="E1661">
        <v>94.271598620000006</v>
      </c>
      <c r="F1661">
        <v>96.489383009999997</v>
      </c>
      <c r="G1661">
        <v>94.271598620000006</v>
      </c>
    </row>
    <row r="1662" spans="1:7" x14ac:dyDescent="0.25">
      <c r="A1662" s="2">
        <v>1660</v>
      </c>
      <c r="B1662" t="s">
        <v>657</v>
      </c>
      <c r="C1662" s="1">
        <v>46129</v>
      </c>
      <c r="D1662">
        <v>101.7449</v>
      </c>
      <c r="E1662">
        <v>126.56906394000001</v>
      </c>
      <c r="F1662">
        <v>128.15662585999999</v>
      </c>
      <c r="G1662">
        <v>126.56906394000001</v>
      </c>
    </row>
    <row r="1663" spans="1:7" x14ac:dyDescent="0.25">
      <c r="A1663" s="2">
        <v>1661</v>
      </c>
      <c r="B1663" t="s">
        <v>659</v>
      </c>
      <c r="C1663" s="1">
        <v>46129</v>
      </c>
    </row>
    <row r="1664" spans="1:7" x14ac:dyDescent="0.25">
      <c r="A1664" s="2">
        <v>1662</v>
      </c>
      <c r="B1664" t="s">
        <v>661</v>
      </c>
      <c r="C1664" s="1">
        <v>46129</v>
      </c>
    </row>
    <row r="1665" spans="1:7" x14ac:dyDescent="0.25">
      <c r="A1665" s="2">
        <v>1663</v>
      </c>
      <c r="B1665" t="s">
        <v>663</v>
      </c>
      <c r="C1665" s="1">
        <v>46129</v>
      </c>
      <c r="D1665">
        <v>97.130229999999997</v>
      </c>
      <c r="E1665">
        <v>155.24592489</v>
      </c>
      <c r="F1665">
        <v>154.18561775000001</v>
      </c>
      <c r="G1665">
        <v>155.24592489</v>
      </c>
    </row>
    <row r="1666" spans="1:7" x14ac:dyDescent="0.25">
      <c r="A1666" s="2">
        <v>1664</v>
      </c>
      <c r="B1666" t="s">
        <v>665</v>
      </c>
      <c r="C1666" s="1">
        <v>46129</v>
      </c>
      <c r="D1666">
        <v>100.87009999999999</v>
      </c>
      <c r="E1666">
        <v>94.387615429999997</v>
      </c>
      <c r="F1666">
        <v>96.582872839999993</v>
      </c>
      <c r="G1666">
        <v>94.387615429999997</v>
      </c>
    </row>
    <row r="1667" spans="1:7" x14ac:dyDescent="0.25">
      <c r="A1667" s="2">
        <v>1665</v>
      </c>
      <c r="B1667" t="s">
        <v>667</v>
      </c>
      <c r="C1667" s="1">
        <v>46129</v>
      </c>
      <c r="D1667">
        <v>102.5145</v>
      </c>
      <c r="E1667">
        <v>113.80792433000001</v>
      </c>
      <c r="F1667">
        <v>114.51434852</v>
      </c>
      <c r="G1667">
        <v>113.80792433000001</v>
      </c>
    </row>
    <row r="1668" spans="1:7" x14ac:dyDescent="0.25">
      <c r="A1668" s="2">
        <v>1666</v>
      </c>
      <c r="B1668" t="s">
        <v>669</v>
      </c>
      <c r="C1668" s="1">
        <v>46129</v>
      </c>
      <c r="D1668">
        <v>102.6407</v>
      </c>
      <c r="E1668">
        <v>100.7162814</v>
      </c>
      <c r="F1668">
        <v>102.65831605</v>
      </c>
      <c r="G1668">
        <v>100.7162814</v>
      </c>
    </row>
    <row r="1669" spans="1:7" x14ac:dyDescent="0.25">
      <c r="A1669" s="2">
        <v>1667</v>
      </c>
      <c r="B1669" t="s">
        <v>671</v>
      </c>
      <c r="C1669" s="1">
        <v>46129</v>
      </c>
      <c r="D1669">
        <v>100.9853</v>
      </c>
      <c r="E1669">
        <v>65.296653660000004</v>
      </c>
      <c r="F1669">
        <v>68.386253199999999</v>
      </c>
      <c r="G1669">
        <v>65.296653660000004</v>
      </c>
    </row>
    <row r="1670" spans="1:7" x14ac:dyDescent="0.25">
      <c r="A1670" s="2">
        <v>1668</v>
      </c>
      <c r="B1670" t="s">
        <v>673</v>
      </c>
      <c r="C1670" s="1">
        <v>46129</v>
      </c>
    </row>
    <row r="1671" spans="1:7" x14ac:dyDescent="0.25">
      <c r="A1671" s="2">
        <v>1669</v>
      </c>
      <c r="B1671" t="s">
        <v>675</v>
      </c>
      <c r="C1671" s="1">
        <v>46129</v>
      </c>
      <c r="D1671">
        <v>99.959890000000001</v>
      </c>
      <c r="E1671">
        <v>80.943539439999995</v>
      </c>
      <c r="F1671">
        <v>85.080032799999998</v>
      </c>
      <c r="G1671">
        <v>80.943539439999995</v>
      </c>
    </row>
    <row r="1672" spans="1:7" x14ac:dyDescent="0.25">
      <c r="A1672" s="2">
        <v>1670</v>
      </c>
      <c r="B1672" t="s">
        <v>677</v>
      </c>
      <c r="C1672" s="1">
        <v>46129</v>
      </c>
      <c r="D1672">
        <v>103.714</v>
      </c>
      <c r="E1672">
        <v>135.39832845999999</v>
      </c>
      <c r="F1672">
        <v>135.89641305000001</v>
      </c>
      <c r="G1672">
        <v>135.39832845999999</v>
      </c>
    </row>
    <row r="1673" spans="1:7" x14ac:dyDescent="0.25">
      <c r="A1673" s="2">
        <v>1671</v>
      </c>
      <c r="B1673" t="s">
        <v>679</v>
      </c>
      <c r="C1673" s="1">
        <v>46129</v>
      </c>
      <c r="D1673">
        <v>102.03270000000001</v>
      </c>
      <c r="E1673">
        <v>111.58305391</v>
      </c>
      <c r="F1673">
        <v>113.61121708</v>
      </c>
      <c r="G1673">
        <v>111.58305391</v>
      </c>
    </row>
    <row r="1674" spans="1:7" x14ac:dyDescent="0.25">
      <c r="A1674" s="2">
        <v>1672</v>
      </c>
      <c r="B1674" t="s">
        <v>681</v>
      </c>
      <c r="C1674" s="1">
        <v>46129</v>
      </c>
      <c r="D1674">
        <v>104.88809999999999</v>
      </c>
      <c r="E1674">
        <v>117.69857241</v>
      </c>
      <c r="F1674">
        <v>118.08306277</v>
      </c>
      <c r="G1674">
        <v>117.69857241</v>
      </c>
    </row>
    <row r="1675" spans="1:7" x14ac:dyDescent="0.25">
      <c r="A1675" s="2">
        <v>1673</v>
      </c>
      <c r="B1675" t="s">
        <v>683</v>
      </c>
      <c r="C1675" s="1">
        <v>46129</v>
      </c>
      <c r="D1675">
        <v>103.4341</v>
      </c>
      <c r="E1675">
        <v>99.527897300000006</v>
      </c>
      <c r="F1675">
        <v>101.38931297000001</v>
      </c>
      <c r="G1675">
        <v>99.527897300000006</v>
      </c>
    </row>
    <row r="1676" spans="1:7" x14ac:dyDescent="0.25">
      <c r="A1676" s="2">
        <v>1674</v>
      </c>
      <c r="B1676" t="s">
        <v>685</v>
      </c>
      <c r="C1676" s="1">
        <v>46129</v>
      </c>
      <c r="D1676">
        <v>101.396</v>
      </c>
      <c r="E1676">
        <v>72.966306009999997</v>
      </c>
      <c r="F1676">
        <v>76.556692069999997</v>
      </c>
      <c r="G1676">
        <v>72.966306009999997</v>
      </c>
    </row>
    <row r="1677" spans="1:7" x14ac:dyDescent="0.25">
      <c r="A1677" s="2">
        <v>1675</v>
      </c>
      <c r="B1677" t="s">
        <v>687</v>
      </c>
      <c r="C1677" s="1">
        <v>46129</v>
      </c>
      <c r="D1677">
        <v>97.352000000000004</v>
      </c>
      <c r="E1677">
        <v>101.94031154</v>
      </c>
      <c r="F1677">
        <v>104.99319774999999</v>
      </c>
      <c r="G1677">
        <v>101.94031154</v>
      </c>
    </row>
    <row r="1678" spans="1:7" x14ac:dyDescent="0.25">
      <c r="A1678" s="2">
        <v>1676</v>
      </c>
      <c r="B1678" t="s">
        <v>689</v>
      </c>
      <c r="C1678" s="1">
        <v>46129</v>
      </c>
      <c r="D1678">
        <v>98.893000000000001</v>
      </c>
      <c r="E1678">
        <v>80.858853890000006</v>
      </c>
      <c r="F1678">
        <v>84.400771309999996</v>
      </c>
      <c r="G1678">
        <v>80.858853890000006</v>
      </c>
    </row>
    <row r="1679" spans="1:7" x14ac:dyDescent="0.25">
      <c r="A1679" s="2">
        <v>1677</v>
      </c>
      <c r="B1679" t="s">
        <v>691</v>
      </c>
      <c r="C1679" s="1">
        <v>46129</v>
      </c>
      <c r="D1679">
        <v>101.3293</v>
      </c>
      <c r="E1679">
        <v>144.94950746999999</v>
      </c>
      <c r="F1679">
        <v>145.42270665000001</v>
      </c>
      <c r="G1679">
        <v>144.94950746999999</v>
      </c>
    </row>
    <row r="1680" spans="1:7" x14ac:dyDescent="0.25">
      <c r="A1680" s="2">
        <v>1678</v>
      </c>
      <c r="B1680" t="s">
        <v>693</v>
      </c>
      <c r="C1680" s="1">
        <v>46129</v>
      </c>
      <c r="D1680">
        <v>100.509</v>
      </c>
      <c r="E1680">
        <v>110.19603299000001</v>
      </c>
      <c r="F1680">
        <v>113.68174076</v>
      </c>
      <c r="G1680">
        <v>110.19603299000001</v>
      </c>
    </row>
    <row r="1681" spans="1:7" x14ac:dyDescent="0.25">
      <c r="A1681" s="2">
        <v>1679</v>
      </c>
      <c r="B1681" t="s">
        <v>695</v>
      </c>
      <c r="C1681" s="1">
        <v>46129</v>
      </c>
      <c r="E1681">
        <v>1945.2281575899999</v>
      </c>
      <c r="F1681">
        <v>1947.5074291999999</v>
      </c>
      <c r="G1681">
        <v>1945.2281575899999</v>
      </c>
    </row>
    <row r="1682" spans="1:7" x14ac:dyDescent="0.25">
      <c r="A1682" s="2">
        <v>1680</v>
      </c>
      <c r="B1682" t="s">
        <v>697</v>
      </c>
      <c r="C1682" s="1">
        <v>46129</v>
      </c>
    </row>
    <row r="1683" spans="1:7" x14ac:dyDescent="0.25">
      <c r="A1683" s="2">
        <v>1681</v>
      </c>
      <c r="B1683" t="s">
        <v>699</v>
      </c>
      <c r="C1683" s="1">
        <v>46129</v>
      </c>
    </row>
    <row r="1684" spans="1:7" x14ac:dyDescent="0.25">
      <c r="A1684" s="2">
        <v>1682</v>
      </c>
      <c r="B1684" t="s">
        <v>701</v>
      </c>
      <c r="C1684" s="1">
        <v>46129</v>
      </c>
      <c r="D1684">
        <v>100.12130000000001</v>
      </c>
      <c r="E1684">
        <v>125.31085289000001</v>
      </c>
      <c r="F1684">
        <v>126.69137884</v>
      </c>
      <c r="G1684">
        <v>125.31085289000001</v>
      </c>
    </row>
    <row r="1685" spans="1:7" x14ac:dyDescent="0.25">
      <c r="A1685" s="2">
        <v>1683</v>
      </c>
      <c r="B1685" t="s">
        <v>703</v>
      </c>
      <c r="C1685" s="1">
        <v>46129</v>
      </c>
      <c r="D1685">
        <v>98.991380000000007</v>
      </c>
      <c r="E1685">
        <v>138.21676296000001</v>
      </c>
      <c r="F1685">
        <v>138.64192534</v>
      </c>
      <c r="G1685">
        <v>138.21676296000001</v>
      </c>
    </row>
    <row r="1686" spans="1:7" x14ac:dyDescent="0.25">
      <c r="A1686" s="2">
        <v>1684</v>
      </c>
      <c r="B1686" t="s">
        <v>705</v>
      </c>
      <c r="C1686" s="1">
        <v>46129</v>
      </c>
      <c r="D1686">
        <v>99.199160000000006</v>
      </c>
      <c r="E1686">
        <v>119.30744951</v>
      </c>
      <c r="F1686">
        <v>119.84951192</v>
      </c>
      <c r="G1686">
        <v>119.30744951</v>
      </c>
    </row>
    <row r="1687" spans="1:7" x14ac:dyDescent="0.25">
      <c r="A1687" s="2">
        <v>1685</v>
      </c>
      <c r="B1687" t="s">
        <v>707</v>
      </c>
      <c r="C1687" s="1">
        <v>46129</v>
      </c>
      <c r="D1687">
        <v>98.920940000000002</v>
      </c>
      <c r="E1687">
        <v>100.77449826</v>
      </c>
      <c r="F1687">
        <v>102.63097467999999</v>
      </c>
      <c r="G1687">
        <v>100.77449826</v>
      </c>
    </row>
    <row r="1688" spans="1:7" x14ac:dyDescent="0.25">
      <c r="A1688" s="2">
        <v>1686</v>
      </c>
      <c r="B1688" t="s">
        <v>709</v>
      </c>
      <c r="C1688" s="1">
        <v>46129</v>
      </c>
      <c r="D1688">
        <v>97.488</v>
      </c>
      <c r="E1688">
        <v>101.54222099</v>
      </c>
      <c r="F1688">
        <v>104.92179353</v>
      </c>
      <c r="G1688">
        <v>101.54222099</v>
      </c>
    </row>
    <row r="1689" spans="1:7" x14ac:dyDescent="0.25">
      <c r="A1689" s="2">
        <v>1687</v>
      </c>
      <c r="B1689" t="s">
        <v>711</v>
      </c>
      <c r="C1689" s="1">
        <v>46129</v>
      </c>
      <c r="D1689">
        <v>98.494</v>
      </c>
      <c r="E1689">
        <v>77.127410380000001</v>
      </c>
      <c r="F1689">
        <v>80.231055830000003</v>
      </c>
      <c r="G1689">
        <v>77.127410380000001</v>
      </c>
    </row>
    <row r="1690" spans="1:7" x14ac:dyDescent="0.25">
      <c r="A1690" s="2">
        <v>1688</v>
      </c>
      <c r="B1690" t="s">
        <v>713</v>
      </c>
      <c r="C1690" s="1">
        <v>46129</v>
      </c>
      <c r="D1690">
        <v>97.429659999999998</v>
      </c>
      <c r="E1690">
        <v>144.99377670000001</v>
      </c>
      <c r="F1690">
        <v>145.4620147</v>
      </c>
      <c r="G1690">
        <v>144.99377670000001</v>
      </c>
    </row>
    <row r="1691" spans="1:7" x14ac:dyDescent="0.25">
      <c r="A1691" s="2">
        <v>1689</v>
      </c>
      <c r="B1691" t="s">
        <v>715</v>
      </c>
      <c r="C1691" s="1">
        <v>46129</v>
      </c>
      <c r="D1691">
        <v>99.189639999999997</v>
      </c>
      <c r="E1691">
        <v>114.55436415</v>
      </c>
      <c r="F1691">
        <v>117.06623184</v>
      </c>
      <c r="G1691">
        <v>114.55436415</v>
      </c>
    </row>
    <row r="1692" spans="1:7" x14ac:dyDescent="0.25">
      <c r="A1692" s="2">
        <v>1690</v>
      </c>
      <c r="B1692" t="s">
        <v>717</v>
      </c>
      <c r="C1692" s="1">
        <v>46129</v>
      </c>
      <c r="D1692">
        <v>100.0377</v>
      </c>
      <c r="E1692">
        <v>133.52683102</v>
      </c>
      <c r="F1692">
        <v>133.76550061</v>
      </c>
      <c r="G1692">
        <v>133.52683102</v>
      </c>
    </row>
    <row r="1693" spans="1:7" x14ac:dyDescent="0.25">
      <c r="A1693" s="2">
        <v>1691</v>
      </c>
      <c r="B1693" t="s">
        <v>719</v>
      </c>
      <c r="C1693" s="1">
        <v>46129</v>
      </c>
    </row>
    <row r="1694" spans="1:7" x14ac:dyDescent="0.25">
      <c r="A1694" s="2">
        <v>1692</v>
      </c>
      <c r="B1694" t="s">
        <v>721</v>
      </c>
      <c r="C1694" s="1">
        <v>46129</v>
      </c>
      <c r="D1694">
        <v>83.741550000000004</v>
      </c>
      <c r="E1694">
        <v>174.03776601000001</v>
      </c>
      <c r="F1694">
        <v>173.89849097000001</v>
      </c>
      <c r="G1694">
        <v>174.03776601000001</v>
      </c>
    </row>
    <row r="1695" spans="1:7" x14ac:dyDescent="0.25">
      <c r="A1695" s="2">
        <v>1693</v>
      </c>
      <c r="B1695" t="s">
        <v>723</v>
      </c>
      <c r="C1695" s="1">
        <v>46129</v>
      </c>
      <c r="D1695">
        <v>99.551959999999994</v>
      </c>
      <c r="E1695">
        <v>52.122039100000002</v>
      </c>
      <c r="F1695">
        <v>58.359830479999999</v>
      </c>
      <c r="G1695">
        <v>52.122039100000002</v>
      </c>
    </row>
    <row r="1696" spans="1:7" x14ac:dyDescent="0.25">
      <c r="A1696" s="2">
        <v>1694</v>
      </c>
      <c r="B1696" t="s">
        <v>3668</v>
      </c>
      <c r="C1696" s="1">
        <v>46129</v>
      </c>
    </row>
    <row r="1697" spans="1:7" x14ac:dyDescent="0.25">
      <c r="A1697" s="2">
        <v>1695</v>
      </c>
      <c r="B1697" t="s">
        <v>3670</v>
      </c>
      <c r="C1697" s="1">
        <v>46129</v>
      </c>
    </row>
    <row r="1698" spans="1:7" x14ac:dyDescent="0.25">
      <c r="A1698" s="2">
        <v>1696</v>
      </c>
      <c r="B1698" t="s">
        <v>3164</v>
      </c>
      <c r="C1698" s="1">
        <v>46129</v>
      </c>
    </row>
    <row r="1699" spans="1:7" x14ac:dyDescent="0.25">
      <c r="A1699" s="2">
        <v>1697</v>
      </c>
      <c r="B1699" t="s">
        <v>725</v>
      </c>
      <c r="C1699" s="1">
        <v>46129</v>
      </c>
    </row>
    <row r="1700" spans="1:7" x14ac:dyDescent="0.25">
      <c r="A1700" s="2">
        <v>1698</v>
      </c>
      <c r="B1700" t="s">
        <v>727</v>
      </c>
      <c r="C1700" s="1">
        <v>46129</v>
      </c>
    </row>
    <row r="1701" spans="1:7" x14ac:dyDescent="0.25">
      <c r="A1701" s="2">
        <v>1699</v>
      </c>
      <c r="B1701" t="s">
        <v>729</v>
      </c>
      <c r="C1701" s="1">
        <v>46129</v>
      </c>
    </row>
    <row r="1702" spans="1:7" x14ac:dyDescent="0.25">
      <c r="A1702" s="2">
        <v>1700</v>
      </c>
      <c r="B1702" t="s">
        <v>731</v>
      </c>
      <c r="C1702" s="1">
        <v>46129</v>
      </c>
      <c r="D1702">
        <v>98.234499999999997</v>
      </c>
      <c r="E1702">
        <v>189.91746026999999</v>
      </c>
      <c r="F1702">
        <v>188.75577602999999</v>
      </c>
      <c r="G1702">
        <v>189.91746026999999</v>
      </c>
    </row>
    <row r="1703" spans="1:7" x14ac:dyDescent="0.25">
      <c r="A1703" s="2">
        <v>1701</v>
      </c>
      <c r="B1703" t="s">
        <v>733</v>
      </c>
      <c r="C1703" s="1">
        <v>46129</v>
      </c>
      <c r="D1703">
        <v>99.24297</v>
      </c>
      <c r="E1703">
        <v>117.16943889</v>
      </c>
      <c r="F1703">
        <v>117.64533738</v>
      </c>
      <c r="G1703">
        <v>117.16943889</v>
      </c>
    </row>
    <row r="1704" spans="1:7" x14ac:dyDescent="0.25">
      <c r="A1704" s="2">
        <v>1702</v>
      </c>
      <c r="B1704" t="s">
        <v>735</v>
      </c>
      <c r="C1704" s="1">
        <v>46129</v>
      </c>
      <c r="D1704">
        <v>99.189549999999997</v>
      </c>
      <c r="E1704">
        <v>102.92765932</v>
      </c>
      <c r="F1704">
        <v>104.80821064</v>
      </c>
      <c r="G1704">
        <v>102.92765932</v>
      </c>
    </row>
    <row r="1705" spans="1:7" x14ac:dyDescent="0.25">
      <c r="A1705" s="2">
        <v>1703</v>
      </c>
      <c r="B1705" t="s">
        <v>737</v>
      </c>
      <c r="C1705" s="1">
        <v>46129</v>
      </c>
      <c r="D1705">
        <v>99.229640000000003</v>
      </c>
      <c r="E1705">
        <v>88.612803369999995</v>
      </c>
      <c r="F1705">
        <v>90.995130590000002</v>
      </c>
      <c r="G1705">
        <v>88.612803369999995</v>
      </c>
    </row>
    <row r="1706" spans="1:7" x14ac:dyDescent="0.25">
      <c r="A1706" s="2">
        <v>1704</v>
      </c>
      <c r="B1706" t="s">
        <v>739</v>
      </c>
      <c r="C1706" s="1">
        <v>46129</v>
      </c>
      <c r="D1706">
        <v>65.25</v>
      </c>
      <c r="E1706">
        <v>1821.7979728299999</v>
      </c>
      <c r="F1706">
        <v>1824.3123609899999</v>
      </c>
      <c r="G1706">
        <v>1821.7979728299999</v>
      </c>
    </row>
    <row r="1707" spans="1:7" x14ac:dyDescent="0.25">
      <c r="A1707" s="2">
        <v>1705</v>
      </c>
      <c r="B1707" t="s">
        <v>741</v>
      </c>
      <c r="C1707" s="1">
        <v>46129</v>
      </c>
      <c r="D1707">
        <v>98.579560000000001</v>
      </c>
      <c r="E1707">
        <v>155.49825078999999</v>
      </c>
      <c r="F1707">
        <v>157.33197290000001</v>
      </c>
      <c r="G1707">
        <v>155.49825078999999</v>
      </c>
    </row>
    <row r="1708" spans="1:7" x14ac:dyDescent="0.25">
      <c r="A1708" s="2">
        <v>1706</v>
      </c>
      <c r="B1708" t="s">
        <v>743</v>
      </c>
      <c r="C1708" s="1">
        <v>46129</v>
      </c>
      <c r="D1708">
        <v>104.5119</v>
      </c>
      <c r="E1708">
        <v>104.5150002</v>
      </c>
      <c r="F1708">
        <v>105.69227775</v>
      </c>
      <c r="G1708">
        <v>104.5150002</v>
      </c>
    </row>
    <row r="1709" spans="1:7" x14ac:dyDescent="0.25">
      <c r="A1709" s="2">
        <v>1707</v>
      </c>
      <c r="B1709" t="s">
        <v>745</v>
      </c>
      <c r="C1709" s="1">
        <v>46129</v>
      </c>
      <c r="D1709">
        <v>101.81699999999999</v>
      </c>
      <c r="E1709">
        <v>92.038521470000006</v>
      </c>
      <c r="F1709">
        <v>93.95488589</v>
      </c>
      <c r="G1709">
        <v>92.038521470000006</v>
      </c>
    </row>
    <row r="1710" spans="1:7" x14ac:dyDescent="0.25">
      <c r="A1710" s="2">
        <v>1708</v>
      </c>
      <c r="B1710" t="s">
        <v>747</v>
      </c>
      <c r="C1710" s="1">
        <v>46129</v>
      </c>
      <c r="D1710">
        <v>84.987129999999993</v>
      </c>
      <c r="E1710">
        <v>242.36839190000001</v>
      </c>
      <c r="F1710">
        <v>242.74437932999999</v>
      </c>
      <c r="G1710">
        <v>242.36839190000001</v>
      </c>
    </row>
    <row r="1711" spans="1:7" x14ac:dyDescent="0.25">
      <c r="A1711" s="2">
        <v>1709</v>
      </c>
      <c r="B1711" t="s">
        <v>749</v>
      </c>
      <c r="C1711" s="1">
        <v>46129</v>
      </c>
      <c r="D1711">
        <v>101.8262</v>
      </c>
      <c r="E1711">
        <v>129.73952883000001</v>
      </c>
      <c r="F1711">
        <v>130.98851719999999</v>
      </c>
      <c r="G1711">
        <v>129.73952883000001</v>
      </c>
    </row>
    <row r="1712" spans="1:7" x14ac:dyDescent="0.25">
      <c r="A1712" s="2">
        <v>1710</v>
      </c>
      <c r="B1712" t="s">
        <v>751</v>
      </c>
      <c r="C1712" s="1">
        <v>46129</v>
      </c>
      <c r="D1712">
        <v>100.7032</v>
      </c>
      <c r="E1712">
        <v>91.932652829999995</v>
      </c>
      <c r="F1712">
        <v>96.071719310000006</v>
      </c>
      <c r="G1712">
        <v>91.932652829999995</v>
      </c>
    </row>
    <row r="1713" spans="1:7" x14ac:dyDescent="0.25">
      <c r="A1713" s="2">
        <v>1711</v>
      </c>
      <c r="B1713" t="s">
        <v>753</v>
      </c>
      <c r="C1713" s="1">
        <v>46129</v>
      </c>
    </row>
    <row r="1714" spans="1:7" x14ac:dyDescent="0.25">
      <c r="A1714" s="2">
        <v>1712</v>
      </c>
      <c r="B1714" t="s">
        <v>755</v>
      </c>
      <c r="C1714" s="1">
        <v>46129</v>
      </c>
    </row>
    <row r="1715" spans="1:7" x14ac:dyDescent="0.25">
      <c r="A1715" s="2">
        <v>1713</v>
      </c>
      <c r="B1715" t="s">
        <v>757</v>
      </c>
      <c r="C1715" s="1">
        <v>46129</v>
      </c>
    </row>
    <row r="1716" spans="1:7" x14ac:dyDescent="0.25">
      <c r="A1716" s="2">
        <v>1714</v>
      </c>
      <c r="B1716" t="s">
        <v>759</v>
      </c>
      <c r="C1716" s="1">
        <v>46129</v>
      </c>
    </row>
    <row r="1717" spans="1:7" x14ac:dyDescent="0.25">
      <c r="A1717" s="2">
        <v>1715</v>
      </c>
      <c r="B1717" t="s">
        <v>761</v>
      </c>
      <c r="C1717" s="1">
        <v>46129</v>
      </c>
    </row>
    <row r="1718" spans="1:7" x14ac:dyDescent="0.25">
      <c r="A1718" s="2">
        <v>1716</v>
      </c>
      <c r="B1718" t="s">
        <v>763</v>
      </c>
      <c r="C1718" s="1">
        <v>46129</v>
      </c>
    </row>
    <row r="1719" spans="1:7" x14ac:dyDescent="0.25">
      <c r="A1719" s="2">
        <v>1717</v>
      </c>
      <c r="B1719" t="s">
        <v>765</v>
      </c>
      <c r="C1719" s="1">
        <v>46129</v>
      </c>
    </row>
    <row r="1720" spans="1:7" x14ac:dyDescent="0.25">
      <c r="A1720" s="2">
        <v>1718</v>
      </c>
      <c r="B1720" t="s">
        <v>767</v>
      </c>
      <c r="C1720" s="1">
        <v>46129</v>
      </c>
    </row>
    <row r="1721" spans="1:7" x14ac:dyDescent="0.25">
      <c r="A1721" s="2">
        <v>1719</v>
      </c>
      <c r="B1721" t="s">
        <v>769</v>
      </c>
      <c r="C1721" s="1">
        <v>46129</v>
      </c>
    </row>
    <row r="1722" spans="1:7" x14ac:dyDescent="0.25">
      <c r="A1722" s="2">
        <v>1720</v>
      </c>
      <c r="B1722" t="s">
        <v>771</v>
      </c>
      <c r="C1722" s="1">
        <v>46129</v>
      </c>
    </row>
    <row r="1723" spans="1:7" x14ac:dyDescent="0.25">
      <c r="A1723" s="2">
        <v>1721</v>
      </c>
      <c r="B1723" t="s">
        <v>773</v>
      </c>
      <c r="C1723" s="1">
        <v>46129</v>
      </c>
    </row>
    <row r="1724" spans="1:7" x14ac:dyDescent="0.25">
      <c r="A1724" s="2">
        <v>1722</v>
      </c>
      <c r="B1724" t="s">
        <v>775</v>
      </c>
      <c r="C1724" s="1">
        <v>46129</v>
      </c>
      <c r="D1724">
        <v>95.976609999999994</v>
      </c>
      <c r="E1724">
        <v>430.21512171000001</v>
      </c>
      <c r="F1724">
        <v>435.77716657000002</v>
      </c>
      <c r="G1724">
        <v>430.21512171000001</v>
      </c>
    </row>
    <row r="1725" spans="1:7" x14ac:dyDescent="0.25">
      <c r="A1725" s="2">
        <v>1723</v>
      </c>
      <c r="B1725" t="s">
        <v>777</v>
      </c>
      <c r="C1725" s="1">
        <v>46129</v>
      </c>
      <c r="D1725">
        <v>65.445250000000001</v>
      </c>
      <c r="E1725">
        <v>171.99569357999999</v>
      </c>
      <c r="F1725">
        <v>173.58348985000001</v>
      </c>
      <c r="G1725">
        <v>171.99569357999999</v>
      </c>
    </row>
    <row r="1726" spans="1:7" x14ac:dyDescent="0.25">
      <c r="A1726" s="2">
        <v>1724</v>
      </c>
      <c r="B1726" t="s">
        <v>779</v>
      </c>
      <c r="C1726" s="1">
        <v>46129</v>
      </c>
      <c r="D1726">
        <v>89.348860000000002</v>
      </c>
      <c r="E1726">
        <v>109.59752933999999</v>
      </c>
      <c r="F1726">
        <v>111.20159466</v>
      </c>
      <c r="G1726">
        <v>109.59752933999999</v>
      </c>
    </row>
    <row r="1727" spans="1:7" x14ac:dyDescent="0.25">
      <c r="A1727" s="2">
        <v>1725</v>
      </c>
      <c r="B1727" t="s">
        <v>781</v>
      </c>
      <c r="C1727" s="1">
        <v>46129</v>
      </c>
    </row>
    <row r="1728" spans="1:7" x14ac:dyDescent="0.25">
      <c r="A1728" s="2">
        <v>1726</v>
      </c>
      <c r="B1728" t="s">
        <v>783</v>
      </c>
      <c r="C1728" s="1">
        <v>46129</v>
      </c>
    </row>
    <row r="1729" spans="1:7" x14ac:dyDescent="0.25">
      <c r="A1729" s="2">
        <v>1727</v>
      </c>
      <c r="B1729" t="s">
        <v>785</v>
      </c>
      <c r="C1729" s="1">
        <v>46129</v>
      </c>
    </row>
    <row r="1730" spans="1:7" x14ac:dyDescent="0.25">
      <c r="A1730" s="2">
        <v>1728</v>
      </c>
      <c r="B1730" t="s">
        <v>787</v>
      </c>
      <c r="C1730" s="1">
        <v>46129</v>
      </c>
    </row>
    <row r="1731" spans="1:7" x14ac:dyDescent="0.25">
      <c r="A1731" s="2">
        <v>1729</v>
      </c>
      <c r="B1731" t="s">
        <v>789</v>
      </c>
      <c r="C1731" s="1">
        <v>46129</v>
      </c>
    </row>
    <row r="1732" spans="1:7" x14ac:dyDescent="0.25">
      <c r="A1732" s="2">
        <v>1730</v>
      </c>
      <c r="B1732" t="s">
        <v>791</v>
      </c>
      <c r="C1732" s="1">
        <v>46129</v>
      </c>
    </row>
    <row r="1733" spans="1:7" x14ac:dyDescent="0.25">
      <c r="A1733" s="2">
        <v>1731</v>
      </c>
      <c r="B1733" t="s">
        <v>793</v>
      </c>
      <c r="C1733" s="1">
        <v>46129</v>
      </c>
    </row>
    <row r="1734" spans="1:7" x14ac:dyDescent="0.25">
      <c r="A1734" s="2">
        <v>1732</v>
      </c>
      <c r="B1734" t="s">
        <v>795</v>
      </c>
      <c r="C1734" s="1">
        <v>46129</v>
      </c>
    </row>
    <row r="1735" spans="1:7" x14ac:dyDescent="0.25">
      <c r="A1735" s="2">
        <v>1733</v>
      </c>
      <c r="B1735" t="s">
        <v>797</v>
      </c>
      <c r="C1735" s="1">
        <v>46129</v>
      </c>
    </row>
    <row r="1736" spans="1:7" x14ac:dyDescent="0.25">
      <c r="A1736" s="2">
        <v>1734</v>
      </c>
      <c r="B1736" t="s">
        <v>799</v>
      </c>
      <c r="C1736" s="1">
        <v>46129</v>
      </c>
    </row>
    <row r="1737" spans="1:7" x14ac:dyDescent="0.25">
      <c r="A1737" s="2">
        <v>1735</v>
      </c>
      <c r="B1737" t="s">
        <v>801</v>
      </c>
      <c r="C1737" s="1">
        <v>46129</v>
      </c>
      <c r="D1737">
        <v>91.311999999999998</v>
      </c>
      <c r="E1737">
        <v>38.900573430000001</v>
      </c>
      <c r="F1737">
        <v>42.76221134</v>
      </c>
      <c r="G1737">
        <v>38.900573430000001</v>
      </c>
    </row>
    <row r="1738" spans="1:7" x14ac:dyDescent="0.25">
      <c r="A1738" s="2">
        <v>1736</v>
      </c>
      <c r="B1738" t="s">
        <v>803</v>
      </c>
      <c r="C1738" s="1">
        <v>46129</v>
      </c>
      <c r="D1738">
        <v>64.33202</v>
      </c>
      <c r="E1738">
        <v>178.17047778</v>
      </c>
      <c r="F1738">
        <v>180.02424217000001</v>
      </c>
      <c r="G1738">
        <v>178.17047778</v>
      </c>
    </row>
    <row r="1739" spans="1:7" x14ac:dyDescent="0.25">
      <c r="A1739" s="2">
        <v>1737</v>
      </c>
      <c r="B1739" t="s">
        <v>805</v>
      </c>
      <c r="C1739" s="1">
        <v>46129</v>
      </c>
      <c r="D1739">
        <v>85.776120000000006</v>
      </c>
      <c r="E1739">
        <v>107.25786524</v>
      </c>
      <c r="F1739">
        <v>109.45624961999999</v>
      </c>
      <c r="G1739">
        <v>107.25786524</v>
      </c>
    </row>
    <row r="1740" spans="1:7" x14ac:dyDescent="0.25">
      <c r="A1740" s="2">
        <v>1738</v>
      </c>
      <c r="B1740" t="s">
        <v>807</v>
      </c>
      <c r="C1740" s="1">
        <v>46129</v>
      </c>
    </row>
    <row r="1741" spans="1:7" x14ac:dyDescent="0.25">
      <c r="A1741" s="2">
        <v>1739</v>
      </c>
      <c r="B1741" t="s">
        <v>809</v>
      </c>
      <c r="C1741" s="1">
        <v>46129</v>
      </c>
    </row>
    <row r="1742" spans="1:7" x14ac:dyDescent="0.25">
      <c r="A1742" s="2">
        <v>1740</v>
      </c>
      <c r="B1742" t="s">
        <v>811</v>
      </c>
      <c r="C1742" s="1">
        <v>46129</v>
      </c>
    </row>
    <row r="1743" spans="1:7" x14ac:dyDescent="0.25">
      <c r="A1743" s="2">
        <v>1741</v>
      </c>
      <c r="B1743" t="s">
        <v>813</v>
      </c>
      <c r="C1743" s="1">
        <v>46129</v>
      </c>
    </row>
    <row r="1744" spans="1:7" x14ac:dyDescent="0.25">
      <c r="A1744" s="2">
        <v>1742</v>
      </c>
      <c r="B1744" t="s">
        <v>815</v>
      </c>
      <c r="C1744" s="1">
        <v>46129</v>
      </c>
    </row>
    <row r="1745" spans="1:7" x14ac:dyDescent="0.25">
      <c r="A1745" s="2">
        <v>1743</v>
      </c>
      <c r="B1745" t="s">
        <v>817</v>
      </c>
      <c r="C1745" s="1">
        <v>46129</v>
      </c>
    </row>
    <row r="1746" spans="1:7" x14ac:dyDescent="0.25">
      <c r="A1746" s="2">
        <v>1744</v>
      </c>
      <c r="B1746" t="s">
        <v>819</v>
      </c>
      <c r="C1746" s="1">
        <v>46129</v>
      </c>
      <c r="D1746">
        <v>94.826530000000005</v>
      </c>
      <c r="E1746">
        <v>101.14795162999999</v>
      </c>
      <c r="F1746">
        <v>102.8356955</v>
      </c>
      <c r="G1746">
        <v>101.14795162999999</v>
      </c>
    </row>
    <row r="1747" spans="1:7" x14ac:dyDescent="0.25">
      <c r="A1747" s="2">
        <v>1745</v>
      </c>
      <c r="B1747" t="s">
        <v>821</v>
      </c>
      <c r="C1747" s="1">
        <v>46129</v>
      </c>
      <c r="D1747">
        <v>79.369259999999997</v>
      </c>
      <c r="E1747">
        <v>181.72920518000001</v>
      </c>
      <c r="F1747">
        <v>183.06788225</v>
      </c>
      <c r="G1747">
        <v>181.72920518000001</v>
      </c>
    </row>
    <row r="1748" spans="1:7" x14ac:dyDescent="0.25">
      <c r="A1748" s="2">
        <v>1746</v>
      </c>
      <c r="B1748" t="s">
        <v>823</v>
      </c>
      <c r="C1748" s="1">
        <v>46129</v>
      </c>
    </row>
    <row r="1749" spans="1:7" x14ac:dyDescent="0.25">
      <c r="A1749" s="2">
        <v>1747</v>
      </c>
      <c r="B1749" t="s">
        <v>825</v>
      </c>
      <c r="C1749" s="1">
        <v>46129</v>
      </c>
    </row>
    <row r="1750" spans="1:7" x14ac:dyDescent="0.25">
      <c r="A1750" s="2">
        <v>1748</v>
      </c>
      <c r="B1750" t="s">
        <v>827</v>
      </c>
      <c r="C1750" s="1">
        <v>46129</v>
      </c>
      <c r="D1750">
        <v>77.481999999999999</v>
      </c>
      <c r="E1750">
        <v>114.10973401</v>
      </c>
      <c r="F1750">
        <v>119.89085827</v>
      </c>
      <c r="G1750">
        <v>114.10973401</v>
      </c>
    </row>
    <row r="1751" spans="1:7" x14ac:dyDescent="0.25">
      <c r="A1751" s="2">
        <v>1749</v>
      </c>
      <c r="B1751" t="s">
        <v>829</v>
      </c>
      <c r="C1751" s="1">
        <v>46129</v>
      </c>
      <c r="D1751">
        <v>97.533000000000001</v>
      </c>
      <c r="E1751">
        <v>39.840665080000001</v>
      </c>
      <c r="F1751">
        <v>42.314243089999998</v>
      </c>
      <c r="G1751">
        <v>39.840665080000001</v>
      </c>
    </row>
    <row r="1752" spans="1:7" x14ac:dyDescent="0.25">
      <c r="A1752" s="2">
        <v>1750</v>
      </c>
      <c r="B1752" t="s">
        <v>831</v>
      </c>
      <c r="C1752" s="1">
        <v>46129</v>
      </c>
    </row>
    <row r="1753" spans="1:7" x14ac:dyDescent="0.25">
      <c r="A1753" s="2">
        <v>1751</v>
      </c>
      <c r="B1753" t="s">
        <v>833</v>
      </c>
      <c r="C1753" s="1">
        <v>46129</v>
      </c>
    </row>
    <row r="1754" spans="1:7" x14ac:dyDescent="0.25">
      <c r="A1754" s="2">
        <v>1752</v>
      </c>
      <c r="B1754" t="s">
        <v>835</v>
      </c>
      <c r="C1754" s="1">
        <v>46129</v>
      </c>
    </row>
    <row r="1755" spans="1:7" x14ac:dyDescent="0.25">
      <c r="A1755" s="2">
        <v>1753</v>
      </c>
      <c r="B1755" t="s">
        <v>837</v>
      </c>
      <c r="C1755" s="1">
        <v>46129</v>
      </c>
      <c r="D1755">
        <v>99.820319999999995</v>
      </c>
      <c r="E1755">
        <v>90.080030260000001</v>
      </c>
      <c r="F1755">
        <v>92.436939859999995</v>
      </c>
      <c r="G1755">
        <v>90.080030260000001</v>
      </c>
    </row>
    <row r="1756" spans="1:7" x14ac:dyDescent="0.25">
      <c r="A1756" s="2">
        <v>1754</v>
      </c>
      <c r="B1756" t="s">
        <v>839</v>
      </c>
      <c r="C1756" s="1">
        <v>46129</v>
      </c>
      <c r="D1756">
        <v>92.33717</v>
      </c>
      <c r="E1756">
        <v>171.50289394000001</v>
      </c>
      <c r="F1756">
        <v>170.4346123</v>
      </c>
      <c r="G1756">
        <v>171.50289394000001</v>
      </c>
    </row>
    <row r="1757" spans="1:7" x14ac:dyDescent="0.25">
      <c r="A1757" s="2">
        <v>1755</v>
      </c>
      <c r="B1757" t="s">
        <v>841</v>
      </c>
      <c r="C1757" s="1">
        <v>46129</v>
      </c>
    </row>
    <row r="1758" spans="1:7" x14ac:dyDescent="0.25">
      <c r="A1758" s="2">
        <v>1756</v>
      </c>
      <c r="B1758" t="s">
        <v>843</v>
      </c>
      <c r="C1758" s="1">
        <v>46129</v>
      </c>
      <c r="D1758">
        <v>99.689830000000001</v>
      </c>
      <c r="E1758">
        <v>95.282813669999996</v>
      </c>
      <c r="F1758">
        <v>97.673325219999995</v>
      </c>
      <c r="G1758">
        <v>95.282813669999996</v>
      </c>
    </row>
    <row r="1759" spans="1:7" x14ac:dyDescent="0.25">
      <c r="A1759" s="2">
        <v>1757</v>
      </c>
      <c r="B1759" t="s">
        <v>845</v>
      </c>
      <c r="C1759" s="1">
        <v>46129</v>
      </c>
    </row>
    <row r="1760" spans="1:7" x14ac:dyDescent="0.25">
      <c r="A1760" s="2">
        <v>1758</v>
      </c>
      <c r="B1760" t="s">
        <v>847</v>
      </c>
      <c r="C1760" s="1">
        <v>46129</v>
      </c>
    </row>
    <row r="1761" spans="1:7" x14ac:dyDescent="0.25">
      <c r="A1761" s="2">
        <v>1759</v>
      </c>
      <c r="B1761" t="s">
        <v>849</v>
      </c>
      <c r="C1761" s="1">
        <v>46129</v>
      </c>
      <c r="D1761">
        <v>88.926119999999997</v>
      </c>
      <c r="E1761">
        <v>174.11204599000001</v>
      </c>
      <c r="F1761">
        <v>173.46989687000001</v>
      </c>
      <c r="G1761">
        <v>174.11204599000001</v>
      </c>
    </row>
    <row r="1762" spans="1:7" x14ac:dyDescent="0.25">
      <c r="A1762" s="2">
        <v>1760</v>
      </c>
      <c r="B1762" t="s">
        <v>851</v>
      </c>
      <c r="C1762" s="1">
        <v>46129</v>
      </c>
      <c r="D1762">
        <v>100.1001</v>
      </c>
      <c r="E1762">
        <v>97.219874200000007</v>
      </c>
      <c r="F1762">
        <v>99.191096529999996</v>
      </c>
      <c r="G1762">
        <v>97.219874200000007</v>
      </c>
    </row>
    <row r="1763" spans="1:7" x14ac:dyDescent="0.25">
      <c r="A1763" s="2">
        <v>1761</v>
      </c>
      <c r="B1763" t="s">
        <v>853</v>
      </c>
      <c r="C1763" s="1">
        <v>46129</v>
      </c>
    </row>
    <row r="1764" spans="1:7" x14ac:dyDescent="0.25">
      <c r="A1764" s="2">
        <v>1762</v>
      </c>
      <c r="B1764" t="s">
        <v>855</v>
      </c>
      <c r="C1764" s="1">
        <v>46129</v>
      </c>
    </row>
    <row r="1765" spans="1:7" x14ac:dyDescent="0.25">
      <c r="A1765" s="2">
        <v>1763</v>
      </c>
      <c r="B1765" t="s">
        <v>857</v>
      </c>
      <c r="C1765" s="1">
        <v>46129</v>
      </c>
    </row>
    <row r="1766" spans="1:7" x14ac:dyDescent="0.25">
      <c r="A1766" s="2">
        <v>1764</v>
      </c>
      <c r="B1766" t="s">
        <v>859</v>
      </c>
      <c r="C1766" s="1">
        <v>46129</v>
      </c>
    </row>
    <row r="1767" spans="1:7" x14ac:dyDescent="0.25">
      <c r="A1767" s="2">
        <v>1765</v>
      </c>
      <c r="B1767" t="s">
        <v>861</v>
      </c>
      <c r="C1767" s="1">
        <v>46129</v>
      </c>
    </row>
    <row r="1768" spans="1:7" x14ac:dyDescent="0.25">
      <c r="A1768" s="2">
        <v>1766</v>
      </c>
      <c r="B1768" t="s">
        <v>863</v>
      </c>
      <c r="C1768" s="1">
        <v>46129</v>
      </c>
    </row>
    <row r="1769" spans="1:7" x14ac:dyDescent="0.25">
      <c r="A1769" s="2">
        <v>1767</v>
      </c>
      <c r="B1769" t="s">
        <v>865</v>
      </c>
      <c r="C1769" s="1">
        <v>46129</v>
      </c>
    </row>
    <row r="1770" spans="1:7" x14ac:dyDescent="0.25">
      <c r="A1770" s="2">
        <v>1768</v>
      </c>
      <c r="B1770" t="s">
        <v>867</v>
      </c>
      <c r="C1770" s="1">
        <v>46129</v>
      </c>
      <c r="D1770">
        <v>84.892480000000006</v>
      </c>
      <c r="E1770">
        <v>174.10171646000001</v>
      </c>
      <c r="F1770">
        <v>174.04368493000001</v>
      </c>
      <c r="G1770">
        <v>174.10171646000001</v>
      </c>
    </row>
    <row r="1771" spans="1:7" x14ac:dyDescent="0.25">
      <c r="A1771" s="2">
        <v>1769</v>
      </c>
      <c r="B1771" t="s">
        <v>869</v>
      </c>
      <c r="C1771" s="1">
        <v>46129</v>
      </c>
      <c r="D1771">
        <v>98.666889999999995</v>
      </c>
      <c r="E1771">
        <v>83.256216620000004</v>
      </c>
      <c r="F1771">
        <v>86.059607659999998</v>
      </c>
      <c r="G1771">
        <v>83.256216620000004</v>
      </c>
    </row>
    <row r="1772" spans="1:7" x14ac:dyDescent="0.25">
      <c r="A1772" s="2">
        <v>1770</v>
      </c>
      <c r="B1772" t="s">
        <v>871</v>
      </c>
      <c r="C1772" s="1">
        <v>46129</v>
      </c>
    </row>
    <row r="1773" spans="1:7" x14ac:dyDescent="0.25">
      <c r="A1773" s="2">
        <v>1771</v>
      </c>
      <c r="B1773" t="s">
        <v>873</v>
      </c>
      <c r="C1773" s="1">
        <v>46129</v>
      </c>
    </row>
    <row r="1774" spans="1:7" x14ac:dyDescent="0.25">
      <c r="A1774" s="2">
        <v>1772</v>
      </c>
      <c r="B1774" t="s">
        <v>875</v>
      </c>
      <c r="C1774" s="1">
        <v>46129</v>
      </c>
    </row>
    <row r="1775" spans="1:7" x14ac:dyDescent="0.25">
      <c r="A1775" s="2">
        <v>1773</v>
      </c>
      <c r="B1775" t="s">
        <v>877</v>
      </c>
      <c r="C1775" s="1">
        <v>46129</v>
      </c>
      <c r="D1775">
        <v>99.434430000000006</v>
      </c>
      <c r="E1775">
        <v>62.07128874</v>
      </c>
      <c r="F1775">
        <v>64.437594709999999</v>
      </c>
      <c r="G1775">
        <v>62.07128874</v>
      </c>
    </row>
    <row r="1776" spans="1:7" x14ac:dyDescent="0.25">
      <c r="A1776" s="2">
        <v>1774</v>
      </c>
      <c r="B1776" t="s">
        <v>879</v>
      </c>
      <c r="C1776" s="1">
        <v>46129</v>
      </c>
    </row>
    <row r="1777" spans="1:6" x14ac:dyDescent="0.25">
      <c r="A1777" s="2">
        <v>1775</v>
      </c>
      <c r="B1777" t="s">
        <v>882</v>
      </c>
      <c r="C1777" s="1">
        <v>46129</v>
      </c>
    </row>
    <row r="1778" spans="1:6" x14ac:dyDescent="0.25">
      <c r="A1778" s="2">
        <v>1776</v>
      </c>
      <c r="B1778" t="s">
        <v>883</v>
      </c>
      <c r="C1778" s="1">
        <v>46129</v>
      </c>
      <c r="D1778">
        <v>102.25</v>
      </c>
      <c r="F1778">
        <v>522.69764182999995</v>
      </c>
    </row>
    <row r="1779" spans="1:6" x14ac:dyDescent="0.25">
      <c r="A1779" s="2">
        <v>1777</v>
      </c>
      <c r="B1779" t="s">
        <v>885</v>
      </c>
      <c r="C1779" s="1">
        <v>46129</v>
      </c>
    </row>
    <row r="1780" spans="1:6" x14ac:dyDescent="0.25">
      <c r="A1780" s="2">
        <v>1778</v>
      </c>
      <c r="B1780" t="s">
        <v>887</v>
      </c>
      <c r="C1780" s="1">
        <v>46129</v>
      </c>
    </row>
    <row r="1781" spans="1:6" x14ac:dyDescent="0.25">
      <c r="A1781" s="2">
        <v>1779</v>
      </c>
      <c r="B1781" t="s">
        <v>889</v>
      </c>
      <c r="C1781" s="1">
        <v>46129</v>
      </c>
    </row>
    <row r="1782" spans="1:6" x14ac:dyDescent="0.25">
      <c r="A1782" s="2">
        <v>1780</v>
      </c>
      <c r="B1782" t="s">
        <v>891</v>
      </c>
      <c r="C1782" s="1">
        <v>46129</v>
      </c>
    </row>
    <row r="1783" spans="1:6" x14ac:dyDescent="0.25">
      <c r="A1783" s="2">
        <v>1781</v>
      </c>
      <c r="B1783" t="s">
        <v>893</v>
      </c>
      <c r="C1783" s="1">
        <v>46129</v>
      </c>
    </row>
    <row r="1784" spans="1:6" x14ac:dyDescent="0.25">
      <c r="A1784" s="2">
        <v>1782</v>
      </c>
      <c r="B1784" t="s">
        <v>895</v>
      </c>
      <c r="C1784" s="1">
        <v>46129</v>
      </c>
    </row>
    <row r="1785" spans="1:6" x14ac:dyDescent="0.25">
      <c r="A1785" s="2">
        <v>1783</v>
      </c>
      <c r="B1785" t="s">
        <v>897</v>
      </c>
      <c r="C1785" s="1">
        <v>46129</v>
      </c>
    </row>
    <row r="1786" spans="1:6" x14ac:dyDescent="0.25">
      <c r="A1786" s="2">
        <v>1784</v>
      </c>
      <c r="B1786" t="s">
        <v>898</v>
      </c>
      <c r="C1786" s="1">
        <v>46129</v>
      </c>
    </row>
    <row r="1787" spans="1:6" x14ac:dyDescent="0.25">
      <c r="A1787" s="2">
        <v>1785</v>
      </c>
      <c r="B1787" t="s">
        <v>900</v>
      </c>
      <c r="C1787" s="1">
        <v>46129</v>
      </c>
    </row>
    <row r="1788" spans="1:6" x14ac:dyDescent="0.25">
      <c r="A1788" s="2">
        <v>1786</v>
      </c>
      <c r="B1788" t="s">
        <v>902</v>
      </c>
      <c r="C1788" s="1">
        <v>46129</v>
      </c>
    </row>
    <row r="1789" spans="1:6" x14ac:dyDescent="0.25">
      <c r="A1789" s="2">
        <v>1787</v>
      </c>
      <c r="B1789" t="s">
        <v>904</v>
      </c>
      <c r="C1789" s="1">
        <v>46129</v>
      </c>
    </row>
    <row r="1790" spans="1:6" x14ac:dyDescent="0.25">
      <c r="A1790" s="2">
        <v>1788</v>
      </c>
      <c r="B1790" t="s">
        <v>907</v>
      </c>
      <c r="C1790" s="1">
        <v>46129</v>
      </c>
    </row>
    <row r="1791" spans="1:6" x14ac:dyDescent="0.25">
      <c r="A1791" s="2">
        <v>1789</v>
      </c>
      <c r="B1791" t="s">
        <v>909</v>
      </c>
      <c r="C1791" s="1">
        <v>46129</v>
      </c>
    </row>
    <row r="1792" spans="1:6" x14ac:dyDescent="0.25">
      <c r="A1792" s="2">
        <v>1790</v>
      </c>
      <c r="B1792" t="s">
        <v>911</v>
      </c>
      <c r="C1792" s="1">
        <v>46129</v>
      </c>
    </row>
    <row r="1793" spans="1:7" x14ac:dyDescent="0.25">
      <c r="A1793" s="2">
        <v>1791</v>
      </c>
      <c r="B1793" t="s">
        <v>913</v>
      </c>
      <c r="C1793" s="1">
        <v>46129</v>
      </c>
    </row>
    <row r="1794" spans="1:7" x14ac:dyDescent="0.25">
      <c r="A1794" s="2">
        <v>1792</v>
      </c>
      <c r="B1794" t="s">
        <v>915</v>
      </c>
      <c r="C1794" s="1">
        <v>46129</v>
      </c>
      <c r="D1794">
        <v>90.725279999999998</v>
      </c>
      <c r="E1794">
        <v>739.06385644</v>
      </c>
      <c r="F1794">
        <v>739.83869484000002</v>
      </c>
      <c r="G1794">
        <v>739.06385644</v>
      </c>
    </row>
    <row r="1795" spans="1:7" x14ac:dyDescent="0.25">
      <c r="A1795" s="2">
        <v>1793</v>
      </c>
      <c r="B1795" t="s">
        <v>919</v>
      </c>
      <c r="C1795" s="1">
        <v>46129</v>
      </c>
      <c r="D1795">
        <v>84.25</v>
      </c>
      <c r="F1795">
        <v>838.85746960999995</v>
      </c>
    </row>
    <row r="1796" spans="1:7" x14ac:dyDescent="0.25">
      <c r="A1796" s="2">
        <v>1794</v>
      </c>
      <c r="B1796" t="s">
        <v>921</v>
      </c>
      <c r="C1796" s="1">
        <v>46129</v>
      </c>
      <c r="D1796">
        <v>101.2975</v>
      </c>
      <c r="E1796">
        <v>47.183745569999999</v>
      </c>
      <c r="F1796">
        <v>54.358697280000001</v>
      </c>
      <c r="G1796">
        <v>47.183745569999999</v>
      </c>
    </row>
    <row r="1797" spans="1:7" x14ac:dyDescent="0.25">
      <c r="A1797" s="2">
        <v>1795</v>
      </c>
      <c r="B1797" t="s">
        <v>925</v>
      </c>
      <c r="C1797" s="1">
        <v>46129</v>
      </c>
      <c r="D1797">
        <v>89.062719999999999</v>
      </c>
      <c r="E1797">
        <v>1128.17854642</v>
      </c>
      <c r="F1797">
        <v>1130.76666432</v>
      </c>
      <c r="G1797">
        <v>1128.17854642</v>
      </c>
    </row>
    <row r="1798" spans="1:7" x14ac:dyDescent="0.25">
      <c r="A1798" s="2">
        <v>1796</v>
      </c>
      <c r="B1798" t="s">
        <v>927</v>
      </c>
      <c r="C1798" s="1">
        <v>46129</v>
      </c>
      <c r="D1798">
        <v>88.257769999999994</v>
      </c>
      <c r="E1798">
        <v>1145.24295665</v>
      </c>
      <c r="F1798">
        <v>1147.24771474</v>
      </c>
      <c r="G1798">
        <v>1145.24295665</v>
      </c>
    </row>
    <row r="1799" spans="1:7" x14ac:dyDescent="0.25">
      <c r="A1799" s="2">
        <v>1797</v>
      </c>
      <c r="B1799" t="s">
        <v>929</v>
      </c>
      <c r="C1799" s="1">
        <v>46129</v>
      </c>
    </row>
    <row r="1800" spans="1:7" x14ac:dyDescent="0.25">
      <c r="A1800" s="2">
        <v>1798</v>
      </c>
      <c r="B1800" t="s">
        <v>931</v>
      </c>
      <c r="C1800" s="1">
        <v>46129</v>
      </c>
      <c r="D1800">
        <v>88.415099999999995</v>
      </c>
      <c r="E1800">
        <v>1130.4189849899999</v>
      </c>
      <c r="F1800">
        <v>1132.7364513499999</v>
      </c>
      <c r="G1800">
        <v>1130.4189849899999</v>
      </c>
    </row>
    <row r="1801" spans="1:7" x14ac:dyDescent="0.25">
      <c r="A1801" s="2">
        <v>1799</v>
      </c>
      <c r="B1801" t="s">
        <v>933</v>
      </c>
      <c r="C1801" s="1">
        <v>46129</v>
      </c>
      <c r="D1801">
        <v>103.5566</v>
      </c>
      <c r="E1801">
        <v>580.04531899999995</v>
      </c>
      <c r="F1801">
        <v>582.78768287000003</v>
      </c>
      <c r="G1801">
        <v>580.04531899999995</v>
      </c>
    </row>
    <row r="1802" spans="1:7" x14ac:dyDescent="0.25">
      <c r="A1802" s="2">
        <v>1800</v>
      </c>
      <c r="B1802" t="s">
        <v>935</v>
      </c>
      <c r="C1802" s="1">
        <v>46129</v>
      </c>
      <c r="D1802">
        <v>84.5</v>
      </c>
      <c r="F1802">
        <v>1417.5454447899999</v>
      </c>
    </row>
    <row r="1803" spans="1:7" x14ac:dyDescent="0.25">
      <c r="A1803" s="2">
        <v>1801</v>
      </c>
      <c r="B1803" t="s">
        <v>937</v>
      </c>
      <c r="C1803" s="1">
        <v>46129</v>
      </c>
      <c r="D1803">
        <v>84.5</v>
      </c>
      <c r="F1803">
        <v>1481.9706469800001</v>
      </c>
    </row>
    <row r="1804" spans="1:7" x14ac:dyDescent="0.25">
      <c r="A1804" s="2">
        <v>1802</v>
      </c>
      <c r="B1804" t="s">
        <v>939</v>
      </c>
      <c r="C1804" s="1">
        <v>46129</v>
      </c>
      <c r="D1804">
        <v>81.5</v>
      </c>
    </row>
    <row r="1805" spans="1:7" x14ac:dyDescent="0.25">
      <c r="A1805" s="2">
        <v>1803</v>
      </c>
      <c r="B1805" t="s">
        <v>940</v>
      </c>
      <c r="C1805" s="1">
        <v>46129</v>
      </c>
      <c r="D1805">
        <v>83.25</v>
      </c>
      <c r="F1805">
        <v>1303.5291637600001</v>
      </c>
    </row>
    <row r="1806" spans="1:7" x14ac:dyDescent="0.25">
      <c r="A1806" s="2">
        <v>1804</v>
      </c>
      <c r="B1806" t="s">
        <v>941</v>
      </c>
      <c r="C1806" s="1">
        <v>46129</v>
      </c>
    </row>
    <row r="1807" spans="1:7" x14ac:dyDescent="0.25">
      <c r="A1807" s="2">
        <v>1805</v>
      </c>
      <c r="B1807" t="s">
        <v>943</v>
      </c>
      <c r="C1807" s="1">
        <v>46129</v>
      </c>
    </row>
    <row r="1808" spans="1:7" x14ac:dyDescent="0.25">
      <c r="A1808" s="2">
        <v>1806</v>
      </c>
      <c r="B1808" t="s">
        <v>946</v>
      </c>
      <c r="C1808" s="1">
        <v>46129</v>
      </c>
      <c r="D1808">
        <v>95.375</v>
      </c>
      <c r="F1808">
        <v>835.40343301999997</v>
      </c>
    </row>
    <row r="1809" spans="1:7" x14ac:dyDescent="0.25">
      <c r="A1809" s="2">
        <v>1807</v>
      </c>
      <c r="B1809" t="s">
        <v>950</v>
      </c>
      <c r="C1809" s="1">
        <v>46129</v>
      </c>
      <c r="D1809">
        <v>86.875</v>
      </c>
      <c r="F1809">
        <v>713.58297368000001</v>
      </c>
    </row>
    <row r="1810" spans="1:7" x14ac:dyDescent="0.25">
      <c r="A1810" s="2">
        <v>1808</v>
      </c>
      <c r="B1810" t="s">
        <v>952</v>
      </c>
      <c r="C1810" s="1">
        <v>46129</v>
      </c>
      <c r="D1810">
        <v>37.986139999999999</v>
      </c>
      <c r="E1810">
        <v>4081.7346396799999</v>
      </c>
      <c r="F1810">
        <v>4084.56861441</v>
      </c>
      <c r="G1810">
        <v>4081.7346396799999</v>
      </c>
    </row>
    <row r="1811" spans="1:7" x14ac:dyDescent="0.25">
      <c r="A1811" s="2">
        <v>1809</v>
      </c>
      <c r="B1811" t="s">
        <v>956</v>
      </c>
      <c r="C1811" s="1">
        <v>46129</v>
      </c>
      <c r="D1811">
        <v>66.5</v>
      </c>
      <c r="F1811">
        <v>2078.8799618500002</v>
      </c>
    </row>
    <row r="1812" spans="1:7" x14ac:dyDescent="0.25">
      <c r="A1812" s="2">
        <v>1810</v>
      </c>
      <c r="B1812" t="s">
        <v>984</v>
      </c>
      <c r="C1812" s="1">
        <v>46129</v>
      </c>
      <c r="D1812">
        <v>94.877229999999997</v>
      </c>
      <c r="E1812">
        <v>787.90968095999995</v>
      </c>
      <c r="F1812">
        <v>789.82544168000004</v>
      </c>
      <c r="G1812">
        <v>787.90968095999995</v>
      </c>
    </row>
    <row r="1813" spans="1:7" x14ac:dyDescent="0.25">
      <c r="A1813" s="2">
        <v>1811</v>
      </c>
      <c r="B1813" t="s">
        <v>988</v>
      </c>
      <c r="C1813" s="1">
        <v>46129</v>
      </c>
      <c r="D1813">
        <v>76.251859999999994</v>
      </c>
      <c r="F1813">
        <v>1680.0830887699999</v>
      </c>
    </row>
    <row r="1814" spans="1:7" x14ac:dyDescent="0.25">
      <c r="A1814" s="2">
        <v>1812</v>
      </c>
      <c r="B1814" t="s">
        <v>990</v>
      </c>
      <c r="C1814" s="1">
        <v>46129</v>
      </c>
      <c r="D1814">
        <v>90.300569999999993</v>
      </c>
      <c r="E1814">
        <v>886.41598389000001</v>
      </c>
      <c r="F1814">
        <v>888.81236572</v>
      </c>
      <c r="G1814">
        <v>886.41598389000001</v>
      </c>
    </row>
    <row r="1815" spans="1:7" x14ac:dyDescent="0.25">
      <c r="A1815" s="2">
        <v>1813</v>
      </c>
      <c r="B1815" t="s">
        <v>992</v>
      </c>
      <c r="C1815" s="1">
        <v>46129</v>
      </c>
      <c r="D1815">
        <v>90.5</v>
      </c>
      <c r="F1815">
        <v>863.75673778999999</v>
      </c>
    </row>
    <row r="1816" spans="1:7" x14ac:dyDescent="0.25">
      <c r="A1816" s="2">
        <v>1814</v>
      </c>
      <c r="B1816" t="s">
        <v>958</v>
      </c>
      <c r="C1816" s="1">
        <v>46129</v>
      </c>
      <c r="D1816">
        <v>87.969629999999995</v>
      </c>
      <c r="E1816">
        <v>629.19081673000005</v>
      </c>
      <c r="F1816">
        <v>635.88887003000002</v>
      </c>
      <c r="G1816">
        <v>629.19081673000005</v>
      </c>
    </row>
    <row r="1817" spans="1:7" x14ac:dyDescent="0.25">
      <c r="A1817" s="2">
        <v>1815</v>
      </c>
      <c r="B1817" t="s">
        <v>962</v>
      </c>
      <c r="C1817" s="1">
        <v>46129</v>
      </c>
      <c r="D1817">
        <v>100.497</v>
      </c>
      <c r="E1817">
        <v>411.54457588999998</v>
      </c>
      <c r="F1817">
        <v>413.07336757000002</v>
      </c>
      <c r="G1817">
        <v>411.54457588999998</v>
      </c>
    </row>
    <row r="1818" spans="1:7" x14ac:dyDescent="0.25">
      <c r="A1818" s="2">
        <v>1816</v>
      </c>
      <c r="B1818" t="s">
        <v>964</v>
      </c>
      <c r="C1818" s="1">
        <v>46129</v>
      </c>
      <c r="D1818">
        <v>104.31610000000001</v>
      </c>
      <c r="E1818">
        <v>368.01882367000002</v>
      </c>
      <c r="F1818">
        <v>370.65552723000002</v>
      </c>
      <c r="G1818">
        <v>368.01882367000002</v>
      </c>
    </row>
    <row r="1819" spans="1:7" x14ac:dyDescent="0.25">
      <c r="A1819" s="2">
        <v>1817</v>
      </c>
      <c r="B1819" t="s">
        <v>966</v>
      </c>
      <c r="C1819" s="1">
        <v>46129</v>
      </c>
      <c r="D1819">
        <v>97.403000000000006</v>
      </c>
      <c r="E1819">
        <v>439.66872524000001</v>
      </c>
      <c r="F1819">
        <v>432.20628528999998</v>
      </c>
      <c r="G1819">
        <v>439.66872524000001</v>
      </c>
    </row>
    <row r="1820" spans="1:7" x14ac:dyDescent="0.25">
      <c r="A1820" s="2">
        <v>1818</v>
      </c>
      <c r="B1820" t="s">
        <v>968</v>
      </c>
      <c r="C1820" s="1">
        <v>46129</v>
      </c>
      <c r="D1820">
        <v>74.245959999999997</v>
      </c>
      <c r="E1820">
        <v>797.07327925000004</v>
      </c>
      <c r="F1820">
        <v>802.76254237000001</v>
      </c>
      <c r="G1820">
        <v>797.07327925000004</v>
      </c>
    </row>
    <row r="1821" spans="1:7" x14ac:dyDescent="0.25">
      <c r="A1821" s="2">
        <v>1819</v>
      </c>
      <c r="B1821" t="s">
        <v>970</v>
      </c>
      <c r="C1821" s="1">
        <v>46129</v>
      </c>
      <c r="D1821">
        <v>73.307550000000006</v>
      </c>
      <c r="E1821">
        <v>706.09730506000005</v>
      </c>
      <c r="F1821">
        <v>707.72198828000001</v>
      </c>
      <c r="G1821">
        <v>706.09730506000005</v>
      </c>
    </row>
    <row r="1822" spans="1:7" x14ac:dyDescent="0.25">
      <c r="A1822" s="2">
        <v>1820</v>
      </c>
      <c r="B1822" t="s">
        <v>972</v>
      </c>
      <c r="C1822" s="1">
        <v>46129</v>
      </c>
      <c r="D1822">
        <v>83.783550000000005</v>
      </c>
      <c r="E1822">
        <v>705.6172325</v>
      </c>
      <c r="F1822">
        <v>707.82664898999997</v>
      </c>
      <c r="G1822">
        <v>705.6172325</v>
      </c>
    </row>
    <row r="1823" spans="1:7" x14ac:dyDescent="0.25">
      <c r="A1823" s="2">
        <v>1821</v>
      </c>
      <c r="B1823" t="s">
        <v>974</v>
      </c>
      <c r="C1823" s="1">
        <v>46129</v>
      </c>
      <c r="D1823">
        <v>96.448480000000004</v>
      </c>
      <c r="E1823">
        <v>394.00564688999998</v>
      </c>
      <c r="F1823">
        <v>397.91357313999998</v>
      </c>
      <c r="G1823">
        <v>394.00564688999998</v>
      </c>
    </row>
    <row r="1824" spans="1:7" x14ac:dyDescent="0.25">
      <c r="A1824" s="2">
        <v>1822</v>
      </c>
      <c r="B1824" t="s">
        <v>976</v>
      </c>
      <c r="C1824" s="1">
        <v>46129</v>
      </c>
    </row>
    <row r="1825" spans="1:7" x14ac:dyDescent="0.25">
      <c r="A1825" s="2">
        <v>1823</v>
      </c>
      <c r="B1825" t="s">
        <v>978</v>
      </c>
      <c r="C1825" s="1">
        <v>46129</v>
      </c>
    </row>
    <row r="1826" spans="1:7" x14ac:dyDescent="0.25">
      <c r="A1826" s="2">
        <v>1824</v>
      </c>
      <c r="B1826" t="s">
        <v>980</v>
      </c>
      <c r="C1826" s="1">
        <v>46129</v>
      </c>
    </row>
    <row r="1827" spans="1:7" x14ac:dyDescent="0.25">
      <c r="A1827" s="2">
        <v>1825</v>
      </c>
      <c r="B1827" t="s">
        <v>982</v>
      </c>
      <c r="C1827" s="1">
        <v>46129</v>
      </c>
    </row>
    <row r="1828" spans="1:7" x14ac:dyDescent="0.25">
      <c r="A1828" s="2">
        <v>1826</v>
      </c>
      <c r="B1828" t="s">
        <v>3385</v>
      </c>
      <c r="C1828" s="1">
        <v>46129</v>
      </c>
    </row>
    <row r="1829" spans="1:7" x14ac:dyDescent="0.25">
      <c r="A1829" s="2">
        <v>1827</v>
      </c>
      <c r="B1829" t="s">
        <v>3387</v>
      </c>
      <c r="C1829" s="1">
        <v>46129</v>
      </c>
      <c r="D1829">
        <v>78.5</v>
      </c>
      <c r="F1829">
        <v>1481.18117269</v>
      </c>
    </row>
    <row r="1830" spans="1:7" x14ac:dyDescent="0.25">
      <c r="A1830" s="2">
        <v>1828</v>
      </c>
      <c r="B1830" t="s">
        <v>3390</v>
      </c>
      <c r="C1830" s="1">
        <v>46129</v>
      </c>
      <c r="D1830">
        <v>90.75</v>
      </c>
      <c r="F1830">
        <v>838.51897782000003</v>
      </c>
    </row>
    <row r="1831" spans="1:7" x14ac:dyDescent="0.25">
      <c r="A1831" s="2">
        <v>1829</v>
      </c>
      <c r="B1831" t="s">
        <v>995</v>
      </c>
      <c r="C1831" s="1">
        <v>46129</v>
      </c>
      <c r="D1831">
        <v>99.598820000000003</v>
      </c>
      <c r="E1831">
        <v>622.80346255999996</v>
      </c>
      <c r="F1831">
        <v>622.56663647000005</v>
      </c>
      <c r="G1831">
        <v>622.80346255999996</v>
      </c>
    </row>
    <row r="1832" spans="1:7" x14ac:dyDescent="0.25">
      <c r="A1832" s="2">
        <v>1830</v>
      </c>
      <c r="B1832" t="s">
        <v>999</v>
      </c>
      <c r="C1832" s="1">
        <v>46129</v>
      </c>
    </row>
    <row r="1833" spans="1:7" x14ac:dyDescent="0.25">
      <c r="A1833" s="2">
        <v>1831</v>
      </c>
      <c r="B1833" t="s">
        <v>1001</v>
      </c>
      <c r="C1833" s="1">
        <v>46129</v>
      </c>
      <c r="D1833">
        <v>93</v>
      </c>
      <c r="F1833">
        <v>503.68074626999999</v>
      </c>
    </row>
    <row r="1834" spans="1:7" x14ac:dyDescent="0.25">
      <c r="A1834" s="2">
        <v>1832</v>
      </c>
      <c r="B1834" t="s">
        <v>1003</v>
      </c>
      <c r="C1834" s="1">
        <v>46129</v>
      </c>
      <c r="D1834">
        <v>91.25</v>
      </c>
      <c r="F1834">
        <v>1001.57039042</v>
      </c>
    </row>
    <row r="1835" spans="1:7" x14ac:dyDescent="0.25">
      <c r="A1835" s="2">
        <v>1833</v>
      </c>
      <c r="B1835" t="s">
        <v>1057</v>
      </c>
      <c r="C1835" s="1">
        <v>46129</v>
      </c>
      <c r="D1835">
        <v>97.050259999999994</v>
      </c>
      <c r="E1835">
        <v>246.44029420999999</v>
      </c>
      <c r="F1835">
        <v>248.54973219999999</v>
      </c>
      <c r="G1835">
        <v>246.44029420999999</v>
      </c>
    </row>
    <row r="1836" spans="1:7" x14ac:dyDescent="0.25">
      <c r="A1836" s="2">
        <v>1834</v>
      </c>
      <c r="B1836" t="s">
        <v>1061</v>
      </c>
      <c r="C1836" s="1">
        <v>46129</v>
      </c>
      <c r="D1836">
        <v>97.293980000000005</v>
      </c>
      <c r="E1836">
        <v>299.81354032000002</v>
      </c>
      <c r="F1836">
        <v>302.02233774000001</v>
      </c>
      <c r="G1836">
        <v>299.81354032000002</v>
      </c>
    </row>
    <row r="1837" spans="1:7" x14ac:dyDescent="0.25">
      <c r="A1837" s="2">
        <v>1835</v>
      </c>
      <c r="B1837" t="s">
        <v>1063</v>
      </c>
      <c r="C1837" s="1">
        <v>46129</v>
      </c>
      <c r="D1837">
        <v>91.884510000000006</v>
      </c>
      <c r="E1837">
        <v>291.15868663999998</v>
      </c>
      <c r="F1837">
        <v>293.33386496999998</v>
      </c>
      <c r="G1837">
        <v>291.15868663999998</v>
      </c>
    </row>
    <row r="1838" spans="1:7" x14ac:dyDescent="0.25">
      <c r="A1838" s="2">
        <v>1836</v>
      </c>
      <c r="B1838" t="s">
        <v>1065</v>
      </c>
      <c r="C1838" s="1">
        <v>46129</v>
      </c>
      <c r="D1838">
        <v>87.728200000000001</v>
      </c>
      <c r="E1838">
        <v>385.62721633000001</v>
      </c>
      <c r="F1838">
        <v>387.66819389</v>
      </c>
      <c r="G1838">
        <v>385.62721633000001</v>
      </c>
    </row>
    <row r="1839" spans="1:7" x14ac:dyDescent="0.25">
      <c r="A1839" s="2">
        <v>1837</v>
      </c>
      <c r="B1839" t="s">
        <v>1067</v>
      </c>
      <c r="C1839" s="1">
        <v>46129</v>
      </c>
      <c r="D1839">
        <v>91.677000000000007</v>
      </c>
      <c r="E1839">
        <v>259.68844801</v>
      </c>
      <c r="F1839">
        <v>261.71124100999998</v>
      </c>
      <c r="G1839">
        <v>259.68844801</v>
      </c>
    </row>
    <row r="1840" spans="1:7" x14ac:dyDescent="0.25">
      <c r="A1840" s="2">
        <v>1838</v>
      </c>
      <c r="B1840" t="s">
        <v>1069</v>
      </c>
      <c r="C1840" s="1">
        <v>46129</v>
      </c>
      <c r="D1840">
        <v>94.952449999999999</v>
      </c>
      <c r="E1840">
        <v>203.80990238000001</v>
      </c>
      <c r="F1840">
        <v>206.86289119</v>
      </c>
      <c r="G1840">
        <v>203.80990238000001</v>
      </c>
    </row>
    <row r="1841" spans="1:7" x14ac:dyDescent="0.25">
      <c r="A1841" s="2">
        <v>1839</v>
      </c>
      <c r="B1841" t="s">
        <v>1071</v>
      </c>
      <c r="C1841" s="1">
        <v>46129</v>
      </c>
      <c r="D1841">
        <v>98.48827</v>
      </c>
      <c r="E1841">
        <v>449.56812716000002</v>
      </c>
      <c r="F1841">
        <v>450.54965725</v>
      </c>
      <c r="G1841">
        <v>449.56812716000002</v>
      </c>
    </row>
    <row r="1842" spans="1:7" x14ac:dyDescent="0.25">
      <c r="A1842" s="2">
        <v>1840</v>
      </c>
      <c r="B1842" t="s">
        <v>1073</v>
      </c>
      <c r="C1842" s="1">
        <v>46129</v>
      </c>
      <c r="D1842">
        <v>96.650999999999996</v>
      </c>
      <c r="E1842">
        <v>357.48703062999999</v>
      </c>
      <c r="F1842">
        <v>358.35978725000001</v>
      </c>
      <c r="G1842">
        <v>357.48703062999999</v>
      </c>
    </row>
    <row r="1843" spans="1:7" x14ac:dyDescent="0.25">
      <c r="A1843" s="2">
        <v>1841</v>
      </c>
      <c r="B1843" t="s">
        <v>1075</v>
      </c>
      <c r="C1843" s="1">
        <v>46129</v>
      </c>
      <c r="D1843">
        <v>90.792779999999993</v>
      </c>
      <c r="E1843">
        <v>599.77896209999994</v>
      </c>
      <c r="F1843">
        <v>600.58516804999999</v>
      </c>
      <c r="G1843">
        <v>599.77896209999994</v>
      </c>
    </row>
    <row r="1844" spans="1:7" x14ac:dyDescent="0.25">
      <c r="A1844" s="2">
        <v>1842</v>
      </c>
      <c r="B1844" t="s">
        <v>1078</v>
      </c>
      <c r="C1844" s="1">
        <v>46129</v>
      </c>
      <c r="D1844">
        <v>93.120230000000006</v>
      </c>
      <c r="E1844">
        <v>445.64822928000001</v>
      </c>
      <c r="F1844">
        <v>446.41544620000002</v>
      </c>
      <c r="G1844">
        <v>445.64822928000001</v>
      </c>
    </row>
    <row r="1845" spans="1:7" x14ac:dyDescent="0.25">
      <c r="A1845" s="2">
        <v>1843</v>
      </c>
      <c r="B1845" t="s">
        <v>1080</v>
      </c>
      <c r="C1845" s="1">
        <v>46129</v>
      </c>
      <c r="D1845">
        <v>90.917259999999999</v>
      </c>
      <c r="E1845">
        <v>673.68065601000001</v>
      </c>
      <c r="F1845">
        <v>672.92823923000003</v>
      </c>
      <c r="G1845">
        <v>673.68065601000001</v>
      </c>
    </row>
    <row r="1846" spans="1:7" x14ac:dyDescent="0.25">
      <c r="A1846" s="2">
        <v>1844</v>
      </c>
      <c r="B1846" t="s">
        <v>1082</v>
      </c>
      <c r="C1846" s="1">
        <v>46129</v>
      </c>
      <c r="D1846">
        <v>92.328000000000003</v>
      </c>
      <c r="E1846">
        <v>616.95256040000004</v>
      </c>
      <c r="F1846">
        <v>616.29393993999997</v>
      </c>
      <c r="G1846">
        <v>616.95256040000004</v>
      </c>
    </row>
    <row r="1847" spans="1:7" x14ac:dyDescent="0.25">
      <c r="A1847" s="2">
        <v>1845</v>
      </c>
      <c r="B1847" t="s">
        <v>1084</v>
      </c>
      <c r="C1847" s="1">
        <v>46129</v>
      </c>
      <c r="D1847">
        <v>91.770690000000002</v>
      </c>
      <c r="E1847">
        <v>653.10185975000002</v>
      </c>
      <c r="F1847">
        <v>653.04680869000003</v>
      </c>
      <c r="G1847">
        <v>653.10185975000002</v>
      </c>
    </row>
    <row r="1848" spans="1:7" x14ac:dyDescent="0.25">
      <c r="A1848" s="2">
        <v>1846</v>
      </c>
      <c r="B1848" t="s">
        <v>1086</v>
      </c>
      <c r="C1848" s="1">
        <v>46129</v>
      </c>
      <c r="D1848">
        <v>87.343100000000007</v>
      </c>
      <c r="E1848">
        <v>344.00955966999999</v>
      </c>
      <c r="F1848">
        <v>345.48145087</v>
      </c>
      <c r="G1848">
        <v>344.00955966999999</v>
      </c>
    </row>
    <row r="1849" spans="1:7" x14ac:dyDescent="0.25">
      <c r="A1849" s="2">
        <v>1847</v>
      </c>
      <c r="B1849" t="s">
        <v>1088</v>
      </c>
      <c r="C1849" s="1">
        <v>46129</v>
      </c>
      <c r="D1849">
        <v>88.716200000000001</v>
      </c>
      <c r="E1849">
        <v>390.72923294999998</v>
      </c>
      <c r="F1849">
        <v>392.16678349</v>
      </c>
      <c r="G1849">
        <v>390.72923294999998</v>
      </c>
    </row>
    <row r="1850" spans="1:7" x14ac:dyDescent="0.25">
      <c r="A1850" s="2">
        <v>1848</v>
      </c>
      <c r="B1850" t="s">
        <v>1090</v>
      </c>
      <c r="C1850" s="1">
        <v>46129</v>
      </c>
      <c r="D1850">
        <v>90.440119999999993</v>
      </c>
      <c r="E1850">
        <v>360.66573409</v>
      </c>
      <c r="F1850">
        <v>362.47529197</v>
      </c>
      <c r="G1850">
        <v>360.66573409</v>
      </c>
    </row>
    <row r="1851" spans="1:7" x14ac:dyDescent="0.25">
      <c r="A1851" s="2">
        <v>1849</v>
      </c>
      <c r="B1851" t="s">
        <v>1092</v>
      </c>
      <c r="C1851" s="1">
        <v>46129</v>
      </c>
      <c r="D1851">
        <v>90.371570000000006</v>
      </c>
      <c r="E1851">
        <v>291.10288872000001</v>
      </c>
      <c r="F1851">
        <v>292.80309883000001</v>
      </c>
      <c r="G1851">
        <v>291.10288872000001</v>
      </c>
    </row>
    <row r="1852" spans="1:7" x14ac:dyDescent="0.25">
      <c r="A1852" s="2">
        <v>1850</v>
      </c>
      <c r="B1852" t="s">
        <v>1094</v>
      </c>
      <c r="C1852" s="1">
        <v>46129</v>
      </c>
      <c r="D1852">
        <v>89.203000000000003</v>
      </c>
      <c r="E1852">
        <v>409.88751072000002</v>
      </c>
      <c r="F1852">
        <v>411.50601506999999</v>
      </c>
      <c r="G1852">
        <v>409.88751072000002</v>
      </c>
    </row>
    <row r="1853" spans="1:7" x14ac:dyDescent="0.25">
      <c r="A1853" s="2">
        <v>1851</v>
      </c>
      <c r="B1853" t="s">
        <v>1096</v>
      </c>
      <c r="C1853" s="1">
        <v>46129</v>
      </c>
      <c r="D1853">
        <v>85.747219999999999</v>
      </c>
      <c r="E1853">
        <v>567.2267061</v>
      </c>
      <c r="F1853">
        <v>568.97638852</v>
      </c>
      <c r="G1853">
        <v>567.2267061</v>
      </c>
    </row>
    <row r="1854" spans="1:7" x14ac:dyDescent="0.25">
      <c r="A1854" s="2">
        <v>1852</v>
      </c>
      <c r="B1854" t="s">
        <v>1098</v>
      </c>
      <c r="C1854" s="1">
        <v>46129</v>
      </c>
    </row>
    <row r="1855" spans="1:7" x14ac:dyDescent="0.25">
      <c r="A1855" s="2">
        <v>1853</v>
      </c>
      <c r="B1855" t="s">
        <v>1100</v>
      </c>
      <c r="C1855" s="1">
        <v>46129</v>
      </c>
    </row>
    <row r="1856" spans="1:7" x14ac:dyDescent="0.25">
      <c r="A1856" s="2">
        <v>1854</v>
      </c>
      <c r="B1856" t="s">
        <v>1102</v>
      </c>
      <c r="C1856" s="1">
        <v>46129</v>
      </c>
    </row>
    <row r="1857" spans="1:7" x14ac:dyDescent="0.25">
      <c r="A1857" s="2">
        <v>1855</v>
      </c>
      <c r="B1857" t="s">
        <v>1104</v>
      </c>
      <c r="C1857" s="1">
        <v>46129</v>
      </c>
    </row>
    <row r="1858" spans="1:7" x14ac:dyDescent="0.25">
      <c r="A1858" s="2">
        <v>1856</v>
      </c>
      <c r="B1858" t="s">
        <v>1106</v>
      </c>
      <c r="C1858" s="1">
        <v>46129</v>
      </c>
    </row>
    <row r="1859" spans="1:7" x14ac:dyDescent="0.25">
      <c r="A1859" s="2">
        <v>1857</v>
      </c>
      <c r="B1859" t="s">
        <v>1108</v>
      </c>
      <c r="C1859" s="1">
        <v>46129</v>
      </c>
    </row>
    <row r="1860" spans="1:7" x14ac:dyDescent="0.25">
      <c r="A1860" s="2">
        <v>1858</v>
      </c>
      <c r="B1860" t="s">
        <v>1110</v>
      </c>
      <c r="C1860" s="1">
        <v>46129</v>
      </c>
    </row>
    <row r="1861" spans="1:7" x14ac:dyDescent="0.25">
      <c r="A1861" s="2">
        <v>1859</v>
      </c>
      <c r="B1861" t="s">
        <v>1112</v>
      </c>
      <c r="C1861" s="1">
        <v>46129</v>
      </c>
      <c r="D1861">
        <v>96.5</v>
      </c>
      <c r="F1861">
        <v>585.61734509999997</v>
      </c>
    </row>
    <row r="1862" spans="1:7" x14ac:dyDescent="0.25">
      <c r="A1862" s="2">
        <v>1860</v>
      </c>
      <c r="B1862" t="s">
        <v>1114</v>
      </c>
      <c r="C1862" s="1">
        <v>46129</v>
      </c>
      <c r="D1862">
        <v>95.25</v>
      </c>
    </row>
    <row r="1863" spans="1:7" x14ac:dyDescent="0.25">
      <c r="A1863" s="2">
        <v>1861</v>
      </c>
      <c r="B1863" t="s">
        <v>1116</v>
      </c>
      <c r="C1863" s="1">
        <v>46129</v>
      </c>
    </row>
    <row r="1864" spans="1:7" x14ac:dyDescent="0.25">
      <c r="A1864" s="2">
        <v>1862</v>
      </c>
      <c r="B1864" t="s">
        <v>1118</v>
      </c>
      <c r="C1864" s="1">
        <v>46129</v>
      </c>
      <c r="D1864">
        <v>94.25</v>
      </c>
      <c r="F1864">
        <v>656.15454951000004</v>
      </c>
    </row>
    <row r="1865" spans="1:7" x14ac:dyDescent="0.25">
      <c r="A1865" s="2">
        <v>1863</v>
      </c>
      <c r="B1865" t="s">
        <v>1120</v>
      </c>
      <c r="C1865" s="1">
        <v>46129</v>
      </c>
    </row>
    <row r="1866" spans="1:7" x14ac:dyDescent="0.25">
      <c r="A1866" s="2">
        <v>1864</v>
      </c>
      <c r="B1866" t="s">
        <v>1122</v>
      </c>
      <c r="C1866" s="1">
        <v>46129</v>
      </c>
    </row>
    <row r="1867" spans="1:7" x14ac:dyDescent="0.25">
      <c r="A1867" s="2">
        <v>1865</v>
      </c>
      <c r="B1867" t="s">
        <v>1123</v>
      </c>
      <c r="C1867" s="1">
        <v>46129</v>
      </c>
      <c r="D1867">
        <v>91.5</v>
      </c>
      <c r="F1867">
        <v>560.85454186000004</v>
      </c>
    </row>
    <row r="1868" spans="1:7" x14ac:dyDescent="0.25">
      <c r="A1868" s="2">
        <v>1866</v>
      </c>
      <c r="B1868" t="s">
        <v>1125</v>
      </c>
      <c r="C1868" s="1">
        <v>46129</v>
      </c>
      <c r="D1868">
        <v>97.375</v>
      </c>
      <c r="F1868">
        <v>467.36656618000001</v>
      </c>
    </row>
    <row r="1869" spans="1:7" x14ac:dyDescent="0.25">
      <c r="A1869" s="2">
        <v>1867</v>
      </c>
      <c r="B1869" t="s">
        <v>1127</v>
      </c>
      <c r="C1869" s="1">
        <v>46129</v>
      </c>
      <c r="D1869">
        <v>95.125</v>
      </c>
      <c r="F1869">
        <v>831.51197524999998</v>
      </c>
    </row>
    <row r="1870" spans="1:7" x14ac:dyDescent="0.25">
      <c r="A1870" s="2">
        <v>1868</v>
      </c>
      <c r="B1870" t="s">
        <v>1131</v>
      </c>
      <c r="C1870" s="1">
        <v>46129</v>
      </c>
      <c r="E1870">
        <v>1780.63790885</v>
      </c>
      <c r="F1870">
        <v>1783.0570405799999</v>
      </c>
      <c r="G1870">
        <v>1780.63790885</v>
      </c>
    </row>
    <row r="1871" spans="1:7" x14ac:dyDescent="0.25">
      <c r="A1871" s="2">
        <v>1869</v>
      </c>
      <c r="B1871" t="s">
        <v>1135</v>
      </c>
      <c r="C1871" s="1">
        <v>46129</v>
      </c>
      <c r="D1871">
        <v>94.398449999999997</v>
      </c>
      <c r="E1871">
        <v>481.64664359</v>
      </c>
      <c r="F1871">
        <v>485.20612404000002</v>
      </c>
      <c r="G1871">
        <v>481.64664359</v>
      </c>
    </row>
    <row r="1872" spans="1:7" x14ac:dyDescent="0.25">
      <c r="A1872" s="2">
        <v>1870</v>
      </c>
      <c r="B1872" t="s">
        <v>1137</v>
      </c>
      <c r="C1872" s="1">
        <v>46129</v>
      </c>
      <c r="D1872">
        <v>80.157430000000005</v>
      </c>
      <c r="E1872">
        <v>905.27581458999998</v>
      </c>
      <c r="F1872">
        <v>907.14569912000002</v>
      </c>
      <c r="G1872">
        <v>905.27581458999998</v>
      </c>
    </row>
    <row r="1873" spans="1:7" x14ac:dyDescent="0.25">
      <c r="A1873" s="2">
        <v>1871</v>
      </c>
      <c r="B1873" t="s">
        <v>1139</v>
      </c>
      <c r="C1873" s="1">
        <v>46129</v>
      </c>
      <c r="D1873">
        <v>85.855760000000004</v>
      </c>
      <c r="E1873">
        <v>854.09890867000001</v>
      </c>
      <c r="F1873">
        <v>856.03945600999998</v>
      </c>
      <c r="G1873">
        <v>854.09890867000001</v>
      </c>
    </row>
    <row r="1874" spans="1:7" x14ac:dyDescent="0.25">
      <c r="A1874" s="2">
        <v>1872</v>
      </c>
      <c r="B1874" t="s">
        <v>1141</v>
      </c>
      <c r="C1874" s="1">
        <v>46129</v>
      </c>
      <c r="D1874">
        <v>95.162379999999999</v>
      </c>
      <c r="E1874">
        <v>754.26999341999999</v>
      </c>
      <c r="F1874">
        <v>757.01737535999996</v>
      </c>
      <c r="G1874">
        <v>754.26999341999999</v>
      </c>
    </row>
    <row r="1875" spans="1:7" x14ac:dyDescent="0.25">
      <c r="A1875" s="2">
        <v>1873</v>
      </c>
      <c r="B1875" t="s">
        <v>1143</v>
      </c>
      <c r="C1875" s="1">
        <v>46129</v>
      </c>
      <c r="D1875">
        <v>78</v>
      </c>
      <c r="E1875">
        <v>1546.1955638699999</v>
      </c>
      <c r="F1875">
        <v>1548.5384672600001</v>
      </c>
      <c r="G1875">
        <v>1546.1955638699999</v>
      </c>
    </row>
    <row r="1876" spans="1:7" x14ac:dyDescent="0.25">
      <c r="A1876" s="2">
        <v>1874</v>
      </c>
      <c r="B1876" t="s">
        <v>1145</v>
      </c>
      <c r="C1876" s="1">
        <v>46129</v>
      </c>
      <c r="D1876">
        <v>80.143249999999995</v>
      </c>
      <c r="E1876">
        <v>2099.8239054999999</v>
      </c>
      <c r="F1876">
        <v>2103.4427824300001</v>
      </c>
      <c r="G1876">
        <v>2099.8239054999999</v>
      </c>
    </row>
    <row r="1877" spans="1:7" x14ac:dyDescent="0.25">
      <c r="A1877" s="2">
        <v>1875</v>
      </c>
      <c r="B1877" t="s">
        <v>1147</v>
      </c>
      <c r="C1877" s="1">
        <v>46129</v>
      </c>
    </row>
    <row r="1878" spans="1:7" x14ac:dyDescent="0.25">
      <c r="A1878" s="2">
        <v>1876</v>
      </c>
      <c r="B1878" t="s">
        <v>1151</v>
      </c>
      <c r="C1878" s="1">
        <v>46129</v>
      </c>
      <c r="D1878">
        <v>91</v>
      </c>
      <c r="F1878">
        <v>962.75287719000005</v>
      </c>
    </row>
    <row r="1879" spans="1:7" x14ac:dyDescent="0.25">
      <c r="A1879" s="2">
        <v>1877</v>
      </c>
      <c r="B1879" t="s">
        <v>1152</v>
      </c>
      <c r="C1879" s="1">
        <v>46129</v>
      </c>
    </row>
    <row r="1880" spans="1:7" x14ac:dyDescent="0.25">
      <c r="A1880" s="2">
        <v>1878</v>
      </c>
      <c r="B1880" t="s">
        <v>412</v>
      </c>
      <c r="C1880" s="1">
        <v>46129</v>
      </c>
      <c r="D1880">
        <v>83.333879999999994</v>
      </c>
      <c r="E1880">
        <v>586.52668085000005</v>
      </c>
      <c r="F1880">
        <v>588.27485830000001</v>
      </c>
      <c r="G1880">
        <v>586.52668085000005</v>
      </c>
    </row>
    <row r="1881" spans="1:7" x14ac:dyDescent="0.25">
      <c r="A1881" s="2">
        <v>1879</v>
      </c>
      <c r="B1881" t="s">
        <v>416</v>
      </c>
      <c r="C1881" s="1">
        <v>46129</v>
      </c>
      <c r="D1881">
        <v>106.551</v>
      </c>
      <c r="E1881">
        <v>96.303702479999998</v>
      </c>
      <c r="F1881">
        <v>99.755914169999997</v>
      </c>
      <c r="G1881">
        <v>96.303702479999998</v>
      </c>
    </row>
    <row r="1882" spans="1:7" x14ac:dyDescent="0.25">
      <c r="A1882" s="2">
        <v>1880</v>
      </c>
      <c r="B1882" t="s">
        <v>418</v>
      </c>
      <c r="C1882" s="1">
        <v>46129</v>
      </c>
      <c r="D1882">
        <v>103.2371</v>
      </c>
      <c r="E1882">
        <v>287.06492143999998</v>
      </c>
      <c r="F1882">
        <v>288.93803611999999</v>
      </c>
      <c r="G1882">
        <v>287.06492143999998</v>
      </c>
    </row>
    <row r="1883" spans="1:7" x14ac:dyDescent="0.25">
      <c r="A1883" s="2">
        <v>1881</v>
      </c>
      <c r="B1883" t="s">
        <v>420</v>
      </c>
      <c r="C1883" s="1">
        <v>46129</v>
      </c>
      <c r="D1883">
        <v>103.7899</v>
      </c>
      <c r="E1883">
        <v>501.33946653999999</v>
      </c>
      <c r="F1883">
        <v>503.21741875999999</v>
      </c>
      <c r="G1883">
        <v>501.33946653999999</v>
      </c>
    </row>
    <row r="1884" spans="1:7" x14ac:dyDescent="0.25">
      <c r="A1884" s="2">
        <v>1882</v>
      </c>
      <c r="B1884" t="s">
        <v>422</v>
      </c>
      <c r="C1884" s="1">
        <v>46129</v>
      </c>
      <c r="D1884">
        <v>80.380110000000002</v>
      </c>
      <c r="E1884">
        <v>651.10271464000004</v>
      </c>
      <c r="F1884">
        <v>652.53433337000001</v>
      </c>
      <c r="G1884">
        <v>651.10271464000004</v>
      </c>
    </row>
    <row r="1885" spans="1:7" x14ac:dyDescent="0.25">
      <c r="A1885" s="2">
        <v>1883</v>
      </c>
      <c r="B1885" t="s">
        <v>424</v>
      </c>
      <c r="C1885" s="1">
        <v>46129</v>
      </c>
      <c r="D1885">
        <v>100.375</v>
      </c>
      <c r="F1885">
        <v>271.57064800000001</v>
      </c>
    </row>
    <row r="1886" spans="1:7" x14ac:dyDescent="0.25">
      <c r="A1886" s="2">
        <v>1884</v>
      </c>
      <c r="B1886" t="s">
        <v>426</v>
      </c>
      <c r="C1886" s="1">
        <v>46129</v>
      </c>
    </row>
    <row r="1887" spans="1:7" x14ac:dyDescent="0.25">
      <c r="A1887" s="2">
        <v>1885</v>
      </c>
      <c r="B1887" t="s">
        <v>1154</v>
      </c>
      <c r="C1887" s="1">
        <v>46129</v>
      </c>
      <c r="D1887">
        <v>72.5</v>
      </c>
      <c r="F1887">
        <v>1695.72182032</v>
      </c>
    </row>
    <row r="1888" spans="1:7" x14ac:dyDescent="0.25">
      <c r="A1888" s="2">
        <v>1886</v>
      </c>
      <c r="B1888" t="s">
        <v>566</v>
      </c>
      <c r="C1888" s="1">
        <v>46129</v>
      </c>
      <c r="D1888">
        <v>79.657390000000007</v>
      </c>
      <c r="E1888">
        <v>3223.03522501</v>
      </c>
      <c r="F1888">
        <v>3225.8291313599998</v>
      </c>
      <c r="G1888">
        <v>3223.03522501</v>
      </c>
    </row>
    <row r="1889" spans="1:7" x14ac:dyDescent="0.25">
      <c r="A1889" s="2">
        <v>1887</v>
      </c>
      <c r="B1889" t="s">
        <v>570</v>
      </c>
      <c r="C1889" s="1">
        <v>46129</v>
      </c>
    </row>
    <row r="1890" spans="1:7" x14ac:dyDescent="0.25">
      <c r="A1890" s="2">
        <v>1888</v>
      </c>
      <c r="B1890" t="s">
        <v>572</v>
      </c>
      <c r="C1890" s="1">
        <v>46129</v>
      </c>
    </row>
    <row r="1891" spans="1:7" x14ac:dyDescent="0.25">
      <c r="A1891" s="2">
        <v>1889</v>
      </c>
      <c r="B1891" t="s">
        <v>573</v>
      </c>
      <c r="C1891" s="1">
        <v>46129</v>
      </c>
      <c r="D1891">
        <v>40.869109999999999</v>
      </c>
      <c r="E1891">
        <v>5109.4774434499996</v>
      </c>
      <c r="F1891">
        <v>5114.7295965100002</v>
      </c>
      <c r="G1891">
        <v>5109.4774434499996</v>
      </c>
    </row>
    <row r="1892" spans="1:7" x14ac:dyDescent="0.25">
      <c r="A1892" s="2">
        <v>1890</v>
      </c>
      <c r="B1892" t="s">
        <v>574</v>
      </c>
      <c r="C1892" s="1">
        <v>46129</v>
      </c>
      <c r="D1892">
        <v>78.58211</v>
      </c>
      <c r="E1892">
        <v>1837.8722356799999</v>
      </c>
      <c r="F1892">
        <v>1841.2604209399999</v>
      </c>
      <c r="G1892">
        <v>1837.8722356799999</v>
      </c>
    </row>
    <row r="1893" spans="1:7" x14ac:dyDescent="0.25">
      <c r="A1893" s="2">
        <v>1891</v>
      </c>
      <c r="B1893" t="s">
        <v>575</v>
      </c>
      <c r="C1893" s="1">
        <v>46129</v>
      </c>
      <c r="D1893">
        <v>98.567189999999997</v>
      </c>
      <c r="E1893">
        <v>2470.4927938400001</v>
      </c>
      <c r="F1893">
        <v>2473.6038631800002</v>
      </c>
      <c r="G1893">
        <v>2470.4927938400001</v>
      </c>
    </row>
    <row r="1894" spans="1:7" x14ac:dyDescent="0.25">
      <c r="A1894" s="2">
        <v>1892</v>
      </c>
      <c r="B1894" t="s">
        <v>577</v>
      </c>
      <c r="C1894" s="1">
        <v>46129</v>
      </c>
    </row>
    <row r="1895" spans="1:7" x14ac:dyDescent="0.25">
      <c r="A1895" s="2">
        <v>1893</v>
      </c>
      <c r="B1895" t="s">
        <v>579</v>
      </c>
      <c r="C1895" s="1">
        <v>46129</v>
      </c>
      <c r="D1895">
        <v>72</v>
      </c>
      <c r="F1895">
        <v>1921.8581872300001</v>
      </c>
    </row>
    <row r="1896" spans="1:7" x14ac:dyDescent="0.25">
      <c r="A1896" s="2">
        <v>1894</v>
      </c>
      <c r="B1896" t="s">
        <v>581</v>
      </c>
      <c r="C1896" s="1">
        <v>46129</v>
      </c>
      <c r="D1896">
        <v>71.75</v>
      </c>
      <c r="F1896">
        <v>1841.9059713900001</v>
      </c>
    </row>
    <row r="1897" spans="1:7" x14ac:dyDescent="0.25">
      <c r="A1897" s="2">
        <v>1895</v>
      </c>
      <c r="B1897" t="s">
        <v>582</v>
      </c>
      <c r="C1897" s="1">
        <v>46129</v>
      </c>
      <c r="D1897">
        <v>31</v>
      </c>
      <c r="F1897">
        <v>6015.0516141099997</v>
      </c>
    </row>
    <row r="1898" spans="1:7" x14ac:dyDescent="0.25">
      <c r="A1898" s="2">
        <v>1896</v>
      </c>
      <c r="B1898" t="s">
        <v>584</v>
      </c>
      <c r="C1898" s="1">
        <v>46129</v>
      </c>
    </row>
    <row r="1899" spans="1:7" x14ac:dyDescent="0.25">
      <c r="A1899" s="2">
        <v>1897</v>
      </c>
      <c r="B1899" t="s">
        <v>2670</v>
      </c>
      <c r="C1899" s="1">
        <v>46129</v>
      </c>
    </row>
    <row r="1900" spans="1:7" x14ac:dyDescent="0.25">
      <c r="A1900" s="2">
        <v>1898</v>
      </c>
      <c r="B1900" t="s">
        <v>2672</v>
      </c>
      <c r="C1900" s="1">
        <v>46129</v>
      </c>
    </row>
    <row r="1901" spans="1:7" x14ac:dyDescent="0.25">
      <c r="A1901" s="2">
        <v>1899</v>
      </c>
      <c r="B1901" t="s">
        <v>2674</v>
      </c>
      <c r="C1901" s="1">
        <v>46129</v>
      </c>
    </row>
    <row r="1902" spans="1:7" x14ac:dyDescent="0.25">
      <c r="A1902" s="2">
        <v>1900</v>
      </c>
      <c r="B1902" t="s">
        <v>3392</v>
      </c>
      <c r="C1902" s="1">
        <v>46129</v>
      </c>
      <c r="D1902">
        <v>78.25</v>
      </c>
      <c r="F1902">
        <v>1008.64840611</v>
      </c>
    </row>
    <row r="1903" spans="1:7" x14ac:dyDescent="0.25">
      <c r="A1903" s="2">
        <v>1901</v>
      </c>
      <c r="B1903" t="s">
        <v>3397</v>
      </c>
      <c r="C1903" s="1">
        <v>46129</v>
      </c>
      <c r="D1903">
        <v>92.25</v>
      </c>
      <c r="F1903">
        <v>879.62821051000003</v>
      </c>
    </row>
    <row r="1904" spans="1:7" x14ac:dyDescent="0.25">
      <c r="A1904" s="2">
        <v>1902</v>
      </c>
      <c r="B1904" t="s">
        <v>3399</v>
      </c>
      <c r="C1904" s="1">
        <v>46129</v>
      </c>
    </row>
    <row r="1905" spans="1:7" x14ac:dyDescent="0.25">
      <c r="A1905" s="2">
        <v>1903</v>
      </c>
      <c r="B1905" t="s">
        <v>3401</v>
      </c>
      <c r="C1905" s="1">
        <v>46129</v>
      </c>
      <c r="D1905">
        <v>76</v>
      </c>
      <c r="F1905">
        <v>1769.0400162200001</v>
      </c>
    </row>
    <row r="1906" spans="1:7" x14ac:dyDescent="0.25">
      <c r="A1906" s="2">
        <v>1904</v>
      </c>
      <c r="B1906" t="s">
        <v>1195</v>
      </c>
      <c r="C1906" s="1">
        <v>46129</v>
      </c>
    </row>
    <row r="1907" spans="1:7" x14ac:dyDescent="0.25">
      <c r="A1907" s="2">
        <v>1905</v>
      </c>
      <c r="B1907" t="s">
        <v>1198</v>
      </c>
      <c r="C1907" s="1">
        <v>46129</v>
      </c>
      <c r="D1907">
        <v>71.5</v>
      </c>
      <c r="F1907">
        <v>1519.02649623</v>
      </c>
    </row>
    <row r="1908" spans="1:7" x14ac:dyDescent="0.25">
      <c r="A1908" s="2">
        <v>1906</v>
      </c>
      <c r="B1908" t="s">
        <v>1200</v>
      </c>
      <c r="C1908" s="1">
        <v>46129</v>
      </c>
      <c r="D1908">
        <v>78.75</v>
      </c>
      <c r="F1908">
        <v>1723.0237225200001</v>
      </c>
    </row>
    <row r="1909" spans="1:7" x14ac:dyDescent="0.25">
      <c r="A1909" s="2">
        <v>1907</v>
      </c>
      <c r="B1909" t="s">
        <v>1203</v>
      </c>
      <c r="C1909" s="1">
        <v>46129</v>
      </c>
    </row>
    <row r="1910" spans="1:7" x14ac:dyDescent="0.25">
      <c r="A1910" s="2">
        <v>1908</v>
      </c>
      <c r="B1910" t="s">
        <v>1225</v>
      </c>
      <c r="C1910" s="1">
        <v>46129</v>
      </c>
      <c r="D1910">
        <v>36.181959999999997</v>
      </c>
      <c r="E1910">
        <v>3565.7095280100002</v>
      </c>
      <c r="F1910">
        <v>3566.22446154</v>
      </c>
      <c r="G1910">
        <v>3565.7095280100002</v>
      </c>
    </row>
    <row r="1911" spans="1:7" x14ac:dyDescent="0.25">
      <c r="A1911" s="2">
        <v>1909</v>
      </c>
      <c r="B1911" t="s">
        <v>1229</v>
      </c>
      <c r="C1911" s="1">
        <v>46129</v>
      </c>
      <c r="D1911">
        <v>59.857599999999998</v>
      </c>
      <c r="E1911">
        <v>1803.3829713299999</v>
      </c>
      <c r="F1911">
        <v>1804.71926635</v>
      </c>
      <c r="G1911">
        <v>1803.3829713299999</v>
      </c>
    </row>
    <row r="1912" spans="1:7" x14ac:dyDescent="0.25">
      <c r="A1912" s="2">
        <v>1910</v>
      </c>
      <c r="B1912" t="s">
        <v>1231</v>
      </c>
      <c r="C1912" s="1">
        <v>46129</v>
      </c>
      <c r="D1912">
        <v>59.5</v>
      </c>
      <c r="F1912">
        <v>1766.57034744</v>
      </c>
    </row>
    <row r="1913" spans="1:7" x14ac:dyDescent="0.25">
      <c r="A1913" s="2">
        <v>1911</v>
      </c>
      <c r="B1913" t="s">
        <v>1233</v>
      </c>
      <c r="C1913" s="1">
        <v>46129</v>
      </c>
    </row>
    <row r="1914" spans="1:7" x14ac:dyDescent="0.25">
      <c r="A1914" s="2">
        <v>1912</v>
      </c>
      <c r="B1914" t="s">
        <v>3403</v>
      </c>
      <c r="C1914" s="1">
        <v>46129</v>
      </c>
      <c r="D1914">
        <v>102.5</v>
      </c>
      <c r="F1914">
        <v>486.50161415999997</v>
      </c>
    </row>
    <row r="1915" spans="1:7" x14ac:dyDescent="0.25">
      <c r="A1915" s="2">
        <v>1913</v>
      </c>
      <c r="B1915" t="s">
        <v>3407</v>
      </c>
      <c r="C1915" s="1">
        <v>46129</v>
      </c>
      <c r="D1915">
        <v>79.25</v>
      </c>
      <c r="F1915">
        <v>1212.4551208600001</v>
      </c>
    </row>
    <row r="1916" spans="1:7" x14ac:dyDescent="0.25">
      <c r="A1916" s="2">
        <v>1914</v>
      </c>
      <c r="B1916" t="s">
        <v>1235</v>
      </c>
      <c r="C1916" s="1">
        <v>46129</v>
      </c>
      <c r="D1916">
        <v>95.733000000000004</v>
      </c>
      <c r="E1916">
        <v>487.41940955000001</v>
      </c>
      <c r="F1916">
        <v>491.31288438000001</v>
      </c>
      <c r="G1916">
        <v>487.41940955000001</v>
      </c>
    </row>
    <row r="1917" spans="1:7" x14ac:dyDescent="0.25">
      <c r="A1917" s="2">
        <v>1915</v>
      </c>
      <c r="B1917" t="s">
        <v>1239</v>
      </c>
      <c r="C1917" s="1">
        <v>46129</v>
      </c>
      <c r="D1917">
        <v>96.425030000000007</v>
      </c>
      <c r="E1917">
        <v>575.17500367000002</v>
      </c>
      <c r="F1917">
        <v>579.24510139999995</v>
      </c>
      <c r="G1917">
        <v>575.17500367000002</v>
      </c>
    </row>
    <row r="1918" spans="1:7" x14ac:dyDescent="0.25">
      <c r="A1918" s="2">
        <v>1916</v>
      </c>
      <c r="B1918" t="s">
        <v>1241</v>
      </c>
      <c r="C1918" s="1">
        <v>46129</v>
      </c>
      <c r="D1918">
        <v>87.317999999999998</v>
      </c>
      <c r="E1918">
        <v>856.29495596000004</v>
      </c>
      <c r="F1918">
        <v>857.43266816000005</v>
      </c>
      <c r="G1918">
        <v>856.29495596000004</v>
      </c>
    </row>
    <row r="1919" spans="1:7" x14ac:dyDescent="0.25">
      <c r="A1919" s="2">
        <v>1917</v>
      </c>
      <c r="B1919" t="s">
        <v>1243</v>
      </c>
      <c r="C1919" s="1">
        <v>46129</v>
      </c>
      <c r="D1919">
        <v>83.210999999999999</v>
      </c>
      <c r="E1919">
        <v>841.29330192999998</v>
      </c>
      <c r="F1919">
        <v>843.28994838999995</v>
      </c>
      <c r="G1919">
        <v>841.29330192999998</v>
      </c>
    </row>
    <row r="1920" spans="1:7" x14ac:dyDescent="0.25">
      <c r="A1920" s="2">
        <v>1918</v>
      </c>
      <c r="B1920" t="s">
        <v>1245</v>
      </c>
      <c r="C1920" s="1">
        <v>46129</v>
      </c>
      <c r="D1920">
        <v>83.738510000000005</v>
      </c>
      <c r="E1920">
        <v>876.42480826999997</v>
      </c>
      <c r="F1920">
        <v>877.46099475999995</v>
      </c>
      <c r="G1920">
        <v>876.42480826999997</v>
      </c>
    </row>
    <row r="1921" spans="1:7" x14ac:dyDescent="0.25">
      <c r="A1921" s="2">
        <v>1919</v>
      </c>
      <c r="B1921" t="s">
        <v>1247</v>
      </c>
      <c r="C1921" s="1">
        <v>46129</v>
      </c>
      <c r="D1921">
        <v>87.75</v>
      </c>
      <c r="F1921">
        <v>913.37054713999999</v>
      </c>
    </row>
    <row r="1922" spans="1:7" x14ac:dyDescent="0.25">
      <c r="A1922" s="2">
        <v>1920</v>
      </c>
      <c r="B1922" t="s">
        <v>1249</v>
      </c>
      <c r="C1922" s="1">
        <v>46129</v>
      </c>
      <c r="D1922">
        <v>88.25</v>
      </c>
      <c r="F1922">
        <v>792.43487072000005</v>
      </c>
    </row>
    <row r="1923" spans="1:7" x14ac:dyDescent="0.25">
      <c r="A1923" s="2">
        <v>1921</v>
      </c>
      <c r="B1923" t="s">
        <v>1251</v>
      </c>
      <c r="C1923" s="1">
        <v>46129</v>
      </c>
      <c r="D1923">
        <v>100.25</v>
      </c>
      <c r="F1923">
        <v>474.46543606</v>
      </c>
    </row>
    <row r="1924" spans="1:7" x14ac:dyDescent="0.25">
      <c r="A1924" s="2">
        <v>1922</v>
      </c>
      <c r="B1924" t="s">
        <v>1252</v>
      </c>
      <c r="C1924" s="1">
        <v>46129</v>
      </c>
      <c r="D1924">
        <v>79.5</v>
      </c>
      <c r="F1924">
        <v>1895.6187879900001</v>
      </c>
    </row>
    <row r="1925" spans="1:7" x14ac:dyDescent="0.25">
      <c r="A1925" s="2">
        <v>1923</v>
      </c>
      <c r="B1925" t="s">
        <v>1256</v>
      </c>
      <c r="C1925" s="1">
        <v>46129</v>
      </c>
      <c r="D1925">
        <v>82.69041</v>
      </c>
      <c r="E1925">
        <v>1215.3736785000001</v>
      </c>
      <c r="F1925">
        <v>1233.9178857300001</v>
      </c>
      <c r="G1925">
        <v>1215.3736785000001</v>
      </c>
    </row>
    <row r="1926" spans="1:7" x14ac:dyDescent="0.25">
      <c r="A1926" s="2">
        <v>1924</v>
      </c>
      <c r="B1926" t="s">
        <v>1260</v>
      </c>
      <c r="C1926" s="1">
        <v>46129</v>
      </c>
    </row>
    <row r="1927" spans="1:7" x14ac:dyDescent="0.25">
      <c r="A1927" s="2">
        <v>1925</v>
      </c>
      <c r="B1927" t="s">
        <v>1262</v>
      </c>
      <c r="C1927" s="1">
        <v>46129</v>
      </c>
      <c r="D1927">
        <v>27.5</v>
      </c>
      <c r="F1927">
        <v>5333.7348017699996</v>
      </c>
    </row>
    <row r="1928" spans="1:7" x14ac:dyDescent="0.25">
      <c r="A1928" s="2">
        <v>1926</v>
      </c>
      <c r="B1928" t="s">
        <v>1264</v>
      </c>
      <c r="C1928" s="1">
        <v>46129</v>
      </c>
      <c r="D1928">
        <v>32.5</v>
      </c>
      <c r="F1928">
        <v>5810.27991466</v>
      </c>
    </row>
    <row r="1929" spans="1:7" x14ac:dyDescent="0.25">
      <c r="A1929" s="2">
        <v>1927</v>
      </c>
      <c r="B1929" t="s">
        <v>1266</v>
      </c>
      <c r="C1929" s="1">
        <v>46129</v>
      </c>
      <c r="D1929">
        <v>34.5</v>
      </c>
    </row>
    <row r="1930" spans="1:7" x14ac:dyDescent="0.25">
      <c r="A1930" s="2">
        <v>1928</v>
      </c>
      <c r="B1930" t="s">
        <v>1268</v>
      </c>
      <c r="C1930" s="1">
        <v>46129</v>
      </c>
      <c r="D1930">
        <v>34</v>
      </c>
      <c r="F1930">
        <v>6548.2937645000002</v>
      </c>
    </row>
    <row r="1931" spans="1:7" x14ac:dyDescent="0.25">
      <c r="A1931" s="2">
        <v>1929</v>
      </c>
      <c r="B1931" t="s">
        <v>1270</v>
      </c>
      <c r="C1931" s="1">
        <v>46129</v>
      </c>
      <c r="D1931">
        <v>42</v>
      </c>
    </row>
    <row r="1932" spans="1:7" x14ac:dyDescent="0.25">
      <c r="A1932" s="2">
        <v>1930</v>
      </c>
      <c r="B1932" t="s">
        <v>1271</v>
      </c>
      <c r="C1932" s="1">
        <v>46129</v>
      </c>
      <c r="D1932">
        <v>70.25</v>
      </c>
      <c r="F1932">
        <v>2052.1683527499999</v>
      </c>
    </row>
    <row r="1933" spans="1:7" x14ac:dyDescent="0.25">
      <c r="A1933" s="2">
        <v>1931</v>
      </c>
      <c r="B1933" t="s">
        <v>1272</v>
      </c>
      <c r="C1933" s="1">
        <v>46129</v>
      </c>
      <c r="D1933">
        <v>99</v>
      </c>
      <c r="F1933">
        <v>650.75724656</v>
      </c>
    </row>
    <row r="1934" spans="1:7" x14ac:dyDescent="0.25">
      <c r="A1934" s="2">
        <v>1932</v>
      </c>
      <c r="B1934" t="s">
        <v>3408</v>
      </c>
      <c r="C1934" s="1">
        <v>46129</v>
      </c>
      <c r="D1934">
        <v>35.5</v>
      </c>
      <c r="F1934">
        <v>5334.5853374600001</v>
      </c>
    </row>
    <row r="1935" spans="1:7" x14ac:dyDescent="0.25">
      <c r="A1935" s="2">
        <v>1933</v>
      </c>
      <c r="B1935" t="s">
        <v>3412</v>
      </c>
      <c r="C1935" s="1">
        <v>46129</v>
      </c>
      <c r="D1935">
        <v>67.5</v>
      </c>
      <c r="F1935">
        <v>2022.28547905</v>
      </c>
    </row>
    <row r="1936" spans="1:7" x14ac:dyDescent="0.25">
      <c r="A1936" s="2">
        <v>1934</v>
      </c>
      <c r="B1936" t="s">
        <v>3414</v>
      </c>
      <c r="C1936" s="1">
        <v>46129</v>
      </c>
      <c r="D1936">
        <v>98.875</v>
      </c>
      <c r="F1936">
        <v>992.64051695000001</v>
      </c>
    </row>
    <row r="1937" spans="1:7" x14ac:dyDescent="0.25">
      <c r="A1937" s="2">
        <v>1935</v>
      </c>
      <c r="B1937" t="s">
        <v>1273</v>
      </c>
      <c r="C1937" s="1">
        <v>46129</v>
      </c>
      <c r="D1937">
        <v>101.9474</v>
      </c>
      <c r="E1937">
        <v>502.63371732000002</v>
      </c>
      <c r="F1937">
        <v>504.95130191999999</v>
      </c>
      <c r="G1937">
        <v>502.63371732000002</v>
      </c>
    </row>
    <row r="1938" spans="1:7" x14ac:dyDescent="0.25">
      <c r="A1938" s="2">
        <v>1936</v>
      </c>
      <c r="B1938" t="s">
        <v>1277</v>
      </c>
      <c r="C1938" s="1">
        <v>46129</v>
      </c>
    </row>
    <row r="1939" spans="1:7" x14ac:dyDescent="0.25">
      <c r="A1939" s="2">
        <v>1937</v>
      </c>
      <c r="B1939" t="s">
        <v>1279</v>
      </c>
      <c r="C1939" s="1">
        <v>46129</v>
      </c>
      <c r="D1939">
        <v>99.625</v>
      </c>
      <c r="F1939">
        <v>512.19205459</v>
      </c>
    </row>
    <row r="1940" spans="1:7" x14ac:dyDescent="0.25">
      <c r="A1940" s="2">
        <v>1938</v>
      </c>
      <c r="B1940" t="s">
        <v>1281</v>
      </c>
      <c r="C1940" s="1">
        <v>46129</v>
      </c>
      <c r="D1940">
        <v>91.778850000000006</v>
      </c>
      <c r="E1940">
        <v>534.38755514000002</v>
      </c>
      <c r="F1940">
        <v>535.11013215000003</v>
      </c>
      <c r="G1940">
        <v>534.38755514000002</v>
      </c>
    </row>
    <row r="1941" spans="1:7" x14ac:dyDescent="0.25">
      <c r="A1941" s="2">
        <v>1939</v>
      </c>
      <c r="B1941" t="s">
        <v>1285</v>
      </c>
      <c r="C1941" s="1">
        <v>46129</v>
      </c>
      <c r="D1941">
        <v>90.25</v>
      </c>
      <c r="F1941">
        <v>564.59704442999998</v>
      </c>
    </row>
    <row r="1942" spans="1:7" x14ac:dyDescent="0.25">
      <c r="A1942" s="2">
        <v>1940</v>
      </c>
      <c r="B1942" t="s">
        <v>1287</v>
      </c>
      <c r="C1942" s="1">
        <v>46129</v>
      </c>
    </row>
    <row r="1943" spans="1:7" x14ac:dyDescent="0.25">
      <c r="A1943" s="2">
        <v>1941</v>
      </c>
      <c r="B1943" t="s">
        <v>1289</v>
      </c>
      <c r="C1943" s="1">
        <v>46129</v>
      </c>
    </row>
    <row r="1944" spans="1:7" x14ac:dyDescent="0.25">
      <c r="A1944" s="2">
        <v>1942</v>
      </c>
      <c r="B1944" t="s">
        <v>3416</v>
      </c>
      <c r="C1944" s="1">
        <v>46129</v>
      </c>
      <c r="D1944">
        <v>105.33880000000001</v>
      </c>
      <c r="E1944">
        <v>142.28695894000001</v>
      </c>
      <c r="F1944">
        <v>142.68129968</v>
      </c>
      <c r="G1944">
        <v>142.28695894000001</v>
      </c>
    </row>
    <row r="1945" spans="1:7" x14ac:dyDescent="0.25">
      <c r="A1945" s="2">
        <v>1943</v>
      </c>
      <c r="B1945" t="s">
        <v>3420</v>
      </c>
      <c r="C1945" s="1">
        <v>46129</v>
      </c>
      <c r="D1945">
        <v>103.0568</v>
      </c>
      <c r="E1945">
        <v>191.33445252999999</v>
      </c>
      <c r="F1945">
        <v>193.23418459999999</v>
      </c>
      <c r="G1945">
        <v>191.33445252999999</v>
      </c>
    </row>
    <row r="1946" spans="1:7" x14ac:dyDescent="0.25">
      <c r="A1946" s="2">
        <v>1944</v>
      </c>
      <c r="B1946" t="s">
        <v>3422</v>
      </c>
      <c r="C1946" s="1">
        <v>46129</v>
      </c>
      <c r="D1946">
        <v>100.6677</v>
      </c>
      <c r="E1946">
        <v>154.68405727000001</v>
      </c>
      <c r="F1946">
        <v>154.64817373</v>
      </c>
      <c r="G1946">
        <v>154.68405727000001</v>
      </c>
    </row>
    <row r="1947" spans="1:7" x14ac:dyDescent="0.25">
      <c r="A1947" s="2">
        <v>1945</v>
      </c>
      <c r="B1947" t="s">
        <v>3424</v>
      </c>
      <c r="C1947" s="1">
        <v>46129</v>
      </c>
      <c r="D1947">
        <v>95.094179999999994</v>
      </c>
      <c r="E1947">
        <v>108.11808198</v>
      </c>
      <c r="F1947">
        <v>110.07076264</v>
      </c>
      <c r="G1947">
        <v>108.11808198</v>
      </c>
    </row>
    <row r="1948" spans="1:7" x14ac:dyDescent="0.25">
      <c r="A1948" s="2">
        <v>1946</v>
      </c>
      <c r="B1948" t="s">
        <v>3426</v>
      </c>
      <c r="C1948" s="1">
        <v>46129</v>
      </c>
    </row>
    <row r="1949" spans="1:7" x14ac:dyDescent="0.25">
      <c r="A1949" s="2">
        <v>1947</v>
      </c>
      <c r="B1949" t="s">
        <v>3428</v>
      </c>
      <c r="C1949" s="1">
        <v>46129</v>
      </c>
    </row>
    <row r="1950" spans="1:7" x14ac:dyDescent="0.25">
      <c r="A1950" s="2">
        <v>1948</v>
      </c>
      <c r="B1950" t="s">
        <v>3430</v>
      </c>
      <c r="C1950" s="1">
        <v>46129</v>
      </c>
      <c r="D1950">
        <v>95.5</v>
      </c>
      <c r="F1950">
        <v>479.14295041999998</v>
      </c>
    </row>
    <row r="1951" spans="1:7" x14ac:dyDescent="0.25">
      <c r="A1951" s="2">
        <v>1949</v>
      </c>
      <c r="B1951" t="s">
        <v>3432</v>
      </c>
      <c r="C1951" s="1">
        <v>46129</v>
      </c>
      <c r="D1951">
        <v>96</v>
      </c>
      <c r="F1951">
        <v>466.68394726999998</v>
      </c>
    </row>
    <row r="1952" spans="1:7" x14ac:dyDescent="0.25">
      <c r="A1952" s="2">
        <v>1950</v>
      </c>
      <c r="B1952" t="s">
        <v>3434</v>
      </c>
      <c r="C1952" s="1">
        <v>46129</v>
      </c>
    </row>
    <row r="1953" spans="1:7" x14ac:dyDescent="0.25">
      <c r="A1953" s="2">
        <v>1951</v>
      </c>
      <c r="B1953" t="s">
        <v>3437</v>
      </c>
      <c r="C1953" s="1">
        <v>46129</v>
      </c>
    </row>
    <row r="1954" spans="1:7" x14ac:dyDescent="0.25">
      <c r="A1954" s="2">
        <v>1952</v>
      </c>
      <c r="B1954" t="s">
        <v>1303</v>
      </c>
      <c r="C1954" s="1">
        <v>46129</v>
      </c>
      <c r="D1954">
        <v>99.360550000000003</v>
      </c>
      <c r="E1954">
        <v>121.93383206</v>
      </c>
      <c r="F1954">
        <v>128.81378319000001</v>
      </c>
      <c r="G1954">
        <v>121.93383206</v>
      </c>
    </row>
    <row r="1955" spans="1:7" x14ac:dyDescent="0.25">
      <c r="A1955" s="2">
        <v>1953</v>
      </c>
      <c r="B1955" t="s">
        <v>1307</v>
      </c>
      <c r="C1955" s="1">
        <v>46129</v>
      </c>
      <c r="D1955">
        <v>98.511989999999997</v>
      </c>
      <c r="E1955">
        <v>124.59286784</v>
      </c>
      <c r="F1955">
        <v>130.28756186999999</v>
      </c>
      <c r="G1955">
        <v>124.59286784</v>
      </c>
    </row>
    <row r="1956" spans="1:7" x14ac:dyDescent="0.25">
      <c r="A1956" s="2">
        <v>1954</v>
      </c>
      <c r="B1956" t="s">
        <v>1309</v>
      </c>
      <c r="C1956" s="1">
        <v>46129</v>
      </c>
      <c r="D1956">
        <v>63.604480000000002</v>
      </c>
      <c r="E1956">
        <v>443.17580241000002</v>
      </c>
      <c r="F1956">
        <v>440.59532057000001</v>
      </c>
      <c r="G1956">
        <v>443.17580241000002</v>
      </c>
    </row>
    <row r="1957" spans="1:7" x14ac:dyDescent="0.25">
      <c r="A1957" s="2">
        <v>1955</v>
      </c>
      <c r="B1957" t="s">
        <v>1311</v>
      </c>
      <c r="C1957" s="1">
        <v>46129</v>
      </c>
      <c r="D1957">
        <v>79.444400000000002</v>
      </c>
      <c r="E1957">
        <v>450.65188934999998</v>
      </c>
      <c r="F1957">
        <v>451.02393218999998</v>
      </c>
      <c r="G1957">
        <v>450.65188934999998</v>
      </c>
    </row>
    <row r="1958" spans="1:7" x14ac:dyDescent="0.25">
      <c r="A1958" s="2">
        <v>1956</v>
      </c>
      <c r="B1958" t="s">
        <v>1313</v>
      </c>
      <c r="C1958" s="1">
        <v>46129</v>
      </c>
      <c r="D1958">
        <v>66.708100000000002</v>
      </c>
      <c r="E1958">
        <v>444.30021515999999</v>
      </c>
      <c r="F1958">
        <v>441.57932873999999</v>
      </c>
      <c r="G1958">
        <v>444.30021515999999</v>
      </c>
    </row>
    <row r="1959" spans="1:7" x14ac:dyDescent="0.25">
      <c r="A1959" s="2">
        <v>1957</v>
      </c>
      <c r="B1959" t="s">
        <v>1315</v>
      </c>
      <c r="C1959" s="1">
        <v>46129</v>
      </c>
      <c r="D1959">
        <v>69.208380000000005</v>
      </c>
      <c r="E1959">
        <v>459.56128596999997</v>
      </c>
      <c r="F1959">
        <v>456.35838709000001</v>
      </c>
      <c r="G1959">
        <v>459.56128596999997</v>
      </c>
    </row>
    <row r="1960" spans="1:7" x14ac:dyDescent="0.25">
      <c r="A1960" s="2">
        <v>1958</v>
      </c>
      <c r="B1960" t="s">
        <v>1317</v>
      </c>
      <c r="C1960" s="1">
        <v>46129</v>
      </c>
      <c r="D1960">
        <v>75.337879999999998</v>
      </c>
      <c r="E1960">
        <v>460.37188357000002</v>
      </c>
      <c r="F1960">
        <v>456.61292463000001</v>
      </c>
      <c r="G1960">
        <v>460.37188357000002</v>
      </c>
    </row>
    <row r="1961" spans="1:7" x14ac:dyDescent="0.25">
      <c r="A1961" s="2">
        <v>1959</v>
      </c>
      <c r="B1961" t="s">
        <v>1319</v>
      </c>
      <c r="C1961" s="1">
        <v>46129</v>
      </c>
      <c r="D1961">
        <v>65.205619999999996</v>
      </c>
      <c r="E1961">
        <v>418.05813233999999</v>
      </c>
      <c r="F1961">
        <v>417.15017819000002</v>
      </c>
      <c r="G1961">
        <v>418.05813233999999</v>
      </c>
    </row>
    <row r="1962" spans="1:7" x14ac:dyDescent="0.25">
      <c r="A1962" s="2">
        <v>1960</v>
      </c>
      <c r="B1962" t="s">
        <v>1321</v>
      </c>
      <c r="C1962" s="1">
        <v>46129</v>
      </c>
      <c r="D1962">
        <v>63.90728</v>
      </c>
      <c r="E1962">
        <v>480.38645596999999</v>
      </c>
      <c r="F1962">
        <v>478.00487141999997</v>
      </c>
      <c r="G1962">
        <v>480.38645596999999</v>
      </c>
    </row>
    <row r="1963" spans="1:7" x14ac:dyDescent="0.25">
      <c r="A1963" s="2">
        <v>1961</v>
      </c>
      <c r="B1963" t="s">
        <v>1323</v>
      </c>
      <c r="C1963" s="1">
        <v>46129</v>
      </c>
      <c r="D1963">
        <v>69.297020000000003</v>
      </c>
      <c r="E1963">
        <v>430.37624167000001</v>
      </c>
      <c r="F1963">
        <v>428.66300928999999</v>
      </c>
      <c r="G1963">
        <v>430.37624167000001</v>
      </c>
    </row>
    <row r="1964" spans="1:7" x14ac:dyDescent="0.25">
      <c r="A1964" s="2">
        <v>1962</v>
      </c>
      <c r="B1964" t="s">
        <v>1325</v>
      </c>
      <c r="C1964" s="1">
        <v>46129</v>
      </c>
      <c r="D1964">
        <v>62.379309999999997</v>
      </c>
      <c r="E1964">
        <v>522.52082829999995</v>
      </c>
      <c r="F1964">
        <v>520.70247832999996</v>
      </c>
      <c r="G1964">
        <v>522.52082829999995</v>
      </c>
    </row>
    <row r="1965" spans="1:7" x14ac:dyDescent="0.25">
      <c r="A1965" s="2">
        <v>1963</v>
      </c>
      <c r="B1965" t="s">
        <v>1327</v>
      </c>
      <c r="C1965" s="1">
        <v>46129</v>
      </c>
      <c r="D1965">
        <v>79.83502</v>
      </c>
      <c r="E1965">
        <v>435.22356783999999</v>
      </c>
      <c r="F1965">
        <v>431.81363540000001</v>
      </c>
      <c r="G1965">
        <v>435.22356783999999</v>
      </c>
    </row>
    <row r="1966" spans="1:7" x14ac:dyDescent="0.25">
      <c r="A1966" s="2">
        <v>1964</v>
      </c>
      <c r="B1966" t="s">
        <v>1329</v>
      </c>
      <c r="C1966" s="1">
        <v>46129</v>
      </c>
      <c r="D1966">
        <v>90.052199999999999</v>
      </c>
      <c r="E1966">
        <v>417.77820115999998</v>
      </c>
      <c r="F1966">
        <v>415.40982867999998</v>
      </c>
      <c r="G1966">
        <v>417.77820115999998</v>
      </c>
    </row>
    <row r="1967" spans="1:7" x14ac:dyDescent="0.25">
      <c r="A1967" s="2">
        <v>1965</v>
      </c>
      <c r="B1967" t="s">
        <v>1331</v>
      </c>
      <c r="C1967" s="1">
        <v>46129</v>
      </c>
      <c r="D1967">
        <v>95.722470000000001</v>
      </c>
      <c r="E1967">
        <v>367.83486584000002</v>
      </c>
      <c r="F1967">
        <v>366.39879976999998</v>
      </c>
      <c r="G1967">
        <v>367.83486584000002</v>
      </c>
    </row>
    <row r="1968" spans="1:7" x14ac:dyDescent="0.25">
      <c r="A1968" s="2">
        <v>1966</v>
      </c>
      <c r="B1968" t="s">
        <v>1333</v>
      </c>
      <c r="C1968" s="1">
        <v>46129</v>
      </c>
      <c r="D1968">
        <v>91.542569999999998</v>
      </c>
      <c r="E1968">
        <v>334.77714307999997</v>
      </c>
      <c r="F1968">
        <v>335.56691108000001</v>
      </c>
      <c r="G1968">
        <v>334.77714307999997</v>
      </c>
    </row>
    <row r="1969" spans="1:7" x14ac:dyDescent="0.25">
      <c r="A1969" s="2">
        <v>1967</v>
      </c>
      <c r="B1969" t="s">
        <v>1335</v>
      </c>
      <c r="C1969" s="1">
        <v>46129</v>
      </c>
      <c r="D1969">
        <v>108.1056</v>
      </c>
      <c r="E1969">
        <v>218.35140565</v>
      </c>
      <c r="F1969">
        <v>220.06198104000001</v>
      </c>
      <c r="G1969">
        <v>218.35140565</v>
      </c>
    </row>
    <row r="1970" spans="1:7" x14ac:dyDescent="0.25">
      <c r="A1970" s="2">
        <v>1968</v>
      </c>
      <c r="B1970" t="s">
        <v>1337</v>
      </c>
      <c r="C1970" s="1">
        <v>46129</v>
      </c>
      <c r="D1970">
        <v>80.619240000000005</v>
      </c>
      <c r="E1970">
        <v>2820.0367504999999</v>
      </c>
      <c r="F1970">
        <v>2821.9032524200002</v>
      </c>
      <c r="G1970">
        <v>2820.0367504999999</v>
      </c>
    </row>
    <row r="1971" spans="1:7" x14ac:dyDescent="0.25">
      <c r="A1971" s="2">
        <v>1969</v>
      </c>
      <c r="B1971" t="s">
        <v>1339</v>
      </c>
      <c r="C1971" s="1">
        <v>46129</v>
      </c>
      <c r="D1971">
        <v>63.828949999999999</v>
      </c>
      <c r="E1971">
        <v>440.0181207</v>
      </c>
      <c r="F1971">
        <v>435.25978069000001</v>
      </c>
      <c r="G1971">
        <v>440.0181207</v>
      </c>
    </row>
    <row r="1972" spans="1:7" x14ac:dyDescent="0.25">
      <c r="A1972" s="2">
        <v>1970</v>
      </c>
      <c r="B1972" t="s">
        <v>1341</v>
      </c>
      <c r="C1972" s="1">
        <v>46129</v>
      </c>
      <c r="D1972">
        <v>89.698099999999997</v>
      </c>
      <c r="E1972">
        <v>266.38696529999999</v>
      </c>
      <c r="F1972">
        <v>267.81616270000001</v>
      </c>
      <c r="G1972">
        <v>266.38696529999999</v>
      </c>
    </row>
    <row r="1973" spans="1:7" x14ac:dyDescent="0.25">
      <c r="A1973" s="2">
        <v>1971</v>
      </c>
      <c r="B1973" t="s">
        <v>1343</v>
      </c>
      <c r="C1973" s="1">
        <v>46129</v>
      </c>
      <c r="D1973">
        <v>95.985050000000001</v>
      </c>
      <c r="E1973">
        <v>242.67304637000001</v>
      </c>
      <c r="F1973">
        <v>244.54561545999999</v>
      </c>
      <c r="G1973">
        <v>242.67304637000001</v>
      </c>
    </row>
    <row r="1974" spans="1:7" x14ac:dyDescent="0.25">
      <c r="A1974" s="2">
        <v>1972</v>
      </c>
      <c r="B1974" t="s">
        <v>1345</v>
      </c>
      <c r="C1974" s="1">
        <v>46129</v>
      </c>
      <c r="D1974">
        <v>97.096639999999994</v>
      </c>
      <c r="E1974">
        <v>172.40255941999999</v>
      </c>
      <c r="F1974">
        <v>174.66936243999999</v>
      </c>
      <c r="G1974">
        <v>172.40255941999999</v>
      </c>
    </row>
    <row r="1975" spans="1:7" x14ac:dyDescent="0.25">
      <c r="A1975" s="2">
        <v>1973</v>
      </c>
      <c r="B1975" t="s">
        <v>1347</v>
      </c>
      <c r="C1975" s="1">
        <v>46129</v>
      </c>
      <c r="D1975">
        <v>97.521100000000004</v>
      </c>
      <c r="E1975">
        <v>140.77315242</v>
      </c>
      <c r="F1975">
        <v>143.19447643999999</v>
      </c>
      <c r="G1975">
        <v>140.77315242</v>
      </c>
    </row>
    <row r="1976" spans="1:7" x14ac:dyDescent="0.25">
      <c r="A1976" s="2">
        <v>1974</v>
      </c>
      <c r="B1976" t="s">
        <v>1349</v>
      </c>
      <c r="C1976" s="1">
        <v>46129</v>
      </c>
      <c r="D1976">
        <v>97.521100000000004</v>
      </c>
      <c r="E1976">
        <v>140.77315242</v>
      </c>
      <c r="F1976">
        <v>143.19447643999999</v>
      </c>
      <c r="G1976">
        <v>140.77315242</v>
      </c>
    </row>
    <row r="1977" spans="1:7" x14ac:dyDescent="0.25">
      <c r="A1977" s="2">
        <v>1975</v>
      </c>
      <c r="B1977" t="s">
        <v>1350</v>
      </c>
      <c r="C1977" s="1">
        <v>46129</v>
      </c>
      <c r="D1977">
        <v>97.264560000000003</v>
      </c>
      <c r="E1977">
        <v>138.13502276</v>
      </c>
      <c r="F1977">
        <v>141.71058506</v>
      </c>
      <c r="G1977">
        <v>138.13502276</v>
      </c>
    </row>
    <row r="1978" spans="1:7" x14ac:dyDescent="0.25">
      <c r="A1978" s="2">
        <v>1976</v>
      </c>
      <c r="B1978" t="s">
        <v>1352</v>
      </c>
      <c r="C1978" s="1">
        <v>46129</v>
      </c>
      <c r="D1978">
        <v>74.377579999999995</v>
      </c>
      <c r="E1978">
        <v>4106.3999999999996</v>
      </c>
      <c r="F1978">
        <v>4111.58</v>
      </c>
      <c r="G1978">
        <v>4106.3999999999996</v>
      </c>
    </row>
    <row r="1979" spans="1:7" x14ac:dyDescent="0.25">
      <c r="A1979" s="2">
        <v>1977</v>
      </c>
      <c r="B1979" t="s">
        <v>1354</v>
      </c>
      <c r="C1979" s="1">
        <v>46129</v>
      </c>
    </row>
    <row r="1980" spans="1:7" x14ac:dyDescent="0.25">
      <c r="A1980" s="2">
        <v>1978</v>
      </c>
      <c r="B1980" t="s">
        <v>3439</v>
      </c>
      <c r="C1980" s="1">
        <v>46129</v>
      </c>
    </row>
    <row r="1981" spans="1:7" x14ac:dyDescent="0.25">
      <c r="A1981" s="2">
        <v>1979</v>
      </c>
      <c r="B1981" t="s">
        <v>3442</v>
      </c>
      <c r="C1981" s="1">
        <v>46129</v>
      </c>
    </row>
    <row r="1982" spans="1:7" x14ac:dyDescent="0.25">
      <c r="A1982" s="2">
        <v>1980</v>
      </c>
      <c r="B1982" t="s">
        <v>3444</v>
      </c>
      <c r="C1982" s="1">
        <v>46129</v>
      </c>
      <c r="D1982">
        <v>89</v>
      </c>
      <c r="F1982">
        <v>1016.92409962</v>
      </c>
    </row>
    <row r="1983" spans="1:7" x14ac:dyDescent="0.25">
      <c r="A1983" s="2">
        <v>1981</v>
      </c>
      <c r="B1983" t="s">
        <v>1357</v>
      </c>
      <c r="C1983" s="1">
        <v>46129</v>
      </c>
      <c r="F1983">
        <v>1349.14961591</v>
      </c>
    </row>
    <row r="1984" spans="1:7" x14ac:dyDescent="0.25">
      <c r="A1984" s="2">
        <v>1982</v>
      </c>
      <c r="B1984" t="s">
        <v>1362</v>
      </c>
      <c r="C1984" s="1">
        <v>46129</v>
      </c>
      <c r="D1984">
        <v>89</v>
      </c>
      <c r="F1984">
        <v>1364.5614680000001</v>
      </c>
    </row>
    <row r="1985" spans="1:7" x14ac:dyDescent="0.25">
      <c r="A1985" s="2">
        <v>1983</v>
      </c>
      <c r="B1985" t="s">
        <v>3446</v>
      </c>
      <c r="C1985" s="1">
        <v>46129</v>
      </c>
      <c r="D1985">
        <v>77</v>
      </c>
      <c r="F1985">
        <v>2068.8965354000002</v>
      </c>
    </row>
    <row r="1986" spans="1:7" x14ac:dyDescent="0.25">
      <c r="A1986" s="2">
        <v>1984</v>
      </c>
      <c r="B1986" t="s">
        <v>3449</v>
      </c>
      <c r="C1986" s="1">
        <v>46129</v>
      </c>
      <c r="D1986">
        <v>64</v>
      </c>
      <c r="F1986">
        <v>2625.9105674799998</v>
      </c>
    </row>
    <row r="1987" spans="1:7" x14ac:dyDescent="0.25">
      <c r="A1987" s="2">
        <v>1985</v>
      </c>
      <c r="B1987" t="s">
        <v>1364</v>
      </c>
      <c r="C1987" s="1">
        <v>46129</v>
      </c>
      <c r="E1987">
        <v>4278.3273293599996</v>
      </c>
      <c r="F1987">
        <v>4280.7156873499998</v>
      </c>
      <c r="G1987">
        <v>4278.3273293599996</v>
      </c>
    </row>
    <row r="1988" spans="1:7" x14ac:dyDescent="0.25">
      <c r="A1988" s="2">
        <v>1986</v>
      </c>
      <c r="B1988" t="s">
        <v>1368</v>
      </c>
      <c r="C1988" s="1">
        <v>46129</v>
      </c>
      <c r="D1988">
        <v>46.465940000000003</v>
      </c>
      <c r="E1988">
        <v>4993.2724403499997</v>
      </c>
      <c r="F1988">
        <v>4996.9653838699996</v>
      </c>
      <c r="G1988">
        <v>4993.2724403499997</v>
      </c>
    </row>
    <row r="1989" spans="1:7" x14ac:dyDescent="0.25">
      <c r="A1989" s="2">
        <v>1987</v>
      </c>
      <c r="B1989" t="s">
        <v>1370</v>
      </c>
      <c r="C1989" s="1">
        <v>46129</v>
      </c>
      <c r="E1989">
        <v>4724.5805866500004</v>
      </c>
      <c r="F1989">
        <v>4727.1556549500001</v>
      </c>
      <c r="G1989">
        <v>4724.5805866500004</v>
      </c>
    </row>
    <row r="1990" spans="1:7" x14ac:dyDescent="0.25">
      <c r="A1990" s="2">
        <v>1988</v>
      </c>
      <c r="B1990" t="s">
        <v>1372</v>
      </c>
      <c r="C1990" s="1">
        <v>46129</v>
      </c>
    </row>
    <row r="1991" spans="1:7" x14ac:dyDescent="0.25">
      <c r="A1991" s="2">
        <v>1989</v>
      </c>
      <c r="B1991" t="s">
        <v>1374</v>
      </c>
      <c r="C1991" s="1">
        <v>46129</v>
      </c>
      <c r="D1991">
        <v>98.5</v>
      </c>
      <c r="F1991">
        <v>724.92204764999997</v>
      </c>
    </row>
    <row r="1992" spans="1:7" x14ac:dyDescent="0.25">
      <c r="A1992" s="2">
        <v>1990</v>
      </c>
      <c r="B1992" t="s">
        <v>1376</v>
      </c>
      <c r="C1992" s="1">
        <v>46129</v>
      </c>
    </row>
    <row r="1993" spans="1:7" x14ac:dyDescent="0.25">
      <c r="A1993" s="2">
        <v>1991</v>
      </c>
      <c r="B1993" t="s">
        <v>1378</v>
      </c>
      <c r="C1993" s="1">
        <v>46129</v>
      </c>
      <c r="D1993">
        <v>47</v>
      </c>
      <c r="F1993">
        <v>4617.9820838400001</v>
      </c>
    </row>
    <row r="1994" spans="1:7" x14ac:dyDescent="0.25">
      <c r="A1994" s="2">
        <v>1992</v>
      </c>
      <c r="B1994" t="s">
        <v>1379</v>
      </c>
      <c r="C1994" s="1">
        <v>46129</v>
      </c>
      <c r="D1994">
        <v>47.75</v>
      </c>
      <c r="F1994">
        <v>12208.59927337</v>
      </c>
    </row>
    <row r="1995" spans="1:7" x14ac:dyDescent="0.25">
      <c r="A1995" s="2">
        <v>1993</v>
      </c>
      <c r="B1995" t="s">
        <v>1380</v>
      </c>
      <c r="C1995" s="1">
        <v>46129</v>
      </c>
      <c r="D1995">
        <v>75.597719999999995</v>
      </c>
      <c r="E1995">
        <v>1913.7233904300001</v>
      </c>
      <c r="F1995">
        <v>1917.3304043999999</v>
      </c>
      <c r="G1995">
        <v>1913.7233904300001</v>
      </c>
    </row>
    <row r="1996" spans="1:7" x14ac:dyDescent="0.25">
      <c r="A1996" s="2">
        <v>1994</v>
      </c>
      <c r="B1996" t="s">
        <v>1384</v>
      </c>
      <c r="C1996" s="1">
        <v>46129</v>
      </c>
      <c r="D1996">
        <v>73.909000000000006</v>
      </c>
      <c r="E1996">
        <v>1958.41831254</v>
      </c>
      <c r="F1996">
        <v>1962.2571334300001</v>
      </c>
      <c r="G1996">
        <v>1958.41831254</v>
      </c>
    </row>
    <row r="1997" spans="1:7" x14ac:dyDescent="0.25">
      <c r="A1997" s="2">
        <v>1995</v>
      </c>
      <c r="B1997" t="s">
        <v>1386</v>
      </c>
      <c r="C1997" s="1">
        <v>46129</v>
      </c>
      <c r="D1997">
        <v>78.203180000000003</v>
      </c>
      <c r="E1997">
        <v>2739.2793982899998</v>
      </c>
      <c r="F1997">
        <v>2742.3614083500001</v>
      </c>
      <c r="G1997">
        <v>2739.2793982899998</v>
      </c>
    </row>
    <row r="1998" spans="1:7" x14ac:dyDescent="0.25">
      <c r="A1998" s="2">
        <v>1996</v>
      </c>
      <c r="B1998" t="s">
        <v>1388</v>
      </c>
      <c r="C1998" s="1">
        <v>46129</v>
      </c>
      <c r="D1998">
        <v>99.352969999999999</v>
      </c>
      <c r="E1998">
        <v>661.89106516000004</v>
      </c>
      <c r="F1998">
        <v>661.88883592000002</v>
      </c>
      <c r="G1998">
        <v>661.89106516000004</v>
      </c>
    </row>
    <row r="1999" spans="1:7" x14ac:dyDescent="0.25">
      <c r="A1999" s="2">
        <v>1997</v>
      </c>
      <c r="B1999" t="s">
        <v>1390</v>
      </c>
      <c r="C1999" s="1">
        <v>46129</v>
      </c>
      <c r="D1999">
        <v>98.347999999999999</v>
      </c>
      <c r="E1999">
        <v>249.21146546</v>
      </c>
      <c r="F1999">
        <v>250.83284997000001</v>
      </c>
      <c r="G1999">
        <v>249.21146546</v>
      </c>
    </row>
    <row r="2000" spans="1:7" x14ac:dyDescent="0.25">
      <c r="A2000" s="2">
        <v>1998</v>
      </c>
      <c r="B2000" t="s">
        <v>1393</v>
      </c>
      <c r="C2000" s="1">
        <v>46129</v>
      </c>
      <c r="D2000">
        <v>99.018000000000001</v>
      </c>
      <c r="E2000">
        <v>309.31086958999998</v>
      </c>
      <c r="F2000">
        <v>309.98947485000002</v>
      </c>
      <c r="G2000">
        <v>309.31086958999998</v>
      </c>
    </row>
    <row r="2001" spans="1:7" x14ac:dyDescent="0.25">
      <c r="A2001" s="2">
        <v>1999</v>
      </c>
      <c r="B2001" t="s">
        <v>1395</v>
      </c>
      <c r="C2001" s="1">
        <v>46129</v>
      </c>
      <c r="D2001">
        <v>98.887</v>
      </c>
      <c r="E2001">
        <v>288.69874779000003</v>
      </c>
      <c r="F2001">
        <v>289.66849709000002</v>
      </c>
      <c r="G2001">
        <v>288.69874779000003</v>
      </c>
    </row>
    <row r="2002" spans="1:7" x14ac:dyDescent="0.25">
      <c r="A2002" s="2">
        <v>2000</v>
      </c>
      <c r="B2002" t="s">
        <v>1397</v>
      </c>
      <c r="C2002" s="1">
        <v>46129</v>
      </c>
      <c r="D2002">
        <v>98.555109999999999</v>
      </c>
      <c r="E2002">
        <v>315.41846171999998</v>
      </c>
      <c r="F2002">
        <v>316.59638404999998</v>
      </c>
      <c r="G2002">
        <v>315.41846171999998</v>
      </c>
    </row>
    <row r="2003" spans="1:7" x14ac:dyDescent="0.25">
      <c r="A2003" s="2">
        <v>2001</v>
      </c>
      <c r="B2003" t="s">
        <v>1399</v>
      </c>
      <c r="C2003" s="1">
        <v>46129</v>
      </c>
      <c r="D2003">
        <v>98.858369999999994</v>
      </c>
      <c r="E2003">
        <v>349.26519436000001</v>
      </c>
      <c r="F2003">
        <v>350.20292757999999</v>
      </c>
      <c r="G2003">
        <v>349.26519436000001</v>
      </c>
    </row>
    <row r="2004" spans="1:7" x14ac:dyDescent="0.25">
      <c r="A2004" s="2">
        <v>2002</v>
      </c>
      <c r="B2004" t="s">
        <v>1401</v>
      </c>
      <c r="C2004" s="1">
        <v>46129</v>
      </c>
      <c r="D2004">
        <v>98.485969999999995</v>
      </c>
      <c r="E2004">
        <v>321.66119478000002</v>
      </c>
      <c r="F2004">
        <v>322.95738502</v>
      </c>
      <c r="G2004">
        <v>321.66119478000002</v>
      </c>
    </row>
    <row r="2005" spans="1:7" x14ac:dyDescent="0.25">
      <c r="A2005" s="2">
        <v>2003</v>
      </c>
      <c r="B2005" t="s">
        <v>1403</v>
      </c>
      <c r="C2005" s="1">
        <v>46129</v>
      </c>
      <c r="D2005">
        <v>98.832830000000001</v>
      </c>
      <c r="E2005">
        <v>365.17079519999999</v>
      </c>
      <c r="F2005">
        <v>366.92133747000003</v>
      </c>
      <c r="G2005">
        <v>365.17079519999999</v>
      </c>
    </row>
    <row r="2006" spans="1:7" x14ac:dyDescent="0.25">
      <c r="A2006" s="2">
        <v>2004</v>
      </c>
      <c r="B2006" t="s">
        <v>1405</v>
      </c>
      <c r="C2006" s="1">
        <v>46129</v>
      </c>
      <c r="D2006">
        <v>102.634</v>
      </c>
      <c r="E2006">
        <v>697.74638519999996</v>
      </c>
      <c r="F2006">
        <v>698.80540493000001</v>
      </c>
      <c r="G2006">
        <v>697.74638519999996</v>
      </c>
    </row>
    <row r="2007" spans="1:7" x14ac:dyDescent="0.25">
      <c r="A2007" s="2">
        <v>2005</v>
      </c>
      <c r="B2007" t="s">
        <v>1407</v>
      </c>
      <c r="C2007" s="1">
        <v>46129</v>
      </c>
      <c r="D2007">
        <v>102.7058</v>
      </c>
      <c r="E2007">
        <v>202.45818668999999</v>
      </c>
      <c r="F2007">
        <v>210.02413705000001</v>
      </c>
      <c r="G2007">
        <v>202.45818668999999</v>
      </c>
    </row>
    <row r="2008" spans="1:7" x14ac:dyDescent="0.25">
      <c r="A2008" s="2">
        <v>2006</v>
      </c>
      <c r="B2008" t="s">
        <v>1409</v>
      </c>
      <c r="C2008" s="1">
        <v>46129</v>
      </c>
      <c r="D2008">
        <v>99.04</v>
      </c>
      <c r="E2008">
        <v>303.27785291999999</v>
      </c>
      <c r="F2008">
        <v>304.37969443999998</v>
      </c>
      <c r="G2008">
        <v>303.27785291999999</v>
      </c>
    </row>
    <row r="2009" spans="1:7" x14ac:dyDescent="0.25">
      <c r="A2009" s="2">
        <v>2007</v>
      </c>
      <c r="B2009" t="s">
        <v>1411</v>
      </c>
      <c r="C2009" s="1">
        <v>46129</v>
      </c>
      <c r="D2009">
        <v>101.13</v>
      </c>
      <c r="E2009">
        <v>392.13341969999999</v>
      </c>
      <c r="F2009">
        <v>394.60120879999999</v>
      </c>
      <c r="G2009">
        <v>392.13341969999999</v>
      </c>
    </row>
    <row r="2010" spans="1:7" x14ac:dyDescent="0.25">
      <c r="A2010" s="2">
        <v>2008</v>
      </c>
      <c r="B2010" t="s">
        <v>1413</v>
      </c>
      <c r="C2010" s="1">
        <v>46129</v>
      </c>
      <c r="D2010">
        <v>74.651660000000007</v>
      </c>
      <c r="E2010">
        <v>1234.3999031599999</v>
      </c>
      <c r="F2010">
        <v>1236.6573370200001</v>
      </c>
      <c r="G2010">
        <v>1234.3999031599999</v>
      </c>
    </row>
    <row r="2011" spans="1:7" x14ac:dyDescent="0.25">
      <c r="A2011" s="2">
        <v>2009</v>
      </c>
      <c r="B2011" t="s">
        <v>1415</v>
      </c>
      <c r="C2011" s="1">
        <v>46129</v>
      </c>
      <c r="D2011">
        <v>73.837000000000003</v>
      </c>
      <c r="E2011">
        <v>1194.34459818</v>
      </c>
      <c r="F2011">
        <v>1196.2781353600001</v>
      </c>
      <c r="G2011">
        <v>1194.34459818</v>
      </c>
    </row>
    <row r="2012" spans="1:7" x14ac:dyDescent="0.25">
      <c r="A2012" s="2">
        <v>2010</v>
      </c>
      <c r="B2012" t="s">
        <v>1417</v>
      </c>
      <c r="C2012" s="1">
        <v>46129</v>
      </c>
      <c r="D2012">
        <v>36.305160000000001</v>
      </c>
    </row>
    <row r="2013" spans="1:7" x14ac:dyDescent="0.25">
      <c r="A2013" s="2">
        <v>2011</v>
      </c>
      <c r="B2013" t="s">
        <v>1419</v>
      </c>
      <c r="C2013" s="1">
        <v>46129</v>
      </c>
      <c r="D2013">
        <v>36.308</v>
      </c>
    </row>
    <row r="2014" spans="1:7" x14ac:dyDescent="0.25">
      <c r="A2014" s="2">
        <v>2012</v>
      </c>
      <c r="B2014" t="s">
        <v>1421</v>
      </c>
      <c r="C2014" s="1">
        <v>46129</v>
      </c>
      <c r="D2014">
        <v>100</v>
      </c>
    </row>
    <row r="2015" spans="1:7" x14ac:dyDescent="0.25">
      <c r="A2015" s="2">
        <v>2013</v>
      </c>
      <c r="B2015" t="s">
        <v>1423</v>
      </c>
      <c r="C2015" s="1">
        <v>46129</v>
      </c>
      <c r="D2015">
        <v>26.698</v>
      </c>
      <c r="E2015">
        <v>10372.84661554</v>
      </c>
      <c r="F2015">
        <v>10376.259409939999</v>
      </c>
      <c r="G2015">
        <v>10372.84661554</v>
      </c>
    </row>
    <row r="2016" spans="1:7" x14ac:dyDescent="0.25">
      <c r="A2016" s="2">
        <v>2014</v>
      </c>
      <c r="B2016" t="s">
        <v>1425</v>
      </c>
      <c r="C2016" s="1">
        <v>46129</v>
      </c>
      <c r="D2016">
        <v>96.5</v>
      </c>
    </row>
    <row r="2017" spans="1:7" x14ac:dyDescent="0.25">
      <c r="A2017" s="2">
        <v>2015</v>
      </c>
      <c r="B2017" t="s">
        <v>1427</v>
      </c>
      <c r="C2017" s="1">
        <v>46129</v>
      </c>
      <c r="D2017">
        <v>100.5</v>
      </c>
      <c r="F2017">
        <v>981.49752587</v>
      </c>
    </row>
    <row r="2018" spans="1:7" x14ac:dyDescent="0.25">
      <c r="A2018" s="2">
        <v>2016</v>
      </c>
      <c r="B2018" t="s">
        <v>1429</v>
      </c>
      <c r="C2018" s="1">
        <v>46129</v>
      </c>
      <c r="D2018">
        <v>100.5</v>
      </c>
      <c r="F2018">
        <v>564.40574327000002</v>
      </c>
    </row>
    <row r="2019" spans="1:7" x14ac:dyDescent="0.25">
      <c r="A2019" s="2">
        <v>2017</v>
      </c>
      <c r="B2019" t="s">
        <v>1431</v>
      </c>
      <c r="C2019" s="1">
        <v>46129</v>
      </c>
      <c r="D2019">
        <v>102.25</v>
      </c>
      <c r="F2019">
        <v>763.47704458999999</v>
      </c>
    </row>
    <row r="2020" spans="1:7" x14ac:dyDescent="0.25">
      <c r="A2020" s="2">
        <v>2018</v>
      </c>
      <c r="B2020" t="s">
        <v>1433</v>
      </c>
      <c r="C2020" s="1">
        <v>46129</v>
      </c>
      <c r="D2020">
        <v>100.75</v>
      </c>
      <c r="F2020">
        <v>452.09906741999998</v>
      </c>
    </row>
    <row r="2021" spans="1:7" x14ac:dyDescent="0.25">
      <c r="A2021" s="2">
        <v>2019</v>
      </c>
      <c r="B2021" t="s">
        <v>1435</v>
      </c>
      <c r="C2021" s="1">
        <v>46129</v>
      </c>
      <c r="D2021">
        <v>100.875</v>
      </c>
      <c r="F2021">
        <v>531.24657064999997</v>
      </c>
    </row>
    <row r="2022" spans="1:7" x14ac:dyDescent="0.25">
      <c r="A2022" s="2">
        <v>2020</v>
      </c>
      <c r="B2022" t="s">
        <v>1437</v>
      </c>
      <c r="C2022" s="1">
        <v>46129</v>
      </c>
      <c r="D2022">
        <v>101</v>
      </c>
      <c r="F2022">
        <v>570.64076074000002</v>
      </c>
    </row>
    <row r="2023" spans="1:7" x14ac:dyDescent="0.25">
      <c r="A2023" s="2">
        <v>2021</v>
      </c>
      <c r="B2023" t="s">
        <v>1439</v>
      </c>
      <c r="C2023" s="1">
        <v>46129</v>
      </c>
      <c r="D2023">
        <v>102.375</v>
      </c>
      <c r="F2023">
        <v>628.42253028000005</v>
      </c>
    </row>
    <row r="2024" spans="1:7" x14ac:dyDescent="0.25">
      <c r="A2024" s="2">
        <v>2022</v>
      </c>
      <c r="B2024" t="s">
        <v>1441</v>
      </c>
      <c r="C2024" s="1">
        <v>46129</v>
      </c>
    </row>
    <row r="2025" spans="1:7" x14ac:dyDescent="0.25">
      <c r="A2025" s="2">
        <v>2023</v>
      </c>
      <c r="B2025" t="s">
        <v>1443</v>
      </c>
      <c r="C2025" s="1">
        <v>46129</v>
      </c>
    </row>
    <row r="2026" spans="1:7" x14ac:dyDescent="0.25">
      <c r="A2026" s="2">
        <v>2024</v>
      </c>
      <c r="B2026" t="s">
        <v>1445</v>
      </c>
      <c r="C2026" s="1">
        <v>46129</v>
      </c>
      <c r="D2026">
        <v>77.75</v>
      </c>
      <c r="F2026">
        <v>2818.8856649499999</v>
      </c>
    </row>
    <row r="2027" spans="1:7" x14ac:dyDescent="0.25">
      <c r="A2027" s="2">
        <v>2025</v>
      </c>
      <c r="B2027" t="s">
        <v>1447</v>
      </c>
      <c r="C2027" s="1">
        <v>46129</v>
      </c>
      <c r="D2027">
        <v>77.25</v>
      </c>
      <c r="F2027">
        <v>2706.9125353099998</v>
      </c>
    </row>
    <row r="2028" spans="1:7" x14ac:dyDescent="0.25">
      <c r="A2028" s="2">
        <v>2026</v>
      </c>
      <c r="B2028" t="s">
        <v>1449</v>
      </c>
      <c r="C2028" s="1">
        <v>46129</v>
      </c>
      <c r="D2028">
        <v>77.75</v>
      </c>
      <c r="F2028">
        <v>2848.4005566199999</v>
      </c>
    </row>
    <row r="2029" spans="1:7" x14ac:dyDescent="0.25">
      <c r="A2029" s="2">
        <v>2027</v>
      </c>
      <c r="B2029" t="s">
        <v>1451</v>
      </c>
      <c r="C2029" s="1">
        <v>46129</v>
      </c>
    </row>
    <row r="2030" spans="1:7" x14ac:dyDescent="0.25">
      <c r="A2030" s="2">
        <v>2028</v>
      </c>
      <c r="B2030" t="s">
        <v>1454</v>
      </c>
      <c r="C2030" s="1">
        <v>46129</v>
      </c>
    </row>
    <row r="2031" spans="1:7" x14ac:dyDescent="0.25">
      <c r="A2031" s="2">
        <v>2029</v>
      </c>
      <c r="B2031" t="s">
        <v>1457</v>
      </c>
      <c r="C2031" s="1">
        <v>46129</v>
      </c>
    </row>
    <row r="2032" spans="1:7" x14ac:dyDescent="0.25">
      <c r="A2032" s="2">
        <v>2030</v>
      </c>
      <c r="B2032" t="s">
        <v>1459</v>
      </c>
      <c r="C2032" s="1">
        <v>46129</v>
      </c>
      <c r="D2032">
        <v>76.438779999999994</v>
      </c>
      <c r="E2032">
        <v>1305.26823147</v>
      </c>
      <c r="F2032">
        <v>1307.1596876000001</v>
      </c>
      <c r="G2032">
        <v>1305.26823147</v>
      </c>
    </row>
    <row r="2033" spans="1:7" x14ac:dyDescent="0.25">
      <c r="A2033" s="2">
        <v>2031</v>
      </c>
      <c r="B2033" t="s">
        <v>1463</v>
      </c>
      <c r="C2033" s="1">
        <v>46129</v>
      </c>
      <c r="D2033">
        <v>83.422259999999994</v>
      </c>
      <c r="E2033">
        <v>1200.15418241</v>
      </c>
      <c r="F2033">
        <v>1202.54888392</v>
      </c>
      <c r="G2033">
        <v>1200.15418241</v>
      </c>
    </row>
    <row r="2034" spans="1:7" x14ac:dyDescent="0.25">
      <c r="A2034" s="2">
        <v>2032</v>
      </c>
      <c r="B2034" t="s">
        <v>1465</v>
      </c>
      <c r="C2034" s="1">
        <v>46129</v>
      </c>
      <c r="D2034">
        <v>77</v>
      </c>
      <c r="F2034">
        <v>1673.4609451700001</v>
      </c>
    </row>
    <row r="2035" spans="1:7" x14ac:dyDescent="0.25">
      <c r="A2035" s="2">
        <v>2033</v>
      </c>
      <c r="B2035" t="s">
        <v>1467</v>
      </c>
      <c r="C2035" s="1">
        <v>46129</v>
      </c>
    </row>
    <row r="2036" spans="1:7" x14ac:dyDescent="0.25">
      <c r="A2036" s="2">
        <v>2034</v>
      </c>
      <c r="B2036" t="s">
        <v>1471</v>
      </c>
      <c r="C2036" s="1">
        <v>46129</v>
      </c>
    </row>
    <row r="2037" spans="1:7" x14ac:dyDescent="0.25">
      <c r="A2037" s="2">
        <v>2035</v>
      </c>
      <c r="B2037" t="s">
        <v>1473</v>
      </c>
      <c r="C2037" s="1">
        <v>46129</v>
      </c>
    </row>
    <row r="2038" spans="1:7" x14ac:dyDescent="0.25">
      <c r="A2038" s="2">
        <v>2036</v>
      </c>
      <c r="B2038" t="s">
        <v>1475</v>
      </c>
      <c r="C2038" s="1">
        <v>46129</v>
      </c>
    </row>
    <row r="2039" spans="1:7" x14ac:dyDescent="0.25">
      <c r="A2039" s="2">
        <v>2037</v>
      </c>
      <c r="B2039" t="s">
        <v>1476</v>
      </c>
      <c r="C2039" s="1">
        <v>46129</v>
      </c>
    </row>
    <row r="2040" spans="1:7" x14ac:dyDescent="0.25">
      <c r="A2040" s="2">
        <v>2038</v>
      </c>
      <c r="B2040" t="s">
        <v>1478</v>
      </c>
      <c r="C2040" s="1">
        <v>46129</v>
      </c>
      <c r="D2040">
        <v>23.5</v>
      </c>
      <c r="F2040">
        <v>14937.40853223</v>
      </c>
    </row>
    <row r="2041" spans="1:7" x14ac:dyDescent="0.25">
      <c r="A2041" s="2">
        <v>2039</v>
      </c>
      <c r="B2041" t="s">
        <v>1479</v>
      </c>
      <c r="C2041" s="1">
        <v>46129</v>
      </c>
      <c r="D2041">
        <v>42</v>
      </c>
      <c r="F2041">
        <v>5628.8435134199999</v>
      </c>
    </row>
    <row r="2042" spans="1:7" x14ac:dyDescent="0.25">
      <c r="A2042" s="2">
        <v>2040</v>
      </c>
      <c r="B2042" t="s">
        <v>1480</v>
      </c>
      <c r="C2042" s="1">
        <v>46129</v>
      </c>
      <c r="D2042">
        <v>71.5</v>
      </c>
      <c r="F2042">
        <v>2457.8321199799998</v>
      </c>
    </row>
    <row r="2043" spans="1:7" x14ac:dyDescent="0.25">
      <c r="A2043" s="2">
        <v>2041</v>
      </c>
      <c r="B2043" t="s">
        <v>1481</v>
      </c>
      <c r="C2043" s="1">
        <v>46129</v>
      </c>
      <c r="D2043">
        <v>100</v>
      </c>
      <c r="F2043">
        <v>682.85558818000004</v>
      </c>
    </row>
    <row r="2044" spans="1:7" x14ac:dyDescent="0.25">
      <c r="A2044" s="2">
        <v>2042</v>
      </c>
      <c r="B2044" t="s">
        <v>1482</v>
      </c>
      <c r="C2044" s="1">
        <v>46129</v>
      </c>
    </row>
    <row r="2045" spans="1:7" x14ac:dyDescent="0.25">
      <c r="A2045" s="2">
        <v>2043</v>
      </c>
      <c r="B2045" t="s">
        <v>1483</v>
      </c>
      <c r="C2045" s="1">
        <v>46129</v>
      </c>
    </row>
    <row r="2046" spans="1:7" x14ac:dyDescent="0.25">
      <c r="A2046" s="2">
        <v>2044</v>
      </c>
      <c r="B2046" t="s">
        <v>1484</v>
      </c>
      <c r="C2046" s="1">
        <v>46129</v>
      </c>
    </row>
    <row r="2047" spans="1:7" x14ac:dyDescent="0.25">
      <c r="A2047" s="2">
        <v>2045</v>
      </c>
      <c r="B2047" t="s">
        <v>2679</v>
      </c>
      <c r="C2047" s="1">
        <v>46129</v>
      </c>
    </row>
    <row r="2048" spans="1:7" x14ac:dyDescent="0.25">
      <c r="A2048" s="2">
        <v>2046</v>
      </c>
      <c r="B2048" t="s">
        <v>3189</v>
      </c>
      <c r="C2048" s="1">
        <v>46129</v>
      </c>
      <c r="D2048">
        <v>105.9683</v>
      </c>
      <c r="E2048">
        <v>448.43718994</v>
      </c>
      <c r="F2048">
        <v>451.00021263999997</v>
      </c>
      <c r="G2048">
        <v>448.43718994</v>
      </c>
    </row>
    <row r="2049" spans="1:7" x14ac:dyDescent="0.25">
      <c r="A2049" s="2">
        <v>2047</v>
      </c>
      <c r="B2049" t="s">
        <v>3194</v>
      </c>
      <c r="C2049" s="1">
        <v>46129</v>
      </c>
      <c r="D2049">
        <v>97.625</v>
      </c>
      <c r="F2049">
        <v>484.17744390000001</v>
      </c>
    </row>
    <row r="2050" spans="1:7" x14ac:dyDescent="0.25">
      <c r="A2050" s="2">
        <v>2048</v>
      </c>
      <c r="B2050" t="s">
        <v>1499</v>
      </c>
      <c r="C2050" s="1">
        <v>46129</v>
      </c>
      <c r="D2050">
        <v>98.424000000000007</v>
      </c>
      <c r="E2050">
        <v>245.89696676</v>
      </c>
      <c r="F2050">
        <v>245.94577842999999</v>
      </c>
      <c r="G2050">
        <v>245.89696676</v>
      </c>
    </row>
    <row r="2051" spans="1:7" x14ac:dyDescent="0.25">
      <c r="A2051" s="2">
        <v>2049</v>
      </c>
      <c r="B2051" t="s">
        <v>1504</v>
      </c>
      <c r="C2051" s="1">
        <v>46129</v>
      </c>
      <c r="D2051">
        <v>98.056849999999997</v>
      </c>
      <c r="E2051">
        <v>406.85754981000002</v>
      </c>
      <c r="F2051">
        <v>409.30490834</v>
      </c>
      <c r="G2051">
        <v>406.85754981000002</v>
      </c>
    </row>
    <row r="2052" spans="1:7" x14ac:dyDescent="0.25">
      <c r="A2052" s="2">
        <v>2050</v>
      </c>
      <c r="B2052" t="s">
        <v>1506</v>
      </c>
      <c r="C2052" s="1">
        <v>46129</v>
      </c>
      <c r="D2052">
        <v>99.081000000000003</v>
      </c>
      <c r="E2052">
        <v>453.05971046000002</v>
      </c>
      <c r="F2052">
        <v>454.80799883999998</v>
      </c>
      <c r="G2052">
        <v>453.05971046000002</v>
      </c>
    </row>
    <row r="2053" spans="1:7" x14ac:dyDescent="0.25">
      <c r="A2053" s="2">
        <v>2051</v>
      </c>
      <c r="B2053" t="s">
        <v>1508</v>
      </c>
      <c r="C2053" s="1">
        <v>46129</v>
      </c>
      <c r="D2053">
        <v>88.849000000000004</v>
      </c>
      <c r="E2053">
        <v>1086.7289041199999</v>
      </c>
      <c r="F2053">
        <v>1088.31663658</v>
      </c>
      <c r="G2053">
        <v>1086.7289041199999</v>
      </c>
    </row>
    <row r="2054" spans="1:7" x14ac:dyDescent="0.25">
      <c r="A2054" s="2">
        <v>2052</v>
      </c>
      <c r="B2054" t="s">
        <v>1510</v>
      </c>
      <c r="C2054" s="1">
        <v>46129</v>
      </c>
      <c r="D2054">
        <v>87.091220000000007</v>
      </c>
      <c r="E2054">
        <v>1157.15020194</v>
      </c>
      <c r="F2054">
        <v>1159.8374836800001</v>
      </c>
      <c r="G2054">
        <v>1157.15020194</v>
      </c>
    </row>
    <row r="2055" spans="1:7" x14ac:dyDescent="0.25">
      <c r="A2055" s="2">
        <v>2053</v>
      </c>
      <c r="B2055" t="s">
        <v>1512</v>
      </c>
      <c r="C2055" s="1">
        <v>46129</v>
      </c>
      <c r="D2055">
        <v>96.947000000000003</v>
      </c>
      <c r="E2055">
        <v>508.88449407000002</v>
      </c>
      <c r="F2055">
        <v>510.82452136000001</v>
      </c>
      <c r="G2055">
        <v>508.88449407000002</v>
      </c>
    </row>
    <row r="2056" spans="1:7" x14ac:dyDescent="0.25">
      <c r="A2056" s="2">
        <v>2054</v>
      </c>
      <c r="B2056" t="s">
        <v>1514</v>
      </c>
      <c r="C2056" s="1">
        <v>46129</v>
      </c>
      <c r="D2056">
        <v>97.285210000000006</v>
      </c>
      <c r="E2056">
        <v>502.6582909</v>
      </c>
      <c r="F2056">
        <v>505.30737916999999</v>
      </c>
      <c r="G2056">
        <v>502.6582909</v>
      </c>
    </row>
    <row r="2057" spans="1:7" x14ac:dyDescent="0.25">
      <c r="A2057" s="2">
        <v>2055</v>
      </c>
      <c r="B2057" t="s">
        <v>1516</v>
      </c>
      <c r="C2057" s="1">
        <v>46129</v>
      </c>
      <c r="D2057">
        <v>82.921000000000006</v>
      </c>
      <c r="E2057">
        <v>974.63047872000004</v>
      </c>
      <c r="F2057">
        <v>975.92991918999996</v>
      </c>
      <c r="G2057">
        <v>974.63047872000004</v>
      </c>
    </row>
    <row r="2058" spans="1:7" x14ac:dyDescent="0.25">
      <c r="A2058" s="2">
        <v>2056</v>
      </c>
      <c r="B2058" t="s">
        <v>1518</v>
      </c>
      <c r="C2058" s="1">
        <v>46129</v>
      </c>
      <c r="D2058">
        <v>90.903999999999996</v>
      </c>
      <c r="E2058">
        <v>557.98854716000005</v>
      </c>
      <c r="F2058">
        <v>559.40287870999998</v>
      </c>
      <c r="G2058">
        <v>557.98854716000005</v>
      </c>
    </row>
    <row r="2059" spans="1:7" x14ac:dyDescent="0.25">
      <c r="A2059" s="2">
        <v>2057</v>
      </c>
      <c r="B2059" t="s">
        <v>1520</v>
      </c>
      <c r="C2059" s="1">
        <v>46129</v>
      </c>
      <c r="D2059">
        <v>94.06</v>
      </c>
      <c r="E2059">
        <v>607.05640261999997</v>
      </c>
      <c r="F2059">
        <v>607.93955231999996</v>
      </c>
      <c r="G2059">
        <v>607.05640261999997</v>
      </c>
    </row>
    <row r="2060" spans="1:7" x14ac:dyDescent="0.25">
      <c r="A2060" s="2">
        <v>2058</v>
      </c>
      <c r="B2060" t="s">
        <v>1522</v>
      </c>
      <c r="C2060" s="1">
        <v>46129</v>
      </c>
    </row>
    <row r="2061" spans="1:7" x14ac:dyDescent="0.25">
      <c r="A2061" s="2">
        <v>2059</v>
      </c>
      <c r="B2061" t="s">
        <v>1524</v>
      </c>
      <c r="C2061" s="1">
        <v>46129</v>
      </c>
    </row>
    <row r="2062" spans="1:7" x14ac:dyDescent="0.25">
      <c r="A2062" s="2">
        <v>2060</v>
      </c>
      <c r="B2062" t="s">
        <v>1526</v>
      </c>
      <c r="C2062" s="1">
        <v>46129</v>
      </c>
      <c r="F2062">
        <v>445.87331603000001</v>
      </c>
    </row>
    <row r="2063" spans="1:7" x14ac:dyDescent="0.25">
      <c r="A2063" s="2">
        <v>2061</v>
      </c>
      <c r="B2063" t="s">
        <v>1528</v>
      </c>
      <c r="C2063" s="1">
        <v>46129</v>
      </c>
      <c r="D2063">
        <v>86</v>
      </c>
      <c r="F2063">
        <v>1406.9894485899999</v>
      </c>
    </row>
    <row r="2064" spans="1:7" x14ac:dyDescent="0.25">
      <c r="A2064" s="2">
        <v>2062</v>
      </c>
      <c r="B2064" t="s">
        <v>1530</v>
      </c>
      <c r="C2064" s="1">
        <v>46129</v>
      </c>
      <c r="D2064">
        <v>91.75</v>
      </c>
      <c r="F2064">
        <v>696.32884436999996</v>
      </c>
    </row>
    <row r="2065" spans="1:6" x14ac:dyDescent="0.25">
      <c r="A2065" s="2">
        <v>2063</v>
      </c>
      <c r="B2065" t="s">
        <v>1532</v>
      </c>
      <c r="C2065" s="1">
        <v>46129</v>
      </c>
      <c r="D2065">
        <v>88.5</v>
      </c>
      <c r="F2065">
        <v>642.68717456000002</v>
      </c>
    </row>
    <row r="2066" spans="1:6" x14ac:dyDescent="0.25">
      <c r="A2066" s="2">
        <v>2064</v>
      </c>
      <c r="B2066" t="s">
        <v>1534</v>
      </c>
      <c r="C2066" s="1">
        <v>46129</v>
      </c>
      <c r="D2066">
        <v>81.25</v>
      </c>
      <c r="F2066">
        <v>991.50009291000003</v>
      </c>
    </row>
    <row r="2067" spans="1:6" x14ac:dyDescent="0.25">
      <c r="A2067" s="2">
        <v>2065</v>
      </c>
      <c r="B2067" t="s">
        <v>1536</v>
      </c>
      <c r="C2067" s="1">
        <v>46129</v>
      </c>
      <c r="D2067">
        <v>81</v>
      </c>
      <c r="F2067">
        <v>1019.20785194</v>
      </c>
    </row>
    <row r="2068" spans="1:6" x14ac:dyDescent="0.25">
      <c r="A2068" s="2">
        <v>2066</v>
      </c>
      <c r="B2068" t="s">
        <v>1538</v>
      </c>
      <c r="C2068" s="1">
        <v>46129</v>
      </c>
    </row>
    <row r="2069" spans="1:6" x14ac:dyDescent="0.25">
      <c r="A2069" s="2">
        <v>2067</v>
      </c>
      <c r="B2069" t="s">
        <v>1540</v>
      </c>
      <c r="C2069" s="1">
        <v>46129</v>
      </c>
    </row>
    <row r="2070" spans="1:6" x14ac:dyDescent="0.25">
      <c r="A2070" s="2">
        <v>2068</v>
      </c>
      <c r="B2070" t="s">
        <v>1541</v>
      </c>
      <c r="C2070" s="1">
        <v>46129</v>
      </c>
      <c r="D2070">
        <v>90.5</v>
      </c>
      <c r="F2070">
        <v>679.26690499999995</v>
      </c>
    </row>
    <row r="2071" spans="1:6" x14ac:dyDescent="0.25">
      <c r="A2071" s="2">
        <v>2069</v>
      </c>
      <c r="B2071" t="s">
        <v>1542</v>
      </c>
      <c r="C2071" s="1">
        <v>46129</v>
      </c>
      <c r="D2071">
        <v>92.5</v>
      </c>
      <c r="F2071">
        <v>690.10337584000001</v>
      </c>
    </row>
    <row r="2072" spans="1:6" x14ac:dyDescent="0.25">
      <c r="A2072" s="2">
        <v>2070</v>
      </c>
      <c r="B2072" t="s">
        <v>1543</v>
      </c>
      <c r="C2072" s="1">
        <v>46129</v>
      </c>
      <c r="D2072">
        <v>83.5</v>
      </c>
      <c r="F2072">
        <v>1266.0648591700001</v>
      </c>
    </row>
    <row r="2073" spans="1:6" x14ac:dyDescent="0.25">
      <c r="A2073" s="2">
        <v>2071</v>
      </c>
      <c r="B2073" t="s">
        <v>1544</v>
      </c>
      <c r="C2073" s="1">
        <v>46129</v>
      </c>
      <c r="D2073">
        <v>85.5</v>
      </c>
      <c r="F2073">
        <v>1113.25704142</v>
      </c>
    </row>
    <row r="2074" spans="1:6" x14ac:dyDescent="0.25">
      <c r="A2074" s="2">
        <v>2072</v>
      </c>
      <c r="B2074" t="s">
        <v>1545</v>
      </c>
      <c r="C2074" s="1">
        <v>46129</v>
      </c>
      <c r="D2074">
        <v>80.5</v>
      </c>
      <c r="F2074">
        <v>480.37465723999998</v>
      </c>
    </row>
    <row r="2075" spans="1:6" x14ac:dyDescent="0.25">
      <c r="A2075" s="2">
        <v>2073</v>
      </c>
      <c r="B2075" t="s">
        <v>1546</v>
      </c>
      <c r="C2075" s="1">
        <v>46129</v>
      </c>
      <c r="D2075">
        <v>89.75</v>
      </c>
      <c r="F2075">
        <v>551.55756699000005</v>
      </c>
    </row>
    <row r="2076" spans="1:6" x14ac:dyDescent="0.25">
      <c r="A2076" s="2">
        <v>2074</v>
      </c>
      <c r="B2076" t="s">
        <v>1548</v>
      </c>
      <c r="C2076" s="1">
        <v>46129</v>
      </c>
    </row>
    <row r="2077" spans="1:6" x14ac:dyDescent="0.25">
      <c r="A2077" s="2">
        <v>2075</v>
      </c>
      <c r="B2077" t="s">
        <v>1551</v>
      </c>
      <c r="C2077" s="1">
        <v>46129</v>
      </c>
    </row>
    <row r="2078" spans="1:6" x14ac:dyDescent="0.25">
      <c r="A2078" s="2">
        <v>2076</v>
      </c>
      <c r="B2078" t="s">
        <v>1552</v>
      </c>
      <c r="C2078" s="1">
        <v>46129</v>
      </c>
      <c r="D2078">
        <v>82.5</v>
      </c>
      <c r="F2078">
        <v>1035.9602876500001</v>
      </c>
    </row>
    <row r="2079" spans="1:6" x14ac:dyDescent="0.25">
      <c r="A2079" s="2">
        <v>2077</v>
      </c>
      <c r="B2079" t="s">
        <v>1553</v>
      </c>
      <c r="C2079" s="1">
        <v>46129</v>
      </c>
      <c r="D2079">
        <v>81.75</v>
      </c>
      <c r="F2079">
        <v>1135.7441921100001</v>
      </c>
    </row>
    <row r="2080" spans="1:6" x14ac:dyDescent="0.25">
      <c r="A2080" s="2">
        <v>2078</v>
      </c>
      <c r="B2080" t="s">
        <v>1554</v>
      </c>
      <c r="C2080" s="1">
        <v>46129</v>
      </c>
    </row>
    <row r="2081" spans="1:7" x14ac:dyDescent="0.25">
      <c r="A2081" s="2">
        <v>2079</v>
      </c>
      <c r="B2081" t="s">
        <v>1555</v>
      </c>
      <c r="C2081" s="1">
        <v>46129</v>
      </c>
    </row>
    <row r="2082" spans="1:7" x14ac:dyDescent="0.25">
      <c r="A2082" s="2">
        <v>2080</v>
      </c>
      <c r="B2082" t="s">
        <v>1556</v>
      </c>
      <c r="C2082" s="1">
        <v>46129</v>
      </c>
    </row>
    <row r="2083" spans="1:7" x14ac:dyDescent="0.25">
      <c r="A2083" s="2">
        <v>2081</v>
      </c>
      <c r="B2083" t="s">
        <v>1559</v>
      </c>
      <c r="C2083" s="1">
        <v>46129</v>
      </c>
      <c r="D2083">
        <v>100.25</v>
      </c>
      <c r="F2083">
        <v>369.99709775999997</v>
      </c>
    </row>
    <row r="2084" spans="1:7" x14ac:dyDescent="0.25">
      <c r="A2084" s="2">
        <v>2082</v>
      </c>
      <c r="B2084" t="s">
        <v>1561</v>
      </c>
      <c r="C2084" s="1">
        <v>46129</v>
      </c>
      <c r="D2084">
        <v>98.5</v>
      </c>
      <c r="F2084">
        <v>665.01845491999995</v>
      </c>
    </row>
    <row r="2085" spans="1:7" x14ac:dyDescent="0.25">
      <c r="A2085" s="2">
        <v>2083</v>
      </c>
      <c r="B2085" t="s">
        <v>1562</v>
      </c>
      <c r="C2085" s="1">
        <v>46129</v>
      </c>
    </row>
    <row r="2086" spans="1:7" x14ac:dyDescent="0.25">
      <c r="A2086" s="2">
        <v>2084</v>
      </c>
      <c r="B2086" t="s">
        <v>3332</v>
      </c>
      <c r="C2086" s="1">
        <v>46129</v>
      </c>
    </row>
    <row r="2087" spans="1:7" x14ac:dyDescent="0.25">
      <c r="A2087" s="2">
        <v>2085</v>
      </c>
      <c r="B2087" t="s">
        <v>3333</v>
      </c>
      <c r="C2087" s="1">
        <v>46129</v>
      </c>
    </row>
    <row r="2088" spans="1:7" x14ac:dyDescent="0.25">
      <c r="A2088" s="2">
        <v>2086</v>
      </c>
      <c r="B2088" t="s">
        <v>1565</v>
      </c>
      <c r="C2088" s="1">
        <v>46129</v>
      </c>
      <c r="D2088">
        <v>74.760850000000005</v>
      </c>
      <c r="E2088">
        <v>1438.4319804500001</v>
      </c>
      <c r="F2088">
        <v>1438.4027085299999</v>
      </c>
      <c r="G2088">
        <v>1438.4319804500001</v>
      </c>
    </row>
    <row r="2089" spans="1:7" x14ac:dyDescent="0.25">
      <c r="A2089" s="2">
        <v>2087</v>
      </c>
      <c r="B2089" t="s">
        <v>1569</v>
      </c>
      <c r="C2089" s="1">
        <v>46129</v>
      </c>
    </row>
    <row r="2090" spans="1:7" x14ac:dyDescent="0.25">
      <c r="A2090" s="2">
        <v>2088</v>
      </c>
      <c r="B2090" t="s">
        <v>1571</v>
      </c>
      <c r="C2090" s="1">
        <v>46129</v>
      </c>
      <c r="D2090">
        <v>91</v>
      </c>
      <c r="F2090">
        <v>769.81993821000003</v>
      </c>
    </row>
    <row r="2091" spans="1:7" x14ac:dyDescent="0.25">
      <c r="A2091" s="2">
        <v>2089</v>
      </c>
      <c r="B2091" t="s">
        <v>3451</v>
      </c>
      <c r="C2091" s="1">
        <v>46129</v>
      </c>
      <c r="D2091">
        <v>93.589259999999996</v>
      </c>
      <c r="E2091">
        <v>800.09491579999997</v>
      </c>
      <c r="F2091">
        <v>803.27080551999995</v>
      </c>
      <c r="G2091">
        <v>800.09491579999997</v>
      </c>
    </row>
    <row r="2092" spans="1:7" x14ac:dyDescent="0.25">
      <c r="A2092" s="2">
        <v>2090</v>
      </c>
      <c r="B2092" t="s">
        <v>3456</v>
      </c>
      <c r="C2092" s="1">
        <v>46129</v>
      </c>
    </row>
    <row r="2093" spans="1:7" x14ac:dyDescent="0.25">
      <c r="A2093" s="2">
        <v>2091</v>
      </c>
      <c r="B2093" t="s">
        <v>3458</v>
      </c>
      <c r="C2093" s="1">
        <v>46129</v>
      </c>
      <c r="D2093">
        <v>91.5</v>
      </c>
      <c r="F2093">
        <v>872.95963741000003</v>
      </c>
    </row>
    <row r="2094" spans="1:7" x14ac:dyDescent="0.25">
      <c r="A2094" s="2">
        <v>2092</v>
      </c>
      <c r="B2094" t="s">
        <v>1573</v>
      </c>
      <c r="C2094" s="1">
        <v>46129</v>
      </c>
      <c r="D2094">
        <v>87.482770000000002</v>
      </c>
      <c r="E2094">
        <v>845.94313011999998</v>
      </c>
      <c r="F2094">
        <v>847.92242166000005</v>
      </c>
      <c r="G2094">
        <v>845.94313011999998</v>
      </c>
    </row>
    <row r="2095" spans="1:7" x14ac:dyDescent="0.25">
      <c r="A2095" s="2">
        <v>2093</v>
      </c>
      <c r="B2095" t="s">
        <v>1577</v>
      </c>
      <c r="C2095" s="1">
        <v>46129</v>
      </c>
      <c r="D2095">
        <v>86</v>
      </c>
      <c r="F2095">
        <v>880.03370036000001</v>
      </c>
    </row>
    <row r="2096" spans="1:7" x14ac:dyDescent="0.25">
      <c r="A2096" s="2">
        <v>2094</v>
      </c>
      <c r="B2096" t="s">
        <v>1579</v>
      </c>
      <c r="C2096" s="1">
        <v>46129</v>
      </c>
      <c r="D2096">
        <v>38.119239999999998</v>
      </c>
      <c r="E2096">
        <v>3920.7978546899999</v>
      </c>
      <c r="F2096">
        <v>3923.42963951</v>
      </c>
      <c r="G2096">
        <v>3920.7978546899999</v>
      </c>
    </row>
    <row r="2097" spans="1:7" x14ac:dyDescent="0.25">
      <c r="A2097" s="2">
        <v>2095</v>
      </c>
      <c r="B2097" t="s">
        <v>1583</v>
      </c>
      <c r="C2097" s="1">
        <v>46129</v>
      </c>
      <c r="D2097">
        <v>36.464170000000003</v>
      </c>
      <c r="E2097">
        <v>4122.1303321300002</v>
      </c>
      <c r="F2097">
        <v>4124.7949235799997</v>
      </c>
      <c r="G2097">
        <v>4122.1303321300002</v>
      </c>
    </row>
    <row r="2098" spans="1:7" x14ac:dyDescent="0.25">
      <c r="A2098" s="2">
        <v>2096</v>
      </c>
      <c r="B2098" t="s">
        <v>1584</v>
      </c>
      <c r="C2098" s="1">
        <v>46129</v>
      </c>
      <c r="D2098">
        <v>25.111969999999999</v>
      </c>
      <c r="E2098">
        <v>4125.3797396099999</v>
      </c>
      <c r="F2098">
        <v>4128.0448676300002</v>
      </c>
      <c r="G2098">
        <v>4125.3797396099999</v>
      </c>
    </row>
    <row r="2099" spans="1:7" x14ac:dyDescent="0.25">
      <c r="A2099" s="2">
        <v>2097</v>
      </c>
      <c r="B2099" t="s">
        <v>1586</v>
      </c>
      <c r="C2099" s="1">
        <v>46129</v>
      </c>
      <c r="D2099">
        <v>21.20926</v>
      </c>
      <c r="E2099">
        <v>6644.43850914</v>
      </c>
      <c r="F2099">
        <v>6647.6080806999998</v>
      </c>
      <c r="G2099">
        <v>6644.43850914</v>
      </c>
    </row>
    <row r="2100" spans="1:7" x14ac:dyDescent="0.25">
      <c r="A2100" s="2">
        <v>2098</v>
      </c>
      <c r="B2100" t="s">
        <v>1588</v>
      </c>
      <c r="C2100" s="1">
        <v>46129</v>
      </c>
      <c r="D2100">
        <v>63</v>
      </c>
      <c r="F2100">
        <v>2593.2217208299999</v>
      </c>
    </row>
    <row r="2101" spans="1:7" x14ac:dyDescent="0.25">
      <c r="A2101" s="2">
        <v>2099</v>
      </c>
      <c r="B2101" t="s">
        <v>1590</v>
      </c>
      <c r="C2101" s="1">
        <v>46129</v>
      </c>
      <c r="D2101">
        <v>99.875</v>
      </c>
      <c r="F2101">
        <v>494.85082302000001</v>
      </c>
    </row>
    <row r="2102" spans="1:7" x14ac:dyDescent="0.25">
      <c r="A2102" s="2">
        <v>2100</v>
      </c>
      <c r="B2102" t="s">
        <v>1592</v>
      </c>
      <c r="C2102" s="1">
        <v>46129</v>
      </c>
      <c r="D2102">
        <v>67</v>
      </c>
      <c r="F2102">
        <v>2616.5795512599998</v>
      </c>
    </row>
    <row r="2103" spans="1:7" x14ac:dyDescent="0.25">
      <c r="A2103" s="2">
        <v>2101</v>
      </c>
      <c r="B2103" t="s">
        <v>3460</v>
      </c>
      <c r="C2103" s="1">
        <v>46129</v>
      </c>
      <c r="D2103">
        <v>80</v>
      </c>
    </row>
    <row r="2104" spans="1:7" x14ac:dyDescent="0.25">
      <c r="A2104" s="2">
        <v>2102</v>
      </c>
      <c r="B2104" t="s">
        <v>3465</v>
      </c>
      <c r="C2104" s="1">
        <v>46129</v>
      </c>
      <c r="D2104">
        <v>79.25</v>
      </c>
      <c r="F2104">
        <v>951.90402030999996</v>
      </c>
    </row>
    <row r="2105" spans="1:7" x14ac:dyDescent="0.25">
      <c r="A2105" s="2">
        <v>2103</v>
      </c>
      <c r="B2105" t="s">
        <v>1594</v>
      </c>
      <c r="C2105" s="1">
        <v>46129</v>
      </c>
      <c r="D2105">
        <v>94.340720000000005</v>
      </c>
      <c r="E2105">
        <v>753.38235383999995</v>
      </c>
      <c r="F2105">
        <v>754.47321943999998</v>
      </c>
      <c r="G2105">
        <v>753.38235383999995</v>
      </c>
    </row>
    <row r="2106" spans="1:7" x14ac:dyDescent="0.25">
      <c r="A2106" s="2">
        <v>2104</v>
      </c>
      <c r="B2106" t="s">
        <v>1598</v>
      </c>
      <c r="C2106" s="1">
        <v>46129</v>
      </c>
      <c r="D2106">
        <v>90.75</v>
      </c>
      <c r="F2106">
        <v>776.17144289999999</v>
      </c>
    </row>
    <row r="2107" spans="1:7" x14ac:dyDescent="0.25">
      <c r="A2107" s="2">
        <v>2105</v>
      </c>
      <c r="B2107" t="s">
        <v>3466</v>
      </c>
      <c r="C2107" s="1">
        <v>46129</v>
      </c>
    </row>
    <row r="2108" spans="1:7" x14ac:dyDescent="0.25">
      <c r="A2108" s="2">
        <v>2106</v>
      </c>
      <c r="B2108" t="s">
        <v>3469</v>
      </c>
      <c r="C2108" s="1">
        <v>46129</v>
      </c>
      <c r="D2108">
        <v>17.25</v>
      </c>
    </row>
    <row r="2109" spans="1:7" x14ac:dyDescent="0.25">
      <c r="A2109" s="2">
        <v>2107</v>
      </c>
      <c r="B2109" t="s">
        <v>3471</v>
      </c>
      <c r="C2109" s="1">
        <v>46129</v>
      </c>
      <c r="D2109">
        <v>44.5</v>
      </c>
      <c r="F2109">
        <v>4074.98172514</v>
      </c>
    </row>
    <row r="2110" spans="1:7" x14ac:dyDescent="0.25">
      <c r="A2110" s="2">
        <v>2108</v>
      </c>
      <c r="B2110" t="s">
        <v>3473</v>
      </c>
      <c r="C2110" s="1">
        <v>46129</v>
      </c>
      <c r="D2110">
        <v>99.5</v>
      </c>
      <c r="F2110">
        <v>668.19872058999999</v>
      </c>
    </row>
    <row r="2111" spans="1:7" x14ac:dyDescent="0.25">
      <c r="A2111" s="2">
        <v>2109</v>
      </c>
      <c r="B2111" t="s">
        <v>3475</v>
      </c>
      <c r="C2111" s="1">
        <v>46129</v>
      </c>
      <c r="D2111">
        <v>40.2014</v>
      </c>
      <c r="F2111">
        <v>7533.6527836900004</v>
      </c>
    </row>
    <row r="2112" spans="1:7" x14ac:dyDescent="0.25">
      <c r="A2112" s="2">
        <v>2110</v>
      </c>
      <c r="B2112" t="s">
        <v>3477</v>
      </c>
      <c r="C2112" s="1">
        <v>46129</v>
      </c>
      <c r="D2112">
        <v>16.938949999999998</v>
      </c>
      <c r="F2112">
        <v>13828.88494066</v>
      </c>
    </row>
    <row r="2113" spans="1:7" x14ac:dyDescent="0.25">
      <c r="A2113" s="2">
        <v>2111</v>
      </c>
      <c r="B2113" t="s">
        <v>3479</v>
      </c>
      <c r="C2113" s="1">
        <v>46129</v>
      </c>
    </row>
    <row r="2114" spans="1:7" x14ac:dyDescent="0.25">
      <c r="A2114" s="2">
        <v>2112</v>
      </c>
      <c r="B2114" t="s">
        <v>3480</v>
      </c>
      <c r="C2114" s="1">
        <v>46129</v>
      </c>
    </row>
    <row r="2115" spans="1:7" x14ac:dyDescent="0.25">
      <c r="A2115" s="2">
        <v>2113</v>
      </c>
      <c r="B2115" t="s">
        <v>1601</v>
      </c>
      <c r="C2115" s="1">
        <v>46129</v>
      </c>
      <c r="D2115">
        <v>91.275139999999993</v>
      </c>
      <c r="E2115">
        <v>718.57155737999994</v>
      </c>
      <c r="F2115">
        <v>720.80997554999999</v>
      </c>
      <c r="G2115">
        <v>718.57155737999994</v>
      </c>
    </row>
    <row r="2116" spans="1:7" x14ac:dyDescent="0.25">
      <c r="A2116" s="2">
        <v>2114</v>
      </c>
      <c r="B2116" t="s">
        <v>1605</v>
      </c>
      <c r="C2116" s="1">
        <v>46129</v>
      </c>
      <c r="D2116">
        <v>87</v>
      </c>
      <c r="F2116">
        <v>1034.3472433699999</v>
      </c>
    </row>
    <row r="2117" spans="1:7" x14ac:dyDescent="0.25">
      <c r="A2117" s="2">
        <v>2115</v>
      </c>
      <c r="B2117" t="s">
        <v>1607</v>
      </c>
      <c r="C2117" s="1">
        <v>46129</v>
      </c>
    </row>
    <row r="2118" spans="1:7" x14ac:dyDescent="0.25">
      <c r="A2118" s="2">
        <v>2116</v>
      </c>
      <c r="B2118" t="s">
        <v>3672</v>
      </c>
      <c r="C2118" s="1">
        <v>46129</v>
      </c>
      <c r="D2118">
        <v>102.11060000000001</v>
      </c>
      <c r="E2118">
        <v>260.28895209000001</v>
      </c>
      <c r="F2118">
        <v>257.66072968999998</v>
      </c>
      <c r="G2118">
        <v>260.28895209000001</v>
      </c>
    </row>
    <row r="2119" spans="1:7" x14ac:dyDescent="0.25">
      <c r="A2119" s="2">
        <v>2117</v>
      </c>
      <c r="B2119" t="s">
        <v>1609</v>
      </c>
      <c r="C2119" s="1">
        <v>46129</v>
      </c>
      <c r="D2119">
        <v>97.144000000000005</v>
      </c>
      <c r="E2119">
        <v>506.64499999999998</v>
      </c>
      <c r="F2119">
        <v>467.255</v>
      </c>
      <c r="G2119">
        <v>506.64499999999998</v>
      </c>
    </row>
    <row r="2120" spans="1:7" x14ac:dyDescent="0.25">
      <c r="A2120" s="2">
        <v>2118</v>
      </c>
      <c r="B2120" t="s">
        <v>1613</v>
      </c>
      <c r="C2120" s="1">
        <v>46129</v>
      </c>
      <c r="D2120">
        <v>97.599000000000004</v>
      </c>
      <c r="E2120">
        <v>458.18456861999999</v>
      </c>
      <c r="F2120">
        <v>458.95725625</v>
      </c>
      <c r="G2120">
        <v>458.18456861999999</v>
      </c>
    </row>
    <row r="2121" spans="1:7" x14ac:dyDescent="0.25">
      <c r="A2121" s="2">
        <v>2119</v>
      </c>
      <c r="B2121" t="s">
        <v>1615</v>
      </c>
      <c r="C2121" s="1">
        <v>46129</v>
      </c>
      <c r="D2121">
        <v>58.894959999999998</v>
      </c>
      <c r="E2121">
        <v>1466.2735653899999</v>
      </c>
      <c r="F2121">
        <v>1467.73782065</v>
      </c>
      <c r="G2121">
        <v>1466.2735653899999</v>
      </c>
    </row>
    <row r="2122" spans="1:7" x14ac:dyDescent="0.25">
      <c r="A2122" s="2">
        <v>2120</v>
      </c>
      <c r="B2122" t="s">
        <v>1617</v>
      </c>
      <c r="C2122" s="1">
        <v>46129</v>
      </c>
      <c r="D2122">
        <v>66.129679999999993</v>
      </c>
      <c r="E2122">
        <v>1629.24263883</v>
      </c>
      <c r="F2122">
        <v>1631.6683164200001</v>
      </c>
      <c r="G2122">
        <v>1629.24263883</v>
      </c>
    </row>
    <row r="2123" spans="1:7" x14ac:dyDescent="0.25">
      <c r="A2123" s="2">
        <v>2121</v>
      </c>
      <c r="B2123" t="s">
        <v>1619</v>
      </c>
      <c r="C2123" s="1">
        <v>46129</v>
      </c>
      <c r="D2123">
        <v>101</v>
      </c>
      <c r="F2123">
        <v>773.05440205000002</v>
      </c>
    </row>
    <row r="2124" spans="1:7" x14ac:dyDescent="0.25">
      <c r="A2124" s="2">
        <v>2122</v>
      </c>
      <c r="B2124" t="s">
        <v>1621</v>
      </c>
      <c r="C2124" s="1">
        <v>46129</v>
      </c>
      <c r="D2124">
        <v>101</v>
      </c>
      <c r="F2124">
        <v>772.03827594999996</v>
      </c>
    </row>
    <row r="2125" spans="1:7" x14ac:dyDescent="0.25">
      <c r="A2125" s="2">
        <v>2123</v>
      </c>
      <c r="B2125" t="s">
        <v>1623</v>
      </c>
      <c r="C2125" s="1">
        <v>46129</v>
      </c>
    </row>
    <row r="2126" spans="1:7" x14ac:dyDescent="0.25">
      <c r="A2126" s="2">
        <v>2124</v>
      </c>
      <c r="B2126" t="s">
        <v>3481</v>
      </c>
      <c r="C2126" s="1">
        <v>46129</v>
      </c>
    </row>
    <row r="2127" spans="1:7" x14ac:dyDescent="0.25">
      <c r="A2127" s="2">
        <v>2125</v>
      </c>
      <c r="B2127" t="s">
        <v>1625</v>
      </c>
      <c r="C2127" s="1">
        <v>46129</v>
      </c>
    </row>
    <row r="2128" spans="1:7" x14ac:dyDescent="0.25">
      <c r="A2128" s="2">
        <v>2126</v>
      </c>
      <c r="B2128" t="s">
        <v>3483</v>
      </c>
      <c r="C2128" s="1">
        <v>46129</v>
      </c>
      <c r="D2128">
        <v>87</v>
      </c>
      <c r="F2128">
        <v>1259.2228565999999</v>
      </c>
    </row>
    <row r="2129" spans="1:7" x14ac:dyDescent="0.25">
      <c r="A2129" s="2">
        <v>2127</v>
      </c>
      <c r="B2129" t="s">
        <v>3487</v>
      </c>
      <c r="C2129" s="1">
        <v>46129</v>
      </c>
      <c r="D2129">
        <v>52.5</v>
      </c>
      <c r="F2129">
        <v>3255.8155885699998</v>
      </c>
    </row>
    <row r="2130" spans="1:7" x14ac:dyDescent="0.25">
      <c r="A2130" s="2">
        <v>2128</v>
      </c>
      <c r="B2130" t="s">
        <v>3489</v>
      </c>
      <c r="C2130" s="1">
        <v>46129</v>
      </c>
      <c r="D2130">
        <v>86.375</v>
      </c>
      <c r="F2130">
        <v>1253.2006283600001</v>
      </c>
    </row>
    <row r="2131" spans="1:7" x14ac:dyDescent="0.25">
      <c r="A2131" s="2">
        <v>2129</v>
      </c>
      <c r="B2131" t="s">
        <v>3491</v>
      </c>
      <c r="C2131" s="1">
        <v>46129</v>
      </c>
    </row>
    <row r="2132" spans="1:7" x14ac:dyDescent="0.25">
      <c r="A2132" s="2">
        <v>2130</v>
      </c>
      <c r="B2132" t="s">
        <v>1627</v>
      </c>
      <c r="C2132" s="1">
        <v>46129</v>
      </c>
      <c r="D2132">
        <v>91</v>
      </c>
      <c r="F2132">
        <v>712.55951204999997</v>
      </c>
    </row>
    <row r="2133" spans="1:7" x14ac:dyDescent="0.25">
      <c r="A2133" s="2">
        <v>2131</v>
      </c>
      <c r="B2133" t="s">
        <v>1645</v>
      </c>
      <c r="C2133" s="1">
        <v>46129</v>
      </c>
      <c r="D2133">
        <v>88.25</v>
      </c>
      <c r="F2133">
        <v>643.85278757000003</v>
      </c>
    </row>
    <row r="2134" spans="1:7" x14ac:dyDescent="0.25">
      <c r="A2134" s="2">
        <v>2132</v>
      </c>
      <c r="B2134" t="s">
        <v>1649</v>
      </c>
      <c r="C2134" s="1">
        <v>46129</v>
      </c>
    </row>
    <row r="2135" spans="1:7" x14ac:dyDescent="0.25">
      <c r="A2135" s="2">
        <v>2133</v>
      </c>
      <c r="B2135" t="s">
        <v>1653</v>
      </c>
      <c r="C2135" s="1">
        <v>46129</v>
      </c>
      <c r="D2135">
        <v>83.25</v>
      </c>
      <c r="F2135">
        <v>732.50399974000004</v>
      </c>
    </row>
    <row r="2136" spans="1:7" x14ac:dyDescent="0.25">
      <c r="A2136" s="2">
        <v>2134</v>
      </c>
      <c r="B2136" t="s">
        <v>1655</v>
      </c>
      <c r="C2136" s="1">
        <v>46129</v>
      </c>
      <c r="D2136">
        <v>90.75</v>
      </c>
      <c r="F2136">
        <v>691.83809640000004</v>
      </c>
    </row>
    <row r="2137" spans="1:7" x14ac:dyDescent="0.25">
      <c r="A2137" s="2">
        <v>2135</v>
      </c>
      <c r="B2137" t="s">
        <v>1659</v>
      </c>
      <c r="C2137" s="1">
        <v>46129</v>
      </c>
      <c r="D2137">
        <v>91.5</v>
      </c>
      <c r="F2137">
        <v>805.62954485</v>
      </c>
    </row>
    <row r="2138" spans="1:7" x14ac:dyDescent="0.25">
      <c r="A2138" s="2">
        <v>2136</v>
      </c>
      <c r="B2138" t="s">
        <v>1661</v>
      </c>
      <c r="C2138" s="1">
        <v>46129</v>
      </c>
    </row>
    <row r="2139" spans="1:7" x14ac:dyDescent="0.25">
      <c r="A2139" s="2">
        <v>2137</v>
      </c>
      <c r="B2139" t="s">
        <v>1663</v>
      </c>
      <c r="C2139" s="1">
        <v>46129</v>
      </c>
      <c r="D2139">
        <v>89.5</v>
      </c>
      <c r="F2139">
        <v>2551.92694927</v>
      </c>
    </row>
    <row r="2140" spans="1:7" x14ac:dyDescent="0.25">
      <c r="A2140" s="2">
        <v>2138</v>
      </c>
      <c r="B2140" t="s">
        <v>3492</v>
      </c>
      <c r="C2140" s="1">
        <v>46129</v>
      </c>
      <c r="D2140">
        <v>92.75</v>
      </c>
      <c r="F2140">
        <v>740.90649373999997</v>
      </c>
    </row>
    <row r="2141" spans="1:7" x14ac:dyDescent="0.25">
      <c r="A2141" s="2">
        <v>2139</v>
      </c>
      <c r="B2141" t="s">
        <v>1204</v>
      </c>
      <c r="C2141" s="1">
        <v>46129</v>
      </c>
      <c r="D2141">
        <v>100.5671</v>
      </c>
      <c r="E2141">
        <v>445.01247332000003</v>
      </c>
      <c r="F2141">
        <v>449.08305529</v>
      </c>
      <c r="G2141">
        <v>445.01247332000003</v>
      </c>
    </row>
    <row r="2142" spans="1:7" x14ac:dyDescent="0.25">
      <c r="A2142" s="2">
        <v>2140</v>
      </c>
      <c r="B2142" t="s">
        <v>1207</v>
      </c>
      <c r="C2142" s="1">
        <v>46129</v>
      </c>
      <c r="D2142">
        <v>100.6182</v>
      </c>
      <c r="E2142">
        <v>465.45024641999998</v>
      </c>
      <c r="F2142">
        <v>468.00785807</v>
      </c>
      <c r="G2142">
        <v>465.45024641999998</v>
      </c>
    </row>
    <row r="2143" spans="1:7" x14ac:dyDescent="0.25">
      <c r="A2143" s="2">
        <v>2141</v>
      </c>
      <c r="B2143" t="s">
        <v>1209</v>
      </c>
      <c r="C2143" s="1">
        <v>46129</v>
      </c>
      <c r="D2143">
        <v>102.1808</v>
      </c>
      <c r="E2143">
        <v>283.64542717</v>
      </c>
      <c r="F2143">
        <v>286.13608575000001</v>
      </c>
      <c r="G2143">
        <v>283.64542717</v>
      </c>
    </row>
    <row r="2144" spans="1:7" x14ac:dyDescent="0.25">
      <c r="A2144" s="2">
        <v>2142</v>
      </c>
      <c r="B2144" t="s">
        <v>1211</v>
      </c>
      <c r="C2144" s="1">
        <v>46129</v>
      </c>
      <c r="D2144">
        <v>98.864369999999994</v>
      </c>
      <c r="E2144">
        <v>336.38048020000002</v>
      </c>
      <c r="F2144">
        <v>337.40413394000001</v>
      </c>
      <c r="G2144">
        <v>336.38048020000002</v>
      </c>
    </row>
    <row r="2145" spans="1:7" x14ac:dyDescent="0.25">
      <c r="A2145" s="2">
        <v>2143</v>
      </c>
      <c r="B2145" t="s">
        <v>1213</v>
      </c>
      <c r="C2145" s="1">
        <v>46129</v>
      </c>
      <c r="D2145">
        <v>95.017939999999996</v>
      </c>
      <c r="E2145">
        <v>430.74680073000002</v>
      </c>
      <c r="F2145">
        <v>433.04406655000003</v>
      </c>
      <c r="G2145">
        <v>430.74680073000002</v>
      </c>
    </row>
    <row r="2146" spans="1:7" x14ac:dyDescent="0.25">
      <c r="A2146" s="2">
        <v>2144</v>
      </c>
      <c r="B2146" t="s">
        <v>1215</v>
      </c>
      <c r="C2146" s="1">
        <v>46129</v>
      </c>
      <c r="D2146">
        <v>95.827079999999995</v>
      </c>
      <c r="E2146">
        <v>237.96816738000001</v>
      </c>
      <c r="F2146">
        <v>240.74580089</v>
      </c>
      <c r="G2146">
        <v>237.96816738000001</v>
      </c>
    </row>
    <row r="2147" spans="1:7" x14ac:dyDescent="0.25">
      <c r="A2147" s="2">
        <v>2145</v>
      </c>
      <c r="B2147" t="s">
        <v>1217</v>
      </c>
      <c r="C2147" s="1">
        <v>46129</v>
      </c>
    </row>
    <row r="2148" spans="1:7" x14ac:dyDescent="0.25">
      <c r="A2148" s="2">
        <v>2146</v>
      </c>
      <c r="B2148" t="s">
        <v>1219</v>
      </c>
      <c r="C2148" s="1">
        <v>46129</v>
      </c>
      <c r="D2148">
        <v>98.375</v>
      </c>
      <c r="F2148">
        <v>408.95928380999999</v>
      </c>
    </row>
    <row r="2149" spans="1:7" x14ac:dyDescent="0.25">
      <c r="A2149" s="2">
        <v>2147</v>
      </c>
      <c r="B2149" t="s">
        <v>1221</v>
      </c>
      <c r="C2149" s="1">
        <v>46129</v>
      </c>
      <c r="D2149">
        <v>98.625</v>
      </c>
      <c r="F2149">
        <v>382.69756950999999</v>
      </c>
    </row>
    <row r="2150" spans="1:7" x14ac:dyDescent="0.25">
      <c r="A2150" s="2">
        <v>2148</v>
      </c>
      <c r="B2150" t="s">
        <v>1223</v>
      </c>
      <c r="C2150" s="1">
        <v>46129</v>
      </c>
    </row>
    <row r="2151" spans="1:7" x14ac:dyDescent="0.25">
      <c r="A2151" s="2">
        <v>2149</v>
      </c>
      <c r="B2151" t="s">
        <v>1005</v>
      </c>
      <c r="C2151" s="1">
        <v>46129</v>
      </c>
      <c r="D2151">
        <v>87.875050000000002</v>
      </c>
      <c r="E2151">
        <v>580.88771314999997</v>
      </c>
      <c r="F2151">
        <v>582.90218699000002</v>
      </c>
      <c r="G2151">
        <v>580.88771314999997</v>
      </c>
    </row>
    <row r="2152" spans="1:7" x14ac:dyDescent="0.25">
      <c r="A2152" s="2">
        <v>2150</v>
      </c>
      <c r="B2152" t="s">
        <v>1009</v>
      </c>
      <c r="C2152" s="1">
        <v>46129</v>
      </c>
      <c r="D2152">
        <v>110.4355</v>
      </c>
      <c r="E2152">
        <v>247.31664036999999</v>
      </c>
      <c r="F2152">
        <v>253.11230291999999</v>
      </c>
      <c r="G2152">
        <v>247.31664036999999</v>
      </c>
    </row>
    <row r="2153" spans="1:7" x14ac:dyDescent="0.25">
      <c r="A2153" s="2">
        <v>2151</v>
      </c>
      <c r="B2153" t="s">
        <v>1011</v>
      </c>
      <c r="C2153" s="1">
        <v>46129</v>
      </c>
      <c r="D2153">
        <v>77.354249999999993</v>
      </c>
      <c r="E2153">
        <v>539.34083854999994</v>
      </c>
      <c r="F2153">
        <v>540.61181592000003</v>
      </c>
      <c r="G2153">
        <v>539.34083854999994</v>
      </c>
    </row>
    <row r="2154" spans="1:7" x14ac:dyDescent="0.25">
      <c r="A2154" s="2">
        <v>2152</v>
      </c>
      <c r="B2154" t="s">
        <v>1013</v>
      </c>
      <c r="C2154" s="1">
        <v>46129</v>
      </c>
      <c r="D2154">
        <v>103.9589</v>
      </c>
      <c r="E2154">
        <v>337.04861781</v>
      </c>
      <c r="F2154">
        <v>339.66522798</v>
      </c>
      <c r="G2154">
        <v>337.04861781</v>
      </c>
    </row>
    <row r="2155" spans="1:7" x14ac:dyDescent="0.25">
      <c r="A2155" s="2">
        <v>2153</v>
      </c>
      <c r="B2155" t="s">
        <v>1015</v>
      </c>
      <c r="C2155" s="1">
        <v>46129</v>
      </c>
      <c r="D2155">
        <v>79.363939999999999</v>
      </c>
      <c r="E2155">
        <v>607.85404593999999</v>
      </c>
      <c r="F2155">
        <v>609.67131332999998</v>
      </c>
      <c r="G2155">
        <v>607.85404593999999</v>
      </c>
    </row>
    <row r="2156" spans="1:7" x14ac:dyDescent="0.25">
      <c r="A2156" s="2">
        <v>2154</v>
      </c>
      <c r="B2156" t="s">
        <v>1017</v>
      </c>
      <c r="C2156" s="1">
        <v>46129</v>
      </c>
      <c r="D2156">
        <v>90.75</v>
      </c>
      <c r="F2156">
        <v>703.47329388000003</v>
      </c>
    </row>
    <row r="2157" spans="1:7" x14ac:dyDescent="0.25">
      <c r="A2157" s="2">
        <v>2155</v>
      </c>
      <c r="B2157" t="s">
        <v>1019</v>
      </c>
      <c r="C2157" s="1">
        <v>46129</v>
      </c>
      <c r="D2157">
        <v>90.25</v>
      </c>
      <c r="F2157">
        <v>761.00483364000002</v>
      </c>
    </row>
    <row r="2158" spans="1:7" x14ac:dyDescent="0.25">
      <c r="A2158" s="2">
        <v>2156</v>
      </c>
      <c r="B2158" t="s">
        <v>1021</v>
      </c>
      <c r="C2158" s="1">
        <v>46129</v>
      </c>
      <c r="D2158">
        <v>90</v>
      </c>
      <c r="F2158">
        <v>958.03695457000003</v>
      </c>
    </row>
    <row r="2159" spans="1:7" x14ac:dyDescent="0.25">
      <c r="A2159" s="2">
        <v>2157</v>
      </c>
      <c r="B2159" t="s">
        <v>3496</v>
      </c>
      <c r="C2159" s="1">
        <v>46129</v>
      </c>
      <c r="D2159">
        <v>94.5</v>
      </c>
      <c r="F2159">
        <v>1326.6208719199999</v>
      </c>
    </row>
    <row r="2160" spans="1:7" x14ac:dyDescent="0.25">
      <c r="A2160" s="2">
        <v>2158</v>
      </c>
      <c r="B2160" t="s">
        <v>3500</v>
      </c>
      <c r="C2160" s="1">
        <v>46129</v>
      </c>
      <c r="D2160">
        <v>69</v>
      </c>
      <c r="F2160">
        <v>2076.2051970799998</v>
      </c>
    </row>
    <row r="2161" spans="1:7" x14ac:dyDescent="0.25">
      <c r="A2161" s="2">
        <v>2159</v>
      </c>
      <c r="B2161" t="s">
        <v>3502</v>
      </c>
      <c r="C2161" s="1">
        <v>46129</v>
      </c>
      <c r="D2161">
        <v>82</v>
      </c>
      <c r="F2161">
        <v>1252.2356188599999</v>
      </c>
    </row>
    <row r="2162" spans="1:7" x14ac:dyDescent="0.25">
      <c r="A2162" s="2">
        <v>2160</v>
      </c>
      <c r="B2162" t="s">
        <v>1665</v>
      </c>
      <c r="C2162" s="1">
        <v>46129</v>
      </c>
    </row>
    <row r="2163" spans="1:7" x14ac:dyDescent="0.25">
      <c r="A2163" s="2">
        <v>2161</v>
      </c>
      <c r="B2163" t="s">
        <v>1669</v>
      </c>
      <c r="C2163" s="1">
        <v>46129</v>
      </c>
      <c r="D2163">
        <v>21</v>
      </c>
      <c r="F2163">
        <v>6707.1259929300004</v>
      </c>
    </row>
    <row r="2164" spans="1:7" x14ac:dyDescent="0.25">
      <c r="A2164" s="2">
        <v>2162</v>
      </c>
      <c r="B2164" t="s">
        <v>1670</v>
      </c>
      <c r="C2164" s="1">
        <v>46129</v>
      </c>
      <c r="D2164">
        <v>56</v>
      </c>
      <c r="F2164">
        <v>3004.7084892500002</v>
      </c>
    </row>
    <row r="2165" spans="1:7" x14ac:dyDescent="0.25">
      <c r="A2165" s="2">
        <v>2163</v>
      </c>
      <c r="B2165" t="s">
        <v>1672</v>
      </c>
      <c r="C2165" s="1">
        <v>46129</v>
      </c>
      <c r="D2165">
        <v>100</v>
      </c>
      <c r="F2165">
        <v>588.99838267999996</v>
      </c>
    </row>
    <row r="2166" spans="1:7" x14ac:dyDescent="0.25">
      <c r="A2166" s="2">
        <v>2164</v>
      </c>
      <c r="B2166" t="s">
        <v>1673</v>
      </c>
      <c r="C2166" s="1">
        <v>46129</v>
      </c>
      <c r="D2166">
        <v>20.817419999999998</v>
      </c>
      <c r="F2166">
        <v>11388.863197369999</v>
      </c>
    </row>
    <row r="2167" spans="1:7" x14ac:dyDescent="0.25">
      <c r="A2167" s="2">
        <v>2165</v>
      </c>
      <c r="B2167" t="s">
        <v>1675</v>
      </c>
      <c r="C2167" s="1">
        <v>46129</v>
      </c>
    </row>
    <row r="2168" spans="1:7" x14ac:dyDescent="0.25">
      <c r="A2168" s="2">
        <v>2166</v>
      </c>
      <c r="B2168" t="s">
        <v>1682</v>
      </c>
      <c r="C2168" s="1">
        <v>46129</v>
      </c>
    </row>
    <row r="2169" spans="1:7" x14ac:dyDescent="0.25">
      <c r="A2169" s="2">
        <v>2167</v>
      </c>
      <c r="B2169" t="s">
        <v>1684</v>
      </c>
      <c r="C2169" s="1">
        <v>46129</v>
      </c>
      <c r="D2169">
        <v>96.354609999999994</v>
      </c>
      <c r="E2169">
        <v>720.30544333</v>
      </c>
      <c r="F2169">
        <v>722.26098261000004</v>
      </c>
      <c r="G2169">
        <v>720.30544333</v>
      </c>
    </row>
    <row r="2170" spans="1:7" x14ac:dyDescent="0.25">
      <c r="A2170" s="2">
        <v>2168</v>
      </c>
      <c r="B2170" t="s">
        <v>1686</v>
      </c>
      <c r="C2170" s="1">
        <v>46129</v>
      </c>
    </row>
    <row r="2171" spans="1:7" x14ac:dyDescent="0.25">
      <c r="A2171" s="2">
        <v>2169</v>
      </c>
      <c r="B2171" t="s">
        <v>1688</v>
      </c>
      <c r="C2171" s="1">
        <v>46129</v>
      </c>
    </row>
    <row r="2172" spans="1:7" x14ac:dyDescent="0.25">
      <c r="A2172" s="2">
        <v>2170</v>
      </c>
      <c r="B2172" t="s">
        <v>1691</v>
      </c>
      <c r="C2172" s="1">
        <v>46129</v>
      </c>
    </row>
    <row r="2173" spans="1:7" x14ac:dyDescent="0.25">
      <c r="A2173" s="2">
        <v>2171</v>
      </c>
      <c r="B2173" t="s">
        <v>1692</v>
      </c>
      <c r="C2173" s="1">
        <v>46129</v>
      </c>
      <c r="D2173">
        <v>87.75</v>
      </c>
      <c r="F2173">
        <v>994.24967819999995</v>
      </c>
    </row>
    <row r="2174" spans="1:7" x14ac:dyDescent="0.25">
      <c r="A2174" s="2">
        <v>2172</v>
      </c>
      <c r="B2174" t="s">
        <v>1696</v>
      </c>
      <c r="C2174" s="1">
        <v>46129</v>
      </c>
      <c r="D2174">
        <v>88</v>
      </c>
      <c r="F2174">
        <v>1002.6346416600001</v>
      </c>
    </row>
    <row r="2175" spans="1:7" x14ac:dyDescent="0.25">
      <c r="A2175" s="2">
        <v>2173</v>
      </c>
      <c r="B2175" t="s">
        <v>1698</v>
      </c>
      <c r="C2175" s="1">
        <v>46129</v>
      </c>
      <c r="D2175">
        <v>92.5</v>
      </c>
      <c r="F2175">
        <v>966.79289445999996</v>
      </c>
    </row>
    <row r="2176" spans="1:7" x14ac:dyDescent="0.25">
      <c r="A2176" s="2">
        <v>2174</v>
      </c>
      <c r="B2176" t="s">
        <v>1700</v>
      </c>
      <c r="C2176" s="1">
        <v>46129</v>
      </c>
    </row>
    <row r="2177" spans="1:7" x14ac:dyDescent="0.25">
      <c r="A2177" s="2">
        <v>2175</v>
      </c>
      <c r="B2177" t="s">
        <v>1704</v>
      </c>
      <c r="C2177" s="1">
        <v>46129</v>
      </c>
    </row>
    <row r="2178" spans="1:7" x14ac:dyDescent="0.25">
      <c r="A2178" s="2">
        <v>2176</v>
      </c>
      <c r="B2178" t="s">
        <v>1706</v>
      </c>
      <c r="C2178" s="1">
        <v>46129</v>
      </c>
      <c r="D2178">
        <v>63</v>
      </c>
      <c r="F2178">
        <v>2380.9748232400002</v>
      </c>
    </row>
    <row r="2179" spans="1:7" x14ac:dyDescent="0.25">
      <c r="A2179" s="2">
        <v>2177</v>
      </c>
      <c r="B2179" t="s">
        <v>1718</v>
      </c>
      <c r="C2179" s="1">
        <v>46129</v>
      </c>
      <c r="D2179">
        <v>53</v>
      </c>
      <c r="F2179">
        <v>4918.9932603200004</v>
      </c>
    </row>
    <row r="2180" spans="1:7" x14ac:dyDescent="0.25">
      <c r="A2180" s="2">
        <v>2178</v>
      </c>
      <c r="B2180" t="s">
        <v>1722</v>
      </c>
      <c r="C2180" s="1">
        <v>46129</v>
      </c>
      <c r="D2180">
        <v>48.5</v>
      </c>
      <c r="F2180">
        <v>3779.8651200099998</v>
      </c>
    </row>
    <row r="2181" spans="1:7" x14ac:dyDescent="0.25">
      <c r="A2181" s="2">
        <v>2179</v>
      </c>
      <c r="B2181" t="s">
        <v>1724</v>
      </c>
      <c r="C2181" s="1">
        <v>46129</v>
      </c>
    </row>
    <row r="2182" spans="1:7" x14ac:dyDescent="0.25">
      <c r="A2182" s="2">
        <v>2180</v>
      </c>
      <c r="B2182" t="s">
        <v>1728</v>
      </c>
      <c r="C2182" s="1">
        <v>46129</v>
      </c>
      <c r="D2182">
        <v>64</v>
      </c>
      <c r="F2182">
        <v>2993.9472437499999</v>
      </c>
    </row>
    <row r="2183" spans="1:7" x14ac:dyDescent="0.25">
      <c r="A2183" s="2">
        <v>2181</v>
      </c>
      <c r="B2183" t="s">
        <v>1730</v>
      </c>
      <c r="C2183" s="1">
        <v>46129</v>
      </c>
      <c r="D2183">
        <v>98.375</v>
      </c>
      <c r="F2183">
        <v>582.51326719999997</v>
      </c>
    </row>
    <row r="2184" spans="1:7" x14ac:dyDescent="0.25">
      <c r="A2184" s="2">
        <v>2182</v>
      </c>
      <c r="B2184" t="s">
        <v>1023</v>
      </c>
      <c r="C2184" s="1">
        <v>46129</v>
      </c>
      <c r="D2184">
        <v>57.617379999999997</v>
      </c>
      <c r="E2184">
        <v>4926.0643712700003</v>
      </c>
      <c r="F2184">
        <v>4930.10550341</v>
      </c>
      <c r="G2184">
        <v>4926.0643712700003</v>
      </c>
    </row>
    <row r="2185" spans="1:7" x14ac:dyDescent="0.25">
      <c r="A2185" s="2">
        <v>2183</v>
      </c>
      <c r="B2185" t="s">
        <v>1027</v>
      </c>
      <c r="C2185" s="1">
        <v>46129</v>
      </c>
      <c r="E2185">
        <v>2032.45989749</v>
      </c>
      <c r="F2185">
        <v>2035.57497358</v>
      </c>
      <c r="G2185">
        <v>2032.45989749</v>
      </c>
    </row>
    <row r="2186" spans="1:7" x14ac:dyDescent="0.25">
      <c r="A2186" s="2">
        <v>2184</v>
      </c>
      <c r="B2186" t="s">
        <v>1029</v>
      </c>
      <c r="C2186" s="1">
        <v>46129</v>
      </c>
      <c r="E2186">
        <v>2962.0952451500002</v>
      </c>
      <c r="F2186">
        <v>2968.1235546600001</v>
      </c>
      <c r="G2186">
        <v>2962.0952451500002</v>
      </c>
    </row>
    <row r="2187" spans="1:7" x14ac:dyDescent="0.25">
      <c r="A2187" s="2">
        <v>2185</v>
      </c>
      <c r="B2187" t="s">
        <v>1031</v>
      </c>
      <c r="C2187" s="1">
        <v>46129</v>
      </c>
      <c r="D2187">
        <v>85.5</v>
      </c>
      <c r="F2187">
        <v>3306.6076370699998</v>
      </c>
    </row>
    <row r="2188" spans="1:7" x14ac:dyDescent="0.25">
      <c r="A2188" s="2">
        <v>2186</v>
      </c>
      <c r="B2188" t="s">
        <v>2025</v>
      </c>
      <c r="C2188" s="1">
        <v>46129</v>
      </c>
      <c r="D2188">
        <v>103.6742</v>
      </c>
      <c r="E2188">
        <v>555.89272396000001</v>
      </c>
      <c r="F2188">
        <v>558.56211074999999</v>
      </c>
      <c r="G2188">
        <v>555.89272396000001</v>
      </c>
    </row>
    <row r="2189" spans="1:7" x14ac:dyDescent="0.25">
      <c r="A2189" s="2">
        <v>2187</v>
      </c>
      <c r="B2189" t="s">
        <v>2029</v>
      </c>
      <c r="C2189" s="1">
        <v>46129</v>
      </c>
      <c r="D2189">
        <v>103.30970000000001</v>
      </c>
      <c r="E2189">
        <v>434.99749157000002</v>
      </c>
      <c r="F2189">
        <v>437.55518744</v>
      </c>
      <c r="G2189">
        <v>434.99749157000002</v>
      </c>
    </row>
    <row r="2190" spans="1:7" x14ac:dyDescent="0.25">
      <c r="A2190" s="2">
        <v>2188</v>
      </c>
      <c r="B2190" t="s">
        <v>2031</v>
      </c>
      <c r="C2190" s="1">
        <v>46129</v>
      </c>
      <c r="D2190">
        <v>120.7274</v>
      </c>
      <c r="E2190">
        <v>234.70413561999999</v>
      </c>
      <c r="F2190">
        <v>235.87200607</v>
      </c>
      <c r="G2190">
        <v>234.70413561999999</v>
      </c>
    </row>
    <row r="2191" spans="1:7" x14ac:dyDescent="0.25">
      <c r="A2191" s="2">
        <v>2189</v>
      </c>
      <c r="B2191" t="s">
        <v>2033</v>
      </c>
      <c r="C2191" s="1">
        <v>46129</v>
      </c>
      <c r="D2191">
        <v>94.664820000000006</v>
      </c>
      <c r="E2191">
        <v>496.30492471999997</v>
      </c>
      <c r="F2191">
        <v>498.88787425999999</v>
      </c>
      <c r="G2191">
        <v>496.30492471999997</v>
      </c>
    </row>
    <row r="2192" spans="1:7" x14ac:dyDescent="0.25">
      <c r="A2192" s="2">
        <v>2190</v>
      </c>
      <c r="B2192" t="s">
        <v>2035</v>
      </c>
      <c r="C2192" s="1">
        <v>46129</v>
      </c>
      <c r="D2192">
        <v>102.0461</v>
      </c>
      <c r="E2192">
        <v>507.40460931000001</v>
      </c>
      <c r="F2192">
        <v>508.91235194000001</v>
      </c>
      <c r="G2192">
        <v>507.40460931000001</v>
      </c>
    </row>
    <row r="2193" spans="1:7" x14ac:dyDescent="0.25">
      <c r="A2193" s="2">
        <v>2191</v>
      </c>
      <c r="B2193" t="s">
        <v>3566</v>
      </c>
      <c r="C2193" s="1">
        <v>46129</v>
      </c>
    </row>
    <row r="2194" spans="1:7" x14ac:dyDescent="0.25">
      <c r="A2194" s="2">
        <v>2192</v>
      </c>
      <c r="B2194" t="s">
        <v>2037</v>
      </c>
      <c r="C2194" s="1">
        <v>46129</v>
      </c>
    </row>
    <row r="2195" spans="1:7" x14ac:dyDescent="0.25">
      <c r="A2195" s="2">
        <v>2193</v>
      </c>
      <c r="B2195" t="s">
        <v>2039</v>
      </c>
      <c r="C2195" s="1">
        <v>46129</v>
      </c>
      <c r="D2195">
        <v>175.78829999999999</v>
      </c>
      <c r="F2195">
        <v>-405.22667874000001</v>
      </c>
    </row>
    <row r="2196" spans="1:7" x14ac:dyDescent="0.25">
      <c r="A2196" s="2">
        <v>2194</v>
      </c>
      <c r="B2196" t="s">
        <v>2041</v>
      </c>
      <c r="C2196" s="1">
        <v>46129</v>
      </c>
    </row>
    <row r="2197" spans="1:7" x14ac:dyDescent="0.25">
      <c r="A2197" s="2">
        <v>2195</v>
      </c>
      <c r="B2197" t="s">
        <v>2043</v>
      </c>
      <c r="C2197" s="1">
        <v>46129</v>
      </c>
      <c r="D2197">
        <v>100.75</v>
      </c>
      <c r="F2197">
        <v>620.60858402999997</v>
      </c>
    </row>
    <row r="2198" spans="1:7" x14ac:dyDescent="0.25">
      <c r="A2198" s="2">
        <v>2196</v>
      </c>
      <c r="B2198" t="s">
        <v>1732</v>
      </c>
      <c r="C2198" s="1">
        <v>46129</v>
      </c>
      <c r="D2198">
        <v>74.5</v>
      </c>
      <c r="F2198">
        <v>1553.4388175399999</v>
      </c>
    </row>
    <row r="2199" spans="1:7" x14ac:dyDescent="0.25">
      <c r="A2199" s="2">
        <v>2197</v>
      </c>
      <c r="B2199" t="s">
        <v>1736</v>
      </c>
      <c r="C2199" s="1">
        <v>46129</v>
      </c>
      <c r="D2199">
        <v>65</v>
      </c>
      <c r="F2199">
        <v>2548.0368802600001</v>
      </c>
    </row>
    <row r="2200" spans="1:7" x14ac:dyDescent="0.25">
      <c r="A2200" s="2">
        <v>2198</v>
      </c>
      <c r="B2200" t="s">
        <v>1740</v>
      </c>
      <c r="C2200" s="1">
        <v>46129</v>
      </c>
      <c r="D2200">
        <v>75.25</v>
      </c>
      <c r="F2200">
        <v>2364.8991303299999</v>
      </c>
    </row>
    <row r="2201" spans="1:7" x14ac:dyDescent="0.25">
      <c r="A2201" s="2">
        <v>2199</v>
      </c>
      <c r="B2201" t="s">
        <v>1775</v>
      </c>
      <c r="C2201" s="1">
        <v>46129</v>
      </c>
    </row>
    <row r="2202" spans="1:7" x14ac:dyDescent="0.25">
      <c r="A2202" s="2">
        <v>2200</v>
      </c>
      <c r="B2202" t="s">
        <v>1779</v>
      </c>
      <c r="C2202" s="1">
        <v>46129</v>
      </c>
      <c r="D2202">
        <v>11.18449</v>
      </c>
      <c r="E2202">
        <v>9377.3606698700005</v>
      </c>
      <c r="F2202">
        <v>9381.2458635200001</v>
      </c>
      <c r="G2202">
        <v>9377.3606698700005</v>
      </c>
    </row>
    <row r="2203" spans="1:7" x14ac:dyDescent="0.25">
      <c r="A2203" s="2">
        <v>2201</v>
      </c>
      <c r="B2203" t="s">
        <v>1780</v>
      </c>
      <c r="C2203" s="1">
        <v>46129</v>
      </c>
      <c r="D2203">
        <v>26.596630000000001</v>
      </c>
      <c r="E2203">
        <v>5615.5393009899999</v>
      </c>
      <c r="F2203">
        <v>5619.2409546400004</v>
      </c>
      <c r="G2203">
        <v>5615.5393009899999</v>
      </c>
    </row>
    <row r="2204" spans="1:7" x14ac:dyDescent="0.25">
      <c r="A2204" s="2">
        <v>2202</v>
      </c>
      <c r="B2204" t="s">
        <v>1782</v>
      </c>
      <c r="C2204" s="1">
        <v>46129</v>
      </c>
      <c r="D2204">
        <v>100.0625</v>
      </c>
      <c r="F2204">
        <v>653.36152861999994</v>
      </c>
    </row>
    <row r="2205" spans="1:7" x14ac:dyDescent="0.25">
      <c r="A2205" s="2">
        <v>2203</v>
      </c>
      <c r="B2205" t="s">
        <v>1784</v>
      </c>
      <c r="C2205" s="1">
        <v>46129</v>
      </c>
      <c r="D2205">
        <v>61.5</v>
      </c>
      <c r="F2205">
        <v>2164.54370694</v>
      </c>
    </row>
    <row r="2206" spans="1:7" x14ac:dyDescent="0.25">
      <c r="A2206" s="2">
        <v>2204</v>
      </c>
      <c r="B2206" t="s">
        <v>1786</v>
      </c>
      <c r="C2206" s="1">
        <v>46129</v>
      </c>
      <c r="D2206">
        <v>57.5</v>
      </c>
      <c r="F2206">
        <v>2463.6559739899999</v>
      </c>
    </row>
    <row r="2207" spans="1:7" x14ac:dyDescent="0.25">
      <c r="A2207" s="2">
        <v>2205</v>
      </c>
      <c r="B2207" t="s">
        <v>1788</v>
      </c>
      <c r="C2207" s="1">
        <v>46129</v>
      </c>
      <c r="D2207">
        <v>19</v>
      </c>
      <c r="F2207">
        <v>7900.7958597799998</v>
      </c>
    </row>
    <row r="2208" spans="1:7" x14ac:dyDescent="0.25">
      <c r="A2208" s="2">
        <v>2206</v>
      </c>
      <c r="B2208" t="s">
        <v>1790</v>
      </c>
      <c r="C2208" s="1">
        <v>46129</v>
      </c>
      <c r="F2208">
        <v>8892.6075236699999</v>
      </c>
    </row>
    <row r="2209" spans="1:7" x14ac:dyDescent="0.25">
      <c r="A2209" s="2">
        <v>2207</v>
      </c>
      <c r="B2209" t="s">
        <v>1792</v>
      </c>
      <c r="C2209" s="1">
        <v>46129</v>
      </c>
      <c r="D2209">
        <v>96.5</v>
      </c>
      <c r="F2209">
        <v>756.10244639999996</v>
      </c>
    </row>
    <row r="2210" spans="1:7" x14ac:dyDescent="0.25">
      <c r="A2210" s="2">
        <v>2208</v>
      </c>
      <c r="B2210" t="s">
        <v>1794</v>
      </c>
      <c r="C2210" s="1">
        <v>46129</v>
      </c>
      <c r="D2210">
        <v>39</v>
      </c>
      <c r="F2210">
        <v>4535.4147598899999</v>
      </c>
    </row>
    <row r="2211" spans="1:7" x14ac:dyDescent="0.25">
      <c r="A2211" s="2">
        <v>2209</v>
      </c>
      <c r="B2211" t="s">
        <v>3727</v>
      </c>
      <c r="C2211" s="1">
        <v>46129</v>
      </c>
      <c r="D2211">
        <v>97.460999999999999</v>
      </c>
      <c r="E2211">
        <v>819.79786916</v>
      </c>
      <c r="F2211">
        <v>822.29616568999995</v>
      </c>
      <c r="G2211">
        <v>819.79786916</v>
      </c>
    </row>
    <row r="2212" spans="1:7" x14ac:dyDescent="0.25">
      <c r="A2212" s="2">
        <v>2210</v>
      </c>
      <c r="B2212" t="s">
        <v>3731</v>
      </c>
      <c r="C2212" s="1">
        <v>46129</v>
      </c>
      <c r="D2212">
        <v>99.572299999999998</v>
      </c>
      <c r="E2212">
        <v>490.65545350000002</v>
      </c>
      <c r="F2212">
        <v>493.23181476000002</v>
      </c>
      <c r="G2212">
        <v>490.65545350000002</v>
      </c>
    </row>
    <row r="2213" spans="1:7" x14ac:dyDescent="0.25">
      <c r="A2213" s="2">
        <v>2211</v>
      </c>
      <c r="B2213" t="s">
        <v>3733</v>
      </c>
      <c r="C2213" s="1">
        <v>46129</v>
      </c>
      <c r="D2213">
        <v>97.443110000000004</v>
      </c>
      <c r="E2213">
        <v>657.98689210999999</v>
      </c>
      <c r="F2213">
        <v>660.21894437000003</v>
      </c>
      <c r="G2213">
        <v>657.98689210999999</v>
      </c>
    </row>
    <row r="2214" spans="1:7" x14ac:dyDescent="0.25">
      <c r="A2214" s="2">
        <v>2212</v>
      </c>
      <c r="B2214" t="s">
        <v>3735</v>
      </c>
      <c r="C2214" s="1">
        <v>46129</v>
      </c>
      <c r="D2214">
        <v>102.1015</v>
      </c>
      <c r="E2214">
        <v>326.64351210000001</v>
      </c>
      <c r="F2214">
        <v>329.69023408999999</v>
      </c>
      <c r="G2214">
        <v>326.64351210000001</v>
      </c>
    </row>
    <row r="2215" spans="1:7" x14ac:dyDescent="0.25">
      <c r="A2215" s="2">
        <v>2213</v>
      </c>
      <c r="B2215" t="s">
        <v>3737</v>
      </c>
      <c r="C2215" s="1">
        <v>46129</v>
      </c>
      <c r="D2215">
        <v>98.375</v>
      </c>
      <c r="F2215">
        <v>434.43626277999999</v>
      </c>
    </row>
    <row r="2216" spans="1:7" x14ac:dyDescent="0.25">
      <c r="A2216" s="2">
        <v>2214</v>
      </c>
      <c r="B2216" t="s">
        <v>3739</v>
      </c>
      <c r="C2216" s="1">
        <v>46129</v>
      </c>
      <c r="D2216">
        <v>99.625</v>
      </c>
      <c r="F2216">
        <v>350.93326174999999</v>
      </c>
    </row>
    <row r="2217" spans="1:7" x14ac:dyDescent="0.25">
      <c r="A2217" s="2">
        <v>2215</v>
      </c>
      <c r="B2217" t="s">
        <v>3741</v>
      </c>
      <c r="C2217" s="1">
        <v>46129</v>
      </c>
    </row>
    <row r="2218" spans="1:7" x14ac:dyDescent="0.25">
      <c r="A2218" s="2">
        <v>2216</v>
      </c>
      <c r="B2218" t="s">
        <v>1813</v>
      </c>
      <c r="C2218" s="1">
        <v>46129</v>
      </c>
      <c r="D2218">
        <v>76.5</v>
      </c>
      <c r="F2218">
        <v>1749.7176157700001</v>
      </c>
    </row>
    <row r="2219" spans="1:7" x14ac:dyDescent="0.25">
      <c r="A2219" s="2">
        <v>2217</v>
      </c>
      <c r="B2219" t="s">
        <v>1819</v>
      </c>
      <c r="C2219" s="1">
        <v>46129</v>
      </c>
      <c r="D2219">
        <v>75</v>
      </c>
      <c r="F2219">
        <v>1099.32977637</v>
      </c>
    </row>
    <row r="2220" spans="1:7" x14ac:dyDescent="0.25">
      <c r="A2220" s="2">
        <v>2218</v>
      </c>
      <c r="B2220" t="s">
        <v>1823</v>
      </c>
      <c r="C2220" s="1">
        <v>46129</v>
      </c>
    </row>
    <row r="2221" spans="1:7" x14ac:dyDescent="0.25">
      <c r="A2221" s="2">
        <v>2219</v>
      </c>
      <c r="B2221" t="s">
        <v>1827</v>
      </c>
      <c r="C2221" s="1">
        <v>46129</v>
      </c>
      <c r="D2221">
        <v>47.62829</v>
      </c>
      <c r="E2221">
        <v>3400.49309257</v>
      </c>
      <c r="F2221">
        <v>3403.1039270900001</v>
      </c>
      <c r="G2221">
        <v>3400.49309257</v>
      </c>
    </row>
    <row r="2222" spans="1:7" x14ac:dyDescent="0.25">
      <c r="A2222" s="2">
        <v>2220</v>
      </c>
      <c r="B2222" t="s">
        <v>1829</v>
      </c>
      <c r="C2222" s="1">
        <v>46129</v>
      </c>
    </row>
    <row r="2223" spans="1:7" x14ac:dyDescent="0.25">
      <c r="A2223" s="2">
        <v>2221</v>
      </c>
      <c r="B2223" t="s">
        <v>1831</v>
      </c>
      <c r="C2223" s="1">
        <v>46129</v>
      </c>
    </row>
    <row r="2224" spans="1:7" x14ac:dyDescent="0.25">
      <c r="A2224" s="2">
        <v>2222</v>
      </c>
      <c r="B2224" t="s">
        <v>1832</v>
      </c>
      <c r="C2224" s="1">
        <v>46129</v>
      </c>
    </row>
    <row r="2225" spans="1:7" x14ac:dyDescent="0.25">
      <c r="A2225" s="2">
        <v>2223</v>
      </c>
      <c r="B2225" t="s">
        <v>2076</v>
      </c>
      <c r="C2225" s="1">
        <v>46129</v>
      </c>
      <c r="D2225">
        <v>44.320430000000002</v>
      </c>
      <c r="E2225">
        <v>5442.2791761099998</v>
      </c>
      <c r="F2225">
        <v>5445.6043361599995</v>
      </c>
      <c r="G2225">
        <v>5442.2791761099998</v>
      </c>
    </row>
    <row r="2226" spans="1:7" x14ac:dyDescent="0.25">
      <c r="A2226" s="2">
        <v>2224</v>
      </c>
      <c r="B2226" t="s">
        <v>2080</v>
      </c>
      <c r="C2226" s="1">
        <v>46129</v>
      </c>
      <c r="D2226">
        <v>35.578960000000002</v>
      </c>
      <c r="E2226">
        <v>4801.8239612999996</v>
      </c>
      <c r="F2226">
        <v>4805.0755856799997</v>
      </c>
      <c r="G2226">
        <v>4801.8239612999996</v>
      </c>
    </row>
    <row r="2227" spans="1:7" x14ac:dyDescent="0.25">
      <c r="A2227" s="2">
        <v>2225</v>
      </c>
      <c r="B2227" t="s">
        <v>2082</v>
      </c>
      <c r="C2227" s="1">
        <v>46129</v>
      </c>
      <c r="D2227">
        <v>35.578960000000002</v>
      </c>
      <c r="E2227">
        <v>4805.81652356</v>
      </c>
      <c r="F2227">
        <v>4809.0685886600004</v>
      </c>
      <c r="G2227">
        <v>4805.81652356</v>
      </c>
    </row>
    <row r="2228" spans="1:7" x14ac:dyDescent="0.25">
      <c r="A2228" s="2">
        <v>2226</v>
      </c>
      <c r="B2228" t="s">
        <v>2083</v>
      </c>
      <c r="C2228" s="1">
        <v>46129</v>
      </c>
    </row>
    <row r="2229" spans="1:7" x14ac:dyDescent="0.25">
      <c r="A2229" s="2">
        <v>2227</v>
      </c>
      <c r="B2229" t="s">
        <v>2085</v>
      </c>
      <c r="C2229" s="1">
        <v>46129</v>
      </c>
    </row>
    <row r="2230" spans="1:7" x14ac:dyDescent="0.25">
      <c r="A2230" s="2">
        <v>2228</v>
      </c>
      <c r="B2230" t="s">
        <v>3503</v>
      </c>
      <c r="C2230" s="1">
        <v>46129</v>
      </c>
      <c r="D2230">
        <v>89.25</v>
      </c>
      <c r="F2230">
        <v>896.84336464</v>
      </c>
    </row>
    <row r="2231" spans="1:7" x14ac:dyDescent="0.25">
      <c r="A2231" s="2">
        <v>2229</v>
      </c>
      <c r="B2231" t="s">
        <v>3507</v>
      </c>
      <c r="C2231" s="1">
        <v>46129</v>
      </c>
    </row>
    <row r="2232" spans="1:7" x14ac:dyDescent="0.25">
      <c r="A2232" s="2">
        <v>2230</v>
      </c>
      <c r="B2232" t="s">
        <v>3510</v>
      </c>
      <c r="C2232" s="1">
        <v>46129</v>
      </c>
      <c r="D2232">
        <v>15</v>
      </c>
    </row>
    <row r="2233" spans="1:7" x14ac:dyDescent="0.25">
      <c r="A2233" s="2">
        <v>2231</v>
      </c>
      <c r="B2233" t="s">
        <v>3512</v>
      </c>
      <c r="C2233" s="1">
        <v>46129</v>
      </c>
      <c r="D2233">
        <v>70.75</v>
      </c>
      <c r="F2233">
        <v>2309.0102984099999</v>
      </c>
    </row>
    <row r="2234" spans="1:7" x14ac:dyDescent="0.25">
      <c r="A2234" s="2">
        <v>2232</v>
      </c>
      <c r="B2234" t="s">
        <v>1835</v>
      </c>
      <c r="C2234" s="1">
        <v>46129</v>
      </c>
      <c r="D2234">
        <v>1.4210929999999999</v>
      </c>
    </row>
    <row r="2235" spans="1:7" x14ac:dyDescent="0.25">
      <c r="A2235" s="2">
        <v>2233</v>
      </c>
      <c r="B2235" t="s">
        <v>1839</v>
      </c>
      <c r="C2235" s="1">
        <v>46129</v>
      </c>
      <c r="D2235">
        <v>2.5649999999999999</v>
      </c>
      <c r="F2235">
        <v>118193.41241658</v>
      </c>
    </row>
    <row r="2236" spans="1:7" x14ac:dyDescent="0.25">
      <c r="A2236" s="2">
        <v>2234</v>
      </c>
      <c r="B2236" t="s">
        <v>1841</v>
      </c>
      <c r="C2236" s="1">
        <v>46129</v>
      </c>
      <c r="D2236">
        <v>99.738</v>
      </c>
      <c r="E2236">
        <v>235.37171713999999</v>
      </c>
      <c r="F2236">
        <v>237.21868577000001</v>
      </c>
      <c r="G2236">
        <v>235.37171713999999</v>
      </c>
    </row>
    <row r="2237" spans="1:7" x14ac:dyDescent="0.25">
      <c r="A2237" s="2">
        <v>2235</v>
      </c>
      <c r="B2237" t="s">
        <v>1843</v>
      </c>
      <c r="C2237" s="1">
        <v>46129</v>
      </c>
      <c r="D2237">
        <v>101.3115</v>
      </c>
      <c r="E2237">
        <v>237.26159196</v>
      </c>
      <c r="F2237">
        <v>239.47058516000001</v>
      </c>
      <c r="G2237">
        <v>237.26159196</v>
      </c>
    </row>
    <row r="2238" spans="1:7" x14ac:dyDescent="0.25">
      <c r="A2238" s="2">
        <v>2236</v>
      </c>
      <c r="B2238" t="s">
        <v>1845</v>
      </c>
      <c r="C2238" s="1">
        <v>46129</v>
      </c>
      <c r="D2238">
        <v>90.378600000000006</v>
      </c>
      <c r="F2238">
        <v>1184.76414314</v>
      </c>
    </row>
    <row r="2239" spans="1:7" x14ac:dyDescent="0.25">
      <c r="A2239" s="2">
        <v>2237</v>
      </c>
      <c r="B2239" t="s">
        <v>1846</v>
      </c>
      <c r="C2239" s="1">
        <v>46129</v>
      </c>
      <c r="D2239">
        <v>89.179000000000002</v>
      </c>
      <c r="F2239">
        <v>1316.2310903299999</v>
      </c>
    </row>
    <row r="2240" spans="1:7" x14ac:dyDescent="0.25">
      <c r="A2240" s="2">
        <v>2238</v>
      </c>
      <c r="B2240" t="s">
        <v>1848</v>
      </c>
      <c r="C2240" s="1">
        <v>46129</v>
      </c>
      <c r="D2240">
        <v>107.1193</v>
      </c>
      <c r="E2240">
        <v>375.35064309000001</v>
      </c>
      <c r="F2240">
        <v>376.28587655000001</v>
      </c>
      <c r="G2240">
        <v>375.35064309000001</v>
      </c>
    </row>
    <row r="2241" spans="1:7" x14ac:dyDescent="0.25">
      <c r="A2241" s="2">
        <v>2239</v>
      </c>
      <c r="B2241" t="s">
        <v>1850</v>
      </c>
      <c r="C2241" s="1">
        <v>46129</v>
      </c>
      <c r="D2241">
        <v>94.087999999999994</v>
      </c>
      <c r="E2241">
        <v>242.00767107999999</v>
      </c>
      <c r="F2241">
        <v>244.26707268999999</v>
      </c>
      <c r="G2241">
        <v>242.00767107999999</v>
      </c>
    </row>
    <row r="2242" spans="1:7" x14ac:dyDescent="0.25">
      <c r="A2242" s="2">
        <v>2240</v>
      </c>
      <c r="B2242" t="s">
        <v>1852</v>
      </c>
      <c r="C2242" s="1">
        <v>46129</v>
      </c>
      <c r="D2242">
        <v>96.518000000000001</v>
      </c>
      <c r="E2242">
        <v>69.997911220000006</v>
      </c>
      <c r="F2242">
        <v>71.772321739999995</v>
      </c>
      <c r="G2242">
        <v>69.997911220000006</v>
      </c>
    </row>
    <row r="2243" spans="1:7" x14ac:dyDescent="0.25">
      <c r="A2243" s="2">
        <v>2241</v>
      </c>
      <c r="B2243" t="s">
        <v>1854</v>
      </c>
      <c r="C2243" s="1">
        <v>46129</v>
      </c>
      <c r="D2243">
        <v>94.041759999999996</v>
      </c>
      <c r="E2243">
        <v>252.29016994</v>
      </c>
      <c r="F2243">
        <v>254.46610516999999</v>
      </c>
      <c r="G2243">
        <v>252.29016994</v>
      </c>
    </row>
    <row r="2244" spans="1:7" x14ac:dyDescent="0.25">
      <c r="A2244" s="2">
        <v>2242</v>
      </c>
      <c r="B2244" t="s">
        <v>1856</v>
      </c>
      <c r="C2244" s="1">
        <v>46129</v>
      </c>
      <c r="D2244">
        <v>96.039500000000004</v>
      </c>
      <c r="E2244">
        <v>159.14873664999999</v>
      </c>
      <c r="F2244">
        <v>161.28546269</v>
      </c>
      <c r="G2244">
        <v>159.14873664999999</v>
      </c>
    </row>
    <row r="2245" spans="1:7" x14ac:dyDescent="0.25">
      <c r="A2245" s="2">
        <v>2243</v>
      </c>
      <c r="B2245" t="s">
        <v>1858</v>
      </c>
      <c r="C2245" s="1">
        <v>46129</v>
      </c>
    </row>
    <row r="2246" spans="1:7" x14ac:dyDescent="0.25">
      <c r="A2246" s="2">
        <v>2244</v>
      </c>
      <c r="B2246" t="s">
        <v>310</v>
      </c>
      <c r="C2246" s="1">
        <v>46129</v>
      </c>
      <c r="D2246">
        <v>17.437449999999998</v>
      </c>
    </row>
    <row r="2247" spans="1:7" x14ac:dyDescent="0.25">
      <c r="A2247" s="2">
        <v>2245</v>
      </c>
      <c r="B2247" t="s">
        <v>316</v>
      </c>
      <c r="C2247" s="1">
        <v>46129</v>
      </c>
      <c r="D2247">
        <v>49.940820000000002</v>
      </c>
    </row>
    <row r="2248" spans="1:7" x14ac:dyDescent="0.25">
      <c r="A2248" s="2">
        <v>2246</v>
      </c>
      <c r="B2248" t="s">
        <v>3215</v>
      </c>
      <c r="C2248" s="1">
        <v>46129</v>
      </c>
    </row>
    <row r="2249" spans="1:7" x14ac:dyDescent="0.25">
      <c r="A2249" s="2">
        <v>2247</v>
      </c>
      <c r="B2249" t="s">
        <v>318</v>
      </c>
      <c r="C2249" s="1">
        <v>46129</v>
      </c>
      <c r="D2249">
        <v>17.450240000000001</v>
      </c>
    </row>
    <row r="2250" spans="1:7" x14ac:dyDescent="0.25">
      <c r="A2250" s="2">
        <v>2248</v>
      </c>
      <c r="B2250" t="s">
        <v>320</v>
      </c>
      <c r="C2250" s="1">
        <v>46129</v>
      </c>
    </row>
    <row r="2251" spans="1:7" x14ac:dyDescent="0.25">
      <c r="A2251" s="2">
        <v>2249</v>
      </c>
      <c r="B2251" t="s">
        <v>323</v>
      </c>
      <c r="C2251" s="1">
        <v>46129</v>
      </c>
      <c r="D2251">
        <v>65</v>
      </c>
    </row>
    <row r="2252" spans="1:7" x14ac:dyDescent="0.25">
      <c r="A2252" s="2">
        <v>2250</v>
      </c>
      <c r="B2252" t="s">
        <v>1193</v>
      </c>
      <c r="C2252" s="1">
        <v>46129</v>
      </c>
      <c r="D2252">
        <v>79.5</v>
      </c>
    </row>
    <row r="2253" spans="1:7" x14ac:dyDescent="0.25">
      <c r="A2253" s="2">
        <v>2251</v>
      </c>
      <c r="B2253" t="s">
        <v>325</v>
      </c>
      <c r="C2253" s="1">
        <v>46129</v>
      </c>
      <c r="D2253">
        <v>44.5</v>
      </c>
    </row>
    <row r="2254" spans="1:7" x14ac:dyDescent="0.25">
      <c r="A2254" s="2">
        <v>2252</v>
      </c>
      <c r="B2254" t="s">
        <v>3216</v>
      </c>
      <c r="C2254" s="1">
        <v>46129</v>
      </c>
    </row>
    <row r="2255" spans="1:7" x14ac:dyDescent="0.25">
      <c r="A2255" s="2">
        <v>2253</v>
      </c>
      <c r="B2255" t="s">
        <v>328</v>
      </c>
      <c r="C2255" s="1">
        <v>46129</v>
      </c>
    </row>
    <row r="2256" spans="1:7" x14ac:dyDescent="0.25">
      <c r="A2256" s="2">
        <v>2254</v>
      </c>
      <c r="B2256" t="s">
        <v>330</v>
      </c>
      <c r="C2256" s="1">
        <v>46129</v>
      </c>
      <c r="D2256">
        <v>1.1499999999999999</v>
      </c>
    </row>
    <row r="2257" spans="1:7" x14ac:dyDescent="0.25">
      <c r="A2257" s="2">
        <v>2255</v>
      </c>
      <c r="B2257" t="s">
        <v>535</v>
      </c>
      <c r="C2257" s="1">
        <v>46129</v>
      </c>
      <c r="D2257">
        <v>94.797619999999995</v>
      </c>
      <c r="E2257">
        <v>811.04410501999996</v>
      </c>
      <c r="F2257">
        <v>813.60980846999996</v>
      </c>
      <c r="G2257">
        <v>811.04410501999996</v>
      </c>
    </row>
    <row r="2258" spans="1:7" x14ac:dyDescent="0.25">
      <c r="A2258" s="2">
        <v>2256</v>
      </c>
      <c r="B2258" t="s">
        <v>540</v>
      </c>
      <c r="C2258" s="1">
        <v>46129</v>
      </c>
      <c r="D2258">
        <v>90.540750000000003</v>
      </c>
      <c r="E2258">
        <v>784.44914523</v>
      </c>
      <c r="F2258">
        <v>786.81139078000001</v>
      </c>
      <c r="G2258">
        <v>784.44914523</v>
      </c>
    </row>
    <row r="2259" spans="1:7" x14ac:dyDescent="0.25">
      <c r="A2259" s="2">
        <v>2257</v>
      </c>
      <c r="B2259" t="s">
        <v>542</v>
      </c>
      <c r="C2259" s="1">
        <v>46129</v>
      </c>
      <c r="D2259">
        <v>84.318200000000004</v>
      </c>
      <c r="E2259">
        <v>830.75501028999997</v>
      </c>
      <c r="F2259">
        <v>831.02862790999995</v>
      </c>
      <c r="G2259">
        <v>830.75501028999997</v>
      </c>
    </row>
    <row r="2260" spans="1:7" x14ac:dyDescent="0.25">
      <c r="A2260" s="2">
        <v>2258</v>
      </c>
      <c r="B2260" t="s">
        <v>544</v>
      </c>
      <c r="C2260" s="1">
        <v>46129</v>
      </c>
      <c r="D2260">
        <v>84.678470000000004</v>
      </c>
      <c r="E2260">
        <v>821.70394179000004</v>
      </c>
      <c r="F2260">
        <v>823.66584494999995</v>
      </c>
      <c r="G2260">
        <v>821.70394179000004</v>
      </c>
    </row>
    <row r="2261" spans="1:7" x14ac:dyDescent="0.25">
      <c r="A2261" s="2">
        <v>2259</v>
      </c>
      <c r="B2261" t="s">
        <v>546</v>
      </c>
      <c r="C2261" s="1">
        <v>46129</v>
      </c>
      <c r="D2261">
        <v>84.667109999999994</v>
      </c>
      <c r="E2261">
        <v>840.46084982000002</v>
      </c>
      <c r="F2261">
        <v>842.32284203999995</v>
      </c>
      <c r="G2261">
        <v>840.46084982000002</v>
      </c>
    </row>
    <row r="2262" spans="1:7" x14ac:dyDescent="0.25">
      <c r="A2262" s="2">
        <v>2260</v>
      </c>
      <c r="B2262" t="s">
        <v>548</v>
      </c>
      <c r="C2262" s="1">
        <v>46129</v>
      </c>
      <c r="D2262">
        <v>81.905879999999996</v>
      </c>
      <c r="E2262">
        <v>842.35322964</v>
      </c>
      <c r="F2262">
        <v>844.35807492000004</v>
      </c>
      <c r="G2262">
        <v>842.35322964</v>
      </c>
    </row>
    <row r="2263" spans="1:7" x14ac:dyDescent="0.25">
      <c r="A2263" s="2">
        <v>2261</v>
      </c>
      <c r="B2263" t="s">
        <v>550</v>
      </c>
      <c r="C2263" s="1">
        <v>46129</v>
      </c>
    </row>
    <row r="2264" spans="1:7" x14ac:dyDescent="0.25">
      <c r="A2264" s="2">
        <v>2262</v>
      </c>
      <c r="B2264" t="s">
        <v>3515</v>
      </c>
      <c r="C2264" s="1">
        <v>46129</v>
      </c>
      <c r="D2264">
        <v>95.25</v>
      </c>
      <c r="F2264">
        <v>606.28685479000001</v>
      </c>
    </row>
    <row r="2265" spans="1:7" x14ac:dyDescent="0.25">
      <c r="A2265" s="2">
        <v>2263</v>
      </c>
      <c r="B2265" t="s">
        <v>3743</v>
      </c>
      <c r="C2265" s="1">
        <v>46129</v>
      </c>
      <c r="D2265">
        <v>96.887889999999999</v>
      </c>
      <c r="E2265">
        <v>478.10925607000001</v>
      </c>
      <c r="F2265">
        <v>481.34634204000002</v>
      </c>
      <c r="G2265">
        <v>478.10925607000001</v>
      </c>
    </row>
    <row r="2266" spans="1:7" x14ac:dyDescent="0.25">
      <c r="A2266" s="2">
        <v>2264</v>
      </c>
      <c r="B2266" t="s">
        <v>3747</v>
      </c>
      <c r="C2266" s="1">
        <v>46129</v>
      </c>
      <c r="D2266">
        <v>108.52809999999999</v>
      </c>
      <c r="E2266">
        <v>302.39529204000002</v>
      </c>
      <c r="F2266">
        <v>308.20059938999998</v>
      </c>
      <c r="G2266">
        <v>302.39529204000002</v>
      </c>
    </row>
    <row r="2267" spans="1:7" x14ac:dyDescent="0.25">
      <c r="A2267" s="2">
        <v>2265</v>
      </c>
      <c r="B2267" t="s">
        <v>3749</v>
      </c>
      <c r="C2267" s="1">
        <v>46129</v>
      </c>
      <c r="D2267">
        <v>107.96129999999999</v>
      </c>
      <c r="E2267">
        <v>544.16399547000003</v>
      </c>
      <c r="F2267">
        <v>544.60907063000002</v>
      </c>
      <c r="G2267">
        <v>544.16399547000003</v>
      </c>
    </row>
    <row r="2268" spans="1:7" x14ac:dyDescent="0.25">
      <c r="A2268" s="2">
        <v>2266</v>
      </c>
      <c r="B2268" t="s">
        <v>3751</v>
      </c>
      <c r="C2268" s="1">
        <v>46129</v>
      </c>
      <c r="D2268">
        <v>104.782</v>
      </c>
      <c r="E2268">
        <v>488.13523600000002</v>
      </c>
      <c r="F2268">
        <v>490.01078806999999</v>
      </c>
      <c r="G2268">
        <v>488.13523600000002</v>
      </c>
    </row>
    <row r="2269" spans="1:7" x14ac:dyDescent="0.25">
      <c r="A2269" s="2">
        <v>2267</v>
      </c>
      <c r="B2269" t="s">
        <v>3753</v>
      </c>
      <c r="C2269" s="1">
        <v>46129</v>
      </c>
      <c r="D2269">
        <v>95.819760000000002</v>
      </c>
      <c r="E2269">
        <v>291.09128900000002</v>
      </c>
      <c r="F2269">
        <v>292.94220296999998</v>
      </c>
      <c r="G2269">
        <v>291.09128900000002</v>
      </c>
    </row>
    <row r="2270" spans="1:7" x14ac:dyDescent="0.25">
      <c r="A2270" s="2">
        <v>2268</v>
      </c>
      <c r="B2270" t="s">
        <v>3755</v>
      </c>
      <c r="C2270" s="1">
        <v>46129</v>
      </c>
      <c r="D2270">
        <v>90.625259999999997</v>
      </c>
      <c r="E2270">
        <v>553.88115633999996</v>
      </c>
      <c r="F2270">
        <v>556.09019378999994</v>
      </c>
      <c r="G2270">
        <v>553.88115633999996</v>
      </c>
    </row>
    <row r="2271" spans="1:7" x14ac:dyDescent="0.25">
      <c r="A2271" s="2">
        <v>2269</v>
      </c>
      <c r="B2271" t="s">
        <v>3757</v>
      </c>
      <c r="C2271" s="1">
        <v>46129</v>
      </c>
      <c r="D2271">
        <v>93.378360000000001</v>
      </c>
      <c r="E2271">
        <v>286.22385644000002</v>
      </c>
      <c r="F2271">
        <v>288.25112854000002</v>
      </c>
      <c r="G2271">
        <v>286.22385644000002</v>
      </c>
    </row>
    <row r="2272" spans="1:7" x14ac:dyDescent="0.25">
      <c r="A2272" s="2">
        <v>2270</v>
      </c>
      <c r="B2272" t="s">
        <v>3759</v>
      </c>
      <c r="C2272" s="1">
        <v>46129</v>
      </c>
      <c r="D2272">
        <v>98.365009999999998</v>
      </c>
      <c r="E2272">
        <v>401.74045095999998</v>
      </c>
      <c r="F2272">
        <v>404.33368094000002</v>
      </c>
      <c r="G2272">
        <v>401.74045095999998</v>
      </c>
    </row>
    <row r="2273" spans="1:7" x14ac:dyDescent="0.25">
      <c r="A2273" s="2">
        <v>2271</v>
      </c>
      <c r="B2273" t="s">
        <v>3761</v>
      </c>
      <c r="C2273" s="1">
        <v>46129</v>
      </c>
      <c r="D2273">
        <v>99.758110000000002</v>
      </c>
      <c r="E2273">
        <v>260.55615203999997</v>
      </c>
      <c r="F2273">
        <v>263.10247227000002</v>
      </c>
      <c r="G2273">
        <v>260.55615203999997</v>
      </c>
    </row>
    <row r="2274" spans="1:7" x14ac:dyDescent="0.25">
      <c r="A2274" s="2">
        <v>2272</v>
      </c>
      <c r="B2274" t="s">
        <v>3763</v>
      </c>
      <c r="C2274" s="1">
        <v>46129</v>
      </c>
    </row>
    <row r="2275" spans="1:7" x14ac:dyDescent="0.25">
      <c r="A2275" s="2">
        <v>2273</v>
      </c>
      <c r="B2275" t="s">
        <v>3765</v>
      </c>
      <c r="C2275" s="1">
        <v>46129</v>
      </c>
    </row>
    <row r="2276" spans="1:7" x14ac:dyDescent="0.25">
      <c r="A2276" s="2">
        <v>2274</v>
      </c>
      <c r="B2276" t="s">
        <v>3766</v>
      </c>
      <c r="C2276" s="1">
        <v>46129</v>
      </c>
    </row>
    <row r="2277" spans="1:7" x14ac:dyDescent="0.25">
      <c r="A2277" s="2">
        <v>2275</v>
      </c>
      <c r="B2277" t="s">
        <v>3768</v>
      </c>
      <c r="C2277" s="1">
        <v>46129</v>
      </c>
      <c r="D2277">
        <v>100.5</v>
      </c>
      <c r="F2277">
        <v>752.01644432000001</v>
      </c>
    </row>
    <row r="2278" spans="1:7" x14ac:dyDescent="0.25">
      <c r="A2278" s="2">
        <v>2276</v>
      </c>
      <c r="B2278" t="s">
        <v>1860</v>
      </c>
      <c r="C2278" s="1">
        <v>46129</v>
      </c>
      <c r="D2278">
        <v>87.992000000000004</v>
      </c>
      <c r="E2278">
        <v>790.89099999999996</v>
      </c>
      <c r="F2278">
        <v>760.70699999999999</v>
      </c>
      <c r="G2278">
        <v>790.89099999999996</v>
      </c>
    </row>
    <row r="2279" spans="1:7" x14ac:dyDescent="0.25">
      <c r="A2279" s="2">
        <v>2277</v>
      </c>
      <c r="B2279" t="s">
        <v>1864</v>
      </c>
      <c r="C2279" s="1">
        <v>46129</v>
      </c>
      <c r="D2279">
        <v>87.313999999999993</v>
      </c>
      <c r="E2279">
        <v>741.41997728000001</v>
      </c>
      <c r="F2279">
        <v>743.19798276999995</v>
      </c>
      <c r="G2279">
        <v>741.41997728000001</v>
      </c>
    </row>
    <row r="2280" spans="1:7" x14ac:dyDescent="0.25">
      <c r="A2280" s="2">
        <v>2278</v>
      </c>
      <c r="B2280" t="s">
        <v>1866</v>
      </c>
      <c r="C2280" s="1">
        <v>46129</v>
      </c>
      <c r="D2280">
        <v>87.625</v>
      </c>
      <c r="F2280">
        <v>1408.0748476399999</v>
      </c>
    </row>
    <row r="2281" spans="1:7" x14ac:dyDescent="0.25">
      <c r="A2281" s="2">
        <v>2279</v>
      </c>
      <c r="B2281" t="s">
        <v>1868</v>
      </c>
      <c r="C2281" s="1">
        <v>46129</v>
      </c>
      <c r="D2281">
        <v>84.5</v>
      </c>
      <c r="F2281">
        <v>1273.8510252200001</v>
      </c>
    </row>
    <row r="2282" spans="1:7" x14ac:dyDescent="0.25">
      <c r="A2282" s="2">
        <v>2280</v>
      </c>
      <c r="B2282" t="s">
        <v>1870</v>
      </c>
      <c r="C2282" s="1">
        <v>46129</v>
      </c>
      <c r="D2282">
        <v>88</v>
      </c>
      <c r="F2282">
        <v>1112.9020455699999</v>
      </c>
    </row>
    <row r="2283" spans="1:7" x14ac:dyDescent="0.25">
      <c r="A2283" s="2">
        <v>2281</v>
      </c>
      <c r="B2283" t="s">
        <v>1871</v>
      </c>
      <c r="C2283" s="1">
        <v>46129</v>
      </c>
    </row>
    <row r="2284" spans="1:7" x14ac:dyDescent="0.25">
      <c r="A2284" s="2">
        <v>2282</v>
      </c>
      <c r="B2284" t="s">
        <v>1485</v>
      </c>
      <c r="C2284" s="1">
        <v>46129</v>
      </c>
    </row>
    <row r="2285" spans="1:7" x14ac:dyDescent="0.25">
      <c r="A2285" s="2">
        <v>2283</v>
      </c>
      <c r="B2285" t="s">
        <v>1491</v>
      </c>
      <c r="C2285" s="1">
        <v>46129</v>
      </c>
    </row>
    <row r="2286" spans="1:7" x14ac:dyDescent="0.25">
      <c r="A2286" s="2">
        <v>2284</v>
      </c>
      <c r="B2286" t="s">
        <v>1493</v>
      </c>
      <c r="C2286" s="1">
        <v>46129</v>
      </c>
    </row>
    <row r="2287" spans="1:7" x14ac:dyDescent="0.25">
      <c r="A2287" s="2">
        <v>2285</v>
      </c>
      <c r="B2287" t="s">
        <v>1495</v>
      </c>
      <c r="C2287" s="1">
        <v>46129</v>
      </c>
      <c r="D2287">
        <v>72.461039999999997</v>
      </c>
      <c r="E2287">
        <v>1784.0707532599999</v>
      </c>
      <c r="F2287">
        <v>1786.52141203</v>
      </c>
      <c r="G2287">
        <v>1784.0707532599999</v>
      </c>
    </row>
    <row r="2288" spans="1:7" x14ac:dyDescent="0.25">
      <c r="A2288" s="2">
        <v>2286</v>
      </c>
      <c r="B2288" t="s">
        <v>1497</v>
      </c>
      <c r="C2288" s="1">
        <v>46129</v>
      </c>
      <c r="D2288">
        <v>88.25</v>
      </c>
      <c r="F2288">
        <v>842.94565351999995</v>
      </c>
    </row>
    <row r="2289" spans="1:7" x14ac:dyDescent="0.25">
      <c r="A2289" s="2">
        <v>2287</v>
      </c>
      <c r="B2289" t="s">
        <v>1873</v>
      </c>
      <c r="C2289" s="1">
        <v>46129</v>
      </c>
    </row>
    <row r="2290" spans="1:7" x14ac:dyDescent="0.25">
      <c r="A2290" s="2">
        <v>2288</v>
      </c>
      <c r="B2290" t="s">
        <v>1877</v>
      </c>
      <c r="C2290" s="1">
        <v>46129</v>
      </c>
    </row>
    <row r="2291" spans="1:7" x14ac:dyDescent="0.25">
      <c r="A2291" s="2">
        <v>2289</v>
      </c>
      <c r="B2291" t="s">
        <v>1879</v>
      </c>
      <c r="C2291" s="1">
        <v>46129</v>
      </c>
      <c r="D2291">
        <v>92.125</v>
      </c>
      <c r="F2291">
        <v>809.94666011000004</v>
      </c>
    </row>
    <row r="2292" spans="1:7" x14ac:dyDescent="0.25">
      <c r="A2292" s="2">
        <v>2290</v>
      </c>
      <c r="B2292" t="s">
        <v>1880</v>
      </c>
      <c r="C2292" s="1">
        <v>46129</v>
      </c>
    </row>
    <row r="2293" spans="1:7" x14ac:dyDescent="0.25">
      <c r="A2293" s="2">
        <v>2291</v>
      </c>
      <c r="B2293" t="s">
        <v>1882</v>
      </c>
      <c r="C2293" s="1">
        <v>46129</v>
      </c>
      <c r="D2293">
        <v>61.5</v>
      </c>
      <c r="F2293">
        <v>2494.9179330100001</v>
      </c>
    </row>
    <row r="2294" spans="1:7" x14ac:dyDescent="0.25">
      <c r="A2294" s="2">
        <v>2292</v>
      </c>
      <c r="B2294" t="s">
        <v>1884</v>
      </c>
      <c r="C2294" s="1">
        <v>46129</v>
      </c>
      <c r="D2294">
        <v>70.5</v>
      </c>
      <c r="F2294">
        <v>2854.52778614</v>
      </c>
    </row>
    <row r="2295" spans="1:7" x14ac:dyDescent="0.25">
      <c r="A2295" s="2">
        <v>2293</v>
      </c>
      <c r="B2295" t="s">
        <v>1885</v>
      </c>
      <c r="C2295" s="1">
        <v>46129</v>
      </c>
      <c r="D2295">
        <v>90.5</v>
      </c>
      <c r="F2295">
        <v>793.85100034000004</v>
      </c>
    </row>
    <row r="2296" spans="1:7" x14ac:dyDescent="0.25">
      <c r="A2296" s="2">
        <v>2294</v>
      </c>
      <c r="B2296" t="s">
        <v>3519</v>
      </c>
      <c r="C2296" s="1">
        <v>46129</v>
      </c>
      <c r="D2296">
        <v>33.5</v>
      </c>
      <c r="F2296">
        <v>4403.8497389599997</v>
      </c>
    </row>
    <row r="2297" spans="1:7" x14ac:dyDescent="0.25">
      <c r="A2297" s="2">
        <v>2295</v>
      </c>
      <c r="B2297" t="s">
        <v>3524</v>
      </c>
      <c r="C2297" s="1">
        <v>46129</v>
      </c>
      <c r="D2297">
        <v>68.5</v>
      </c>
      <c r="F2297">
        <v>1839.1031125</v>
      </c>
    </row>
    <row r="2298" spans="1:7" x14ac:dyDescent="0.25">
      <c r="A2298" s="2">
        <v>2296</v>
      </c>
      <c r="B2298" t="s">
        <v>3526</v>
      </c>
      <c r="C2298" s="1">
        <v>46129</v>
      </c>
      <c r="D2298">
        <v>83.25</v>
      </c>
      <c r="F2298">
        <v>667.32143169999995</v>
      </c>
    </row>
    <row r="2299" spans="1:7" x14ac:dyDescent="0.25">
      <c r="A2299" s="2">
        <v>2297</v>
      </c>
      <c r="B2299" t="s">
        <v>3532</v>
      </c>
      <c r="C2299" s="1">
        <v>46129</v>
      </c>
      <c r="D2299">
        <v>81.5</v>
      </c>
      <c r="F2299">
        <v>1037.21038841</v>
      </c>
    </row>
    <row r="2300" spans="1:7" x14ac:dyDescent="0.25">
      <c r="A2300" s="2">
        <v>2298</v>
      </c>
      <c r="B2300" t="s">
        <v>3534</v>
      </c>
      <c r="C2300" s="1">
        <v>46129</v>
      </c>
      <c r="D2300">
        <v>80.25</v>
      </c>
      <c r="F2300">
        <v>1075.3309904600001</v>
      </c>
    </row>
    <row r="2301" spans="1:7" x14ac:dyDescent="0.25">
      <c r="A2301" s="2">
        <v>2299</v>
      </c>
      <c r="B2301" t="s">
        <v>1910</v>
      </c>
      <c r="C2301" s="1">
        <v>46129</v>
      </c>
      <c r="D2301">
        <v>65</v>
      </c>
      <c r="F2301">
        <v>1961.7159714100001</v>
      </c>
    </row>
    <row r="2302" spans="1:7" x14ac:dyDescent="0.25">
      <c r="A2302" s="2">
        <v>2300</v>
      </c>
      <c r="B2302" t="s">
        <v>1914</v>
      </c>
      <c r="C2302" s="1">
        <v>46129</v>
      </c>
      <c r="D2302">
        <v>68.5</v>
      </c>
      <c r="F2302">
        <v>1607.5120204499999</v>
      </c>
    </row>
    <row r="2303" spans="1:7" x14ac:dyDescent="0.25">
      <c r="A2303" s="2">
        <v>2301</v>
      </c>
      <c r="B2303" t="s">
        <v>1915</v>
      </c>
      <c r="C2303" s="1">
        <v>46129</v>
      </c>
      <c r="D2303">
        <v>62.5</v>
      </c>
    </row>
    <row r="2304" spans="1:7" x14ac:dyDescent="0.25">
      <c r="A2304" s="2">
        <v>2302</v>
      </c>
      <c r="B2304" t="s">
        <v>3536</v>
      </c>
      <c r="C2304" s="1">
        <v>46129</v>
      </c>
      <c r="D2304">
        <v>44.385649999999998</v>
      </c>
      <c r="E2304">
        <v>6314.9817105399998</v>
      </c>
      <c r="F2304">
        <v>6319.2411982499998</v>
      </c>
      <c r="G2304">
        <v>6314.9817105399998</v>
      </c>
    </row>
    <row r="2305" spans="1:7" x14ac:dyDescent="0.25">
      <c r="A2305" s="2">
        <v>2303</v>
      </c>
      <c r="B2305" t="s">
        <v>3540</v>
      </c>
      <c r="C2305" s="1">
        <v>46129</v>
      </c>
      <c r="D2305">
        <v>24.15784</v>
      </c>
      <c r="E2305">
        <v>5752.4776424600004</v>
      </c>
      <c r="F2305">
        <v>5754.24002071</v>
      </c>
      <c r="G2305">
        <v>5752.4776424600004</v>
      </c>
    </row>
    <row r="2306" spans="1:7" x14ac:dyDescent="0.25">
      <c r="A2306" s="2">
        <v>2304</v>
      </c>
      <c r="B2306" t="s">
        <v>3542</v>
      </c>
      <c r="C2306" s="1">
        <v>46129</v>
      </c>
      <c r="D2306">
        <v>42.5</v>
      </c>
      <c r="F2306">
        <v>2874.3469496799999</v>
      </c>
    </row>
    <row r="2307" spans="1:7" x14ac:dyDescent="0.25">
      <c r="A2307" s="2">
        <v>2305</v>
      </c>
      <c r="B2307" t="s">
        <v>3544</v>
      </c>
      <c r="C2307" s="1">
        <v>46129</v>
      </c>
      <c r="D2307">
        <v>44.5</v>
      </c>
      <c r="F2307">
        <v>3006.1452347899999</v>
      </c>
    </row>
    <row r="2308" spans="1:7" x14ac:dyDescent="0.25">
      <c r="A2308" s="2">
        <v>2306</v>
      </c>
      <c r="B2308" t="s">
        <v>3546</v>
      </c>
      <c r="C2308" s="1">
        <v>46129</v>
      </c>
      <c r="D2308">
        <v>45.5</v>
      </c>
      <c r="F2308">
        <v>3021.6772575999998</v>
      </c>
    </row>
    <row r="2309" spans="1:7" x14ac:dyDescent="0.25">
      <c r="A2309" s="2">
        <v>2307</v>
      </c>
      <c r="B2309" t="s">
        <v>3548</v>
      </c>
      <c r="C2309" s="1">
        <v>46129</v>
      </c>
      <c r="D2309">
        <v>99.25</v>
      </c>
      <c r="F2309">
        <v>667.13579367</v>
      </c>
    </row>
    <row r="2310" spans="1:7" x14ac:dyDescent="0.25">
      <c r="A2310" s="2">
        <v>2308</v>
      </c>
      <c r="B2310" t="s">
        <v>3550</v>
      </c>
      <c r="C2310" s="1">
        <v>46129</v>
      </c>
      <c r="D2310">
        <v>99.25</v>
      </c>
      <c r="F2310">
        <v>744.14050133000001</v>
      </c>
    </row>
    <row r="2311" spans="1:7" x14ac:dyDescent="0.25">
      <c r="A2311" s="2">
        <v>2309</v>
      </c>
      <c r="B2311" t="s">
        <v>1932</v>
      </c>
      <c r="C2311" s="1">
        <v>46129</v>
      </c>
      <c r="D2311">
        <v>93.25</v>
      </c>
      <c r="F2311">
        <v>591.62628470000004</v>
      </c>
    </row>
    <row r="2312" spans="1:7" x14ac:dyDescent="0.25">
      <c r="A2312" s="2">
        <v>2310</v>
      </c>
      <c r="B2312" t="s">
        <v>1946</v>
      </c>
      <c r="C2312" s="1">
        <v>46129</v>
      </c>
      <c r="D2312">
        <v>92.75</v>
      </c>
      <c r="F2312">
        <v>1656.1346747099999</v>
      </c>
    </row>
    <row r="2313" spans="1:7" x14ac:dyDescent="0.25">
      <c r="A2313" s="2">
        <v>2311</v>
      </c>
      <c r="B2313" t="s">
        <v>1936</v>
      </c>
      <c r="C2313" s="1">
        <v>46129</v>
      </c>
    </row>
    <row r="2314" spans="1:7" x14ac:dyDescent="0.25">
      <c r="A2314" s="2">
        <v>2312</v>
      </c>
      <c r="B2314" t="s">
        <v>1940</v>
      </c>
      <c r="C2314" s="1">
        <v>46129</v>
      </c>
      <c r="D2314">
        <v>75.25</v>
      </c>
    </row>
    <row r="2315" spans="1:7" x14ac:dyDescent="0.25">
      <c r="A2315" s="2">
        <v>2313</v>
      </c>
      <c r="B2315" t="s">
        <v>1942</v>
      </c>
      <c r="C2315" s="1">
        <v>46129</v>
      </c>
    </row>
    <row r="2316" spans="1:7" x14ac:dyDescent="0.25">
      <c r="A2316" s="2">
        <v>2314</v>
      </c>
      <c r="B2316" t="s">
        <v>1944</v>
      </c>
      <c r="C2316" s="1">
        <v>46129</v>
      </c>
      <c r="D2316">
        <v>74</v>
      </c>
      <c r="F2316">
        <v>2407.85018339</v>
      </c>
    </row>
    <row r="2317" spans="1:7" x14ac:dyDescent="0.25">
      <c r="A2317" s="2">
        <v>2315</v>
      </c>
      <c r="B2317" t="s">
        <v>1950</v>
      </c>
      <c r="C2317" s="1">
        <v>46129</v>
      </c>
      <c r="D2317">
        <v>93.875</v>
      </c>
      <c r="F2317">
        <v>729.08532551999997</v>
      </c>
    </row>
    <row r="2318" spans="1:7" x14ac:dyDescent="0.25">
      <c r="A2318" s="2">
        <v>2316</v>
      </c>
      <c r="B2318" t="s">
        <v>1954</v>
      </c>
      <c r="C2318" s="1">
        <v>46129</v>
      </c>
      <c r="D2318">
        <v>101.375</v>
      </c>
      <c r="F2318">
        <v>550.94339209999998</v>
      </c>
    </row>
    <row r="2319" spans="1:7" x14ac:dyDescent="0.25">
      <c r="A2319" s="2">
        <v>2317</v>
      </c>
      <c r="B2319" t="s">
        <v>1956</v>
      </c>
      <c r="C2319" s="1">
        <v>46129</v>
      </c>
      <c r="D2319">
        <v>73.875</v>
      </c>
      <c r="F2319">
        <v>1550.1682974</v>
      </c>
    </row>
    <row r="2320" spans="1:7" x14ac:dyDescent="0.25">
      <c r="A2320" s="2">
        <v>2318</v>
      </c>
      <c r="B2320" t="s">
        <v>1958</v>
      </c>
      <c r="C2320" s="1">
        <v>46129</v>
      </c>
      <c r="D2320">
        <v>74.5</v>
      </c>
      <c r="F2320">
        <v>2057.5879714399998</v>
      </c>
    </row>
    <row r="2321" spans="1:7" x14ac:dyDescent="0.25">
      <c r="A2321" s="2">
        <v>2319</v>
      </c>
      <c r="B2321" t="s">
        <v>1960</v>
      </c>
      <c r="C2321" s="1">
        <v>46129</v>
      </c>
      <c r="D2321">
        <v>25</v>
      </c>
      <c r="F2321">
        <v>6158.48236232</v>
      </c>
    </row>
    <row r="2322" spans="1:7" x14ac:dyDescent="0.25">
      <c r="A2322" s="2">
        <v>2320</v>
      </c>
      <c r="B2322" t="s">
        <v>1962</v>
      </c>
      <c r="C2322" s="1">
        <v>46129</v>
      </c>
      <c r="D2322">
        <v>26</v>
      </c>
      <c r="F2322">
        <v>6642.6434063300003</v>
      </c>
    </row>
    <row r="2323" spans="1:7" x14ac:dyDescent="0.25">
      <c r="A2323" s="2">
        <v>2321</v>
      </c>
      <c r="B2323" t="s">
        <v>1964</v>
      </c>
      <c r="C2323" s="1">
        <v>46129</v>
      </c>
      <c r="D2323">
        <v>15.92033</v>
      </c>
      <c r="F2323">
        <v>15197.88382033</v>
      </c>
    </row>
    <row r="2324" spans="1:7" x14ac:dyDescent="0.25">
      <c r="A2324" s="2">
        <v>2322</v>
      </c>
      <c r="B2324" t="s">
        <v>1966</v>
      </c>
      <c r="C2324" s="1">
        <v>46129</v>
      </c>
      <c r="D2324">
        <v>42.816600000000001</v>
      </c>
      <c r="F2324">
        <v>8626.9442749099999</v>
      </c>
    </row>
    <row r="2325" spans="1:7" x14ac:dyDescent="0.25">
      <c r="A2325" s="2">
        <v>2323</v>
      </c>
      <c r="B2325" t="s">
        <v>1917</v>
      </c>
      <c r="C2325" s="1">
        <v>46129</v>
      </c>
    </row>
    <row r="2326" spans="1:7" x14ac:dyDescent="0.25">
      <c r="A2326" s="2">
        <v>2324</v>
      </c>
      <c r="B2326" t="s">
        <v>1921</v>
      </c>
      <c r="C2326" s="1">
        <v>46129</v>
      </c>
    </row>
    <row r="2327" spans="1:7" x14ac:dyDescent="0.25">
      <c r="A2327" s="2">
        <v>2325</v>
      </c>
      <c r="B2327" t="s">
        <v>1922</v>
      </c>
      <c r="C2327" s="1">
        <v>46129</v>
      </c>
    </row>
    <row r="2328" spans="1:7" x14ac:dyDescent="0.25">
      <c r="A2328" s="2">
        <v>2326</v>
      </c>
      <c r="B2328" t="s">
        <v>1924</v>
      </c>
      <c r="C2328" s="1">
        <v>46129</v>
      </c>
      <c r="D2328">
        <v>49.836799999999997</v>
      </c>
      <c r="E2328">
        <v>2516.4393618300001</v>
      </c>
      <c r="F2328">
        <v>2518.9023690899999</v>
      </c>
      <c r="G2328">
        <v>2516.4393618300001</v>
      </c>
    </row>
    <row r="2329" spans="1:7" x14ac:dyDescent="0.25">
      <c r="A2329" s="2">
        <v>2327</v>
      </c>
      <c r="B2329" t="s">
        <v>1926</v>
      </c>
      <c r="C2329" s="1">
        <v>46129</v>
      </c>
      <c r="D2329">
        <v>64.819559999999996</v>
      </c>
      <c r="E2329">
        <v>1763.9321797800001</v>
      </c>
      <c r="F2329">
        <v>1768.33740263</v>
      </c>
      <c r="G2329">
        <v>1763.9321797800001</v>
      </c>
    </row>
    <row r="2330" spans="1:7" x14ac:dyDescent="0.25">
      <c r="A2330" s="2">
        <v>2328</v>
      </c>
      <c r="B2330" t="s">
        <v>1928</v>
      </c>
      <c r="C2330" s="1">
        <v>46129</v>
      </c>
      <c r="D2330">
        <v>83.5</v>
      </c>
      <c r="F2330">
        <v>822.37470298000005</v>
      </c>
    </row>
    <row r="2331" spans="1:7" x14ac:dyDescent="0.25">
      <c r="A2331" s="2">
        <v>2329</v>
      </c>
      <c r="B2331" t="s">
        <v>1930</v>
      </c>
      <c r="C2331" s="1">
        <v>46129</v>
      </c>
    </row>
    <row r="2332" spans="1:7" x14ac:dyDescent="0.25">
      <c r="A2332" s="2">
        <v>2330</v>
      </c>
      <c r="B2332" t="s">
        <v>1291</v>
      </c>
      <c r="C2332" s="1">
        <v>46129</v>
      </c>
      <c r="D2332">
        <v>93.902810000000002</v>
      </c>
      <c r="E2332">
        <v>724.22046795999995</v>
      </c>
      <c r="F2332">
        <v>725.50379966000003</v>
      </c>
      <c r="G2332">
        <v>724.22046795999995</v>
      </c>
    </row>
    <row r="2333" spans="1:7" x14ac:dyDescent="0.25">
      <c r="A2333" s="2">
        <v>2331</v>
      </c>
      <c r="B2333" t="s">
        <v>1295</v>
      </c>
      <c r="C2333" s="1">
        <v>46129</v>
      </c>
      <c r="D2333">
        <v>84.537959999999998</v>
      </c>
      <c r="E2333">
        <v>702.45698621999998</v>
      </c>
      <c r="F2333">
        <v>702.40073437000001</v>
      </c>
      <c r="G2333">
        <v>702.45698621999998</v>
      </c>
    </row>
    <row r="2334" spans="1:7" x14ac:dyDescent="0.25">
      <c r="A2334" s="2">
        <v>2332</v>
      </c>
      <c r="B2334" t="s">
        <v>1297</v>
      </c>
      <c r="C2334" s="1">
        <v>46129</v>
      </c>
      <c r="D2334">
        <v>86.891419999999997</v>
      </c>
      <c r="E2334">
        <v>738.20583324999996</v>
      </c>
      <c r="F2334">
        <v>737.48801338999999</v>
      </c>
      <c r="G2334">
        <v>738.20583324999996</v>
      </c>
    </row>
    <row r="2335" spans="1:7" x14ac:dyDescent="0.25">
      <c r="A2335" s="2">
        <v>2333</v>
      </c>
      <c r="B2335" t="s">
        <v>1299</v>
      </c>
      <c r="C2335" s="1">
        <v>46129</v>
      </c>
      <c r="D2335">
        <v>92.294529999999995</v>
      </c>
      <c r="E2335">
        <v>577.30945530999998</v>
      </c>
      <c r="F2335">
        <v>579.43851418999998</v>
      </c>
      <c r="G2335">
        <v>577.30945530999998</v>
      </c>
    </row>
    <row r="2336" spans="1:7" x14ac:dyDescent="0.25">
      <c r="A2336" s="2">
        <v>2334</v>
      </c>
      <c r="B2336" t="s">
        <v>1301</v>
      </c>
      <c r="C2336" s="1">
        <v>46129</v>
      </c>
      <c r="D2336">
        <v>97.323549999999997</v>
      </c>
      <c r="E2336">
        <v>418.58308317000001</v>
      </c>
      <c r="F2336">
        <v>421.53623469000001</v>
      </c>
      <c r="G2336">
        <v>418.58308317000001</v>
      </c>
    </row>
    <row r="2337" spans="1:7" x14ac:dyDescent="0.25">
      <c r="A2337" s="2">
        <v>2335</v>
      </c>
      <c r="B2337" t="s">
        <v>3769</v>
      </c>
      <c r="C2337" s="1">
        <v>46129</v>
      </c>
      <c r="D2337">
        <v>97.771680000000003</v>
      </c>
      <c r="E2337">
        <v>497.02766157000002</v>
      </c>
      <c r="F2337">
        <v>499.32205363999998</v>
      </c>
      <c r="G2337">
        <v>497.02766157000002</v>
      </c>
    </row>
    <row r="2338" spans="1:7" x14ac:dyDescent="0.25">
      <c r="A2338" s="2">
        <v>2336</v>
      </c>
      <c r="B2338" t="s">
        <v>3773</v>
      </c>
      <c r="C2338" s="1">
        <v>46129</v>
      </c>
      <c r="D2338">
        <v>103.1551</v>
      </c>
      <c r="E2338">
        <v>-706.00029045999997</v>
      </c>
      <c r="F2338">
        <v>-706.49303969000005</v>
      </c>
      <c r="G2338">
        <v>-706.00029045999997</v>
      </c>
    </row>
    <row r="2339" spans="1:7" x14ac:dyDescent="0.25">
      <c r="A2339" s="2">
        <v>2337</v>
      </c>
      <c r="B2339" t="s">
        <v>3775</v>
      </c>
      <c r="C2339" s="1">
        <v>46129</v>
      </c>
      <c r="D2339">
        <v>108.3609</v>
      </c>
      <c r="E2339">
        <v>185.70093005999999</v>
      </c>
      <c r="F2339">
        <v>191.97151586000001</v>
      </c>
      <c r="G2339">
        <v>185.70093005999999</v>
      </c>
    </row>
    <row r="2340" spans="1:7" x14ac:dyDescent="0.25">
      <c r="A2340" s="2">
        <v>2338</v>
      </c>
      <c r="B2340" t="s">
        <v>3777</v>
      </c>
      <c r="C2340" s="1">
        <v>46129</v>
      </c>
      <c r="D2340">
        <v>403.59</v>
      </c>
      <c r="F2340">
        <v>-2971.73988134</v>
      </c>
    </row>
    <row r="2341" spans="1:7" x14ac:dyDescent="0.25">
      <c r="A2341" s="2">
        <v>2339</v>
      </c>
      <c r="B2341" t="s">
        <v>3779</v>
      </c>
      <c r="C2341" s="1">
        <v>46129</v>
      </c>
      <c r="D2341">
        <v>101.4516</v>
      </c>
      <c r="F2341">
        <v>228.25876158</v>
      </c>
    </row>
    <row r="2342" spans="1:7" x14ac:dyDescent="0.25">
      <c r="A2342" s="2">
        <v>2340</v>
      </c>
      <c r="B2342" t="s">
        <v>3781</v>
      </c>
      <c r="C2342" s="1">
        <v>46129</v>
      </c>
      <c r="D2342">
        <v>99.708529999999996</v>
      </c>
      <c r="E2342">
        <v>548.81574136999996</v>
      </c>
      <c r="F2342">
        <v>543.69621975999996</v>
      </c>
      <c r="G2342">
        <v>548.81574136999996</v>
      </c>
    </row>
    <row r="2343" spans="1:7" x14ac:dyDescent="0.25">
      <c r="A2343" s="2">
        <v>2341</v>
      </c>
      <c r="B2343" t="s">
        <v>3783</v>
      </c>
      <c r="C2343" s="1">
        <v>46129</v>
      </c>
      <c r="D2343">
        <v>98.108429999999998</v>
      </c>
      <c r="E2343">
        <v>771.56396070000005</v>
      </c>
      <c r="F2343">
        <v>767.96796183000004</v>
      </c>
      <c r="G2343">
        <v>771.56396070000005</v>
      </c>
    </row>
    <row r="2344" spans="1:7" x14ac:dyDescent="0.25">
      <c r="A2344" s="2">
        <v>2342</v>
      </c>
      <c r="B2344" t="s">
        <v>3785</v>
      </c>
      <c r="C2344" s="1">
        <v>46129</v>
      </c>
      <c r="D2344">
        <v>72.352019999999996</v>
      </c>
      <c r="E2344">
        <v>17032.60783741</v>
      </c>
      <c r="F2344">
        <v>14638.679419579999</v>
      </c>
      <c r="G2344">
        <v>17032.60783741</v>
      </c>
    </row>
    <row r="2345" spans="1:7" x14ac:dyDescent="0.25">
      <c r="A2345" s="2">
        <v>2343</v>
      </c>
      <c r="B2345" t="s">
        <v>3787</v>
      </c>
      <c r="C2345" s="1">
        <v>46129</v>
      </c>
      <c r="D2345">
        <v>89.172389999999993</v>
      </c>
      <c r="E2345">
        <v>4490.7892295900001</v>
      </c>
      <c r="F2345">
        <v>4266.5531025600003</v>
      </c>
      <c r="G2345">
        <v>4490.7892295900001</v>
      </c>
    </row>
    <row r="2346" spans="1:7" x14ac:dyDescent="0.25">
      <c r="A2346" s="2">
        <v>2344</v>
      </c>
      <c r="B2346" t="s">
        <v>3789</v>
      </c>
      <c r="C2346" s="1">
        <v>46129</v>
      </c>
      <c r="D2346">
        <v>99.708529999999996</v>
      </c>
      <c r="E2346">
        <v>548.81574136999996</v>
      </c>
      <c r="F2346">
        <v>543.69621975999996</v>
      </c>
      <c r="G2346">
        <v>548.81574136999996</v>
      </c>
    </row>
    <row r="2347" spans="1:7" x14ac:dyDescent="0.25">
      <c r="A2347" s="2">
        <v>2345</v>
      </c>
      <c r="B2347" t="s">
        <v>3790</v>
      </c>
      <c r="C2347" s="1">
        <v>46129</v>
      </c>
      <c r="D2347">
        <v>97.946219999999997</v>
      </c>
      <c r="E2347">
        <v>306.03146759999998</v>
      </c>
      <c r="F2347">
        <v>308.28347067999999</v>
      </c>
      <c r="G2347">
        <v>306.03146759999998</v>
      </c>
    </row>
    <row r="2348" spans="1:7" x14ac:dyDescent="0.25">
      <c r="A2348" s="2">
        <v>2346</v>
      </c>
      <c r="B2348" t="s">
        <v>3792</v>
      </c>
      <c r="C2348" s="1">
        <v>46129</v>
      </c>
      <c r="D2348">
        <v>99.241720000000001</v>
      </c>
      <c r="E2348">
        <v>320.90869419000001</v>
      </c>
      <c r="F2348">
        <v>327.18687756000003</v>
      </c>
      <c r="G2348">
        <v>320.90869419000001</v>
      </c>
    </row>
    <row r="2349" spans="1:7" x14ac:dyDescent="0.25">
      <c r="A2349" s="2">
        <v>2347</v>
      </c>
      <c r="B2349" t="s">
        <v>3794</v>
      </c>
      <c r="C2349" s="1">
        <v>46129</v>
      </c>
      <c r="D2349">
        <v>91.310739999999996</v>
      </c>
      <c r="E2349">
        <v>481.11273934000002</v>
      </c>
      <c r="F2349">
        <v>483.47487543</v>
      </c>
      <c r="G2349">
        <v>481.11273934000002</v>
      </c>
    </row>
    <row r="2350" spans="1:7" x14ac:dyDescent="0.25">
      <c r="A2350" s="2">
        <v>2348</v>
      </c>
      <c r="B2350" t="s">
        <v>3796</v>
      </c>
      <c r="C2350" s="1">
        <v>46129</v>
      </c>
      <c r="D2350">
        <v>91.310739999999996</v>
      </c>
      <c r="E2350">
        <v>481.11273934000002</v>
      </c>
      <c r="F2350">
        <v>483.47487543</v>
      </c>
      <c r="G2350">
        <v>481.11273934000002</v>
      </c>
    </row>
    <row r="2351" spans="1:7" x14ac:dyDescent="0.25">
      <c r="A2351" s="2">
        <v>2349</v>
      </c>
      <c r="B2351" t="s">
        <v>3797</v>
      </c>
      <c r="C2351" s="1">
        <v>46129</v>
      </c>
      <c r="D2351">
        <v>97.771680000000003</v>
      </c>
      <c r="E2351">
        <v>497.02766157000002</v>
      </c>
      <c r="F2351">
        <v>499.32205363999998</v>
      </c>
      <c r="G2351">
        <v>497.02766157000002</v>
      </c>
    </row>
    <row r="2352" spans="1:7" x14ac:dyDescent="0.25">
      <c r="A2352" s="2">
        <v>2350</v>
      </c>
      <c r="B2352" t="s">
        <v>3798</v>
      </c>
      <c r="C2352" s="1">
        <v>46129</v>
      </c>
      <c r="D2352">
        <v>72.352019999999996</v>
      </c>
      <c r="E2352">
        <v>17032.60783741</v>
      </c>
      <c r="F2352">
        <v>14638.679419579999</v>
      </c>
      <c r="G2352">
        <v>17032.60783741</v>
      </c>
    </row>
    <row r="2353" spans="1:7" x14ac:dyDescent="0.25">
      <c r="A2353" s="2">
        <v>2351</v>
      </c>
      <c r="B2353" t="s">
        <v>3799</v>
      </c>
      <c r="C2353" s="1">
        <v>46129</v>
      </c>
      <c r="D2353">
        <v>89.172389999999993</v>
      </c>
      <c r="E2353">
        <v>4490.7892295900001</v>
      </c>
      <c r="F2353">
        <v>4266.5531025600003</v>
      </c>
      <c r="G2353">
        <v>4490.7892295900001</v>
      </c>
    </row>
    <row r="2354" spans="1:7" x14ac:dyDescent="0.25">
      <c r="A2354" s="2">
        <v>2352</v>
      </c>
      <c r="B2354" t="s">
        <v>3552</v>
      </c>
      <c r="C2354" s="1">
        <v>46129</v>
      </c>
      <c r="D2354">
        <v>96.5</v>
      </c>
      <c r="F2354">
        <v>398.08200779999999</v>
      </c>
    </row>
    <row r="2355" spans="1:7" x14ac:dyDescent="0.25">
      <c r="A2355" s="2">
        <v>2353</v>
      </c>
      <c r="B2355" t="s">
        <v>1708</v>
      </c>
      <c r="C2355" s="1">
        <v>46129</v>
      </c>
      <c r="D2355">
        <v>27.482469999999999</v>
      </c>
      <c r="E2355">
        <v>8908.6900277200002</v>
      </c>
      <c r="F2355">
        <v>8911.7777851200008</v>
      </c>
      <c r="G2355">
        <v>8908.6900277200002</v>
      </c>
    </row>
    <row r="2356" spans="1:7" x14ac:dyDescent="0.25">
      <c r="A2356" s="2">
        <v>2354</v>
      </c>
      <c r="B2356" t="s">
        <v>1712</v>
      </c>
      <c r="C2356" s="1">
        <v>46129</v>
      </c>
      <c r="D2356">
        <v>77.884609999999995</v>
      </c>
      <c r="E2356">
        <v>1553.25201492</v>
      </c>
      <c r="F2356">
        <v>1555.93461099</v>
      </c>
      <c r="G2356">
        <v>1553.25201492</v>
      </c>
    </row>
    <row r="2357" spans="1:7" x14ac:dyDescent="0.25">
      <c r="A2357" s="2">
        <v>2355</v>
      </c>
      <c r="B2357" t="s">
        <v>1713</v>
      </c>
      <c r="C2357" s="1">
        <v>46129</v>
      </c>
      <c r="D2357">
        <v>100.0141</v>
      </c>
      <c r="E2357">
        <v>207.37198715</v>
      </c>
      <c r="F2357">
        <v>211.60252775000001</v>
      </c>
      <c r="G2357">
        <v>207.37198715</v>
      </c>
    </row>
    <row r="2358" spans="1:7" x14ac:dyDescent="0.25">
      <c r="A2358" s="2">
        <v>2356</v>
      </c>
      <c r="B2358" t="s">
        <v>1715</v>
      </c>
      <c r="C2358" s="1">
        <v>46129</v>
      </c>
      <c r="D2358">
        <v>28</v>
      </c>
      <c r="F2358">
        <v>8088.5216644100001</v>
      </c>
    </row>
    <row r="2359" spans="1:7" x14ac:dyDescent="0.25">
      <c r="A2359" s="2">
        <v>2357</v>
      </c>
      <c r="B2359" t="s">
        <v>1717</v>
      </c>
      <c r="C2359" s="1">
        <v>46129</v>
      </c>
      <c r="D2359">
        <v>82.25</v>
      </c>
      <c r="F2359">
        <v>1574.7398357300001</v>
      </c>
    </row>
    <row r="2360" spans="1:7" x14ac:dyDescent="0.25">
      <c r="A2360" s="2">
        <v>2358</v>
      </c>
      <c r="B2360" t="s">
        <v>1969</v>
      </c>
      <c r="C2360" s="1">
        <v>46129</v>
      </c>
      <c r="D2360">
        <v>87.409000000000006</v>
      </c>
      <c r="E2360">
        <v>975.16982612000004</v>
      </c>
      <c r="F2360">
        <v>976.17791506000003</v>
      </c>
      <c r="G2360">
        <v>975.16982612000004</v>
      </c>
    </row>
    <row r="2361" spans="1:7" x14ac:dyDescent="0.25">
      <c r="A2361" s="2">
        <v>2359</v>
      </c>
      <c r="B2361" t="s">
        <v>1973</v>
      </c>
      <c r="C2361" s="1">
        <v>46129</v>
      </c>
      <c r="D2361">
        <v>88.382509999999996</v>
      </c>
      <c r="E2361">
        <v>979.03825936999999</v>
      </c>
      <c r="F2361">
        <v>981.12451002</v>
      </c>
      <c r="G2361">
        <v>979.03825936999999</v>
      </c>
    </row>
    <row r="2362" spans="1:7" x14ac:dyDescent="0.25">
      <c r="A2362" s="2">
        <v>2360</v>
      </c>
      <c r="B2362" t="s">
        <v>2013</v>
      </c>
      <c r="C2362" s="1">
        <v>46129</v>
      </c>
      <c r="D2362">
        <v>96.5</v>
      </c>
      <c r="F2362">
        <v>451.63937664000002</v>
      </c>
    </row>
    <row r="2363" spans="1:7" x14ac:dyDescent="0.25">
      <c r="A2363" s="2">
        <v>2361</v>
      </c>
      <c r="B2363" t="s">
        <v>1975</v>
      </c>
      <c r="C2363" s="1">
        <v>46129</v>
      </c>
      <c r="E2363">
        <v>2923.4807233199999</v>
      </c>
      <c r="F2363">
        <v>2926.3167786499998</v>
      </c>
      <c r="G2363">
        <v>2923.4807233199999</v>
      </c>
    </row>
    <row r="2364" spans="1:7" x14ac:dyDescent="0.25">
      <c r="A2364" s="2">
        <v>2362</v>
      </c>
      <c r="B2364" t="s">
        <v>1979</v>
      </c>
      <c r="C2364" s="1">
        <v>46129</v>
      </c>
      <c r="D2364">
        <v>74.184610000000006</v>
      </c>
      <c r="E2364">
        <v>1672.15120045</v>
      </c>
      <c r="F2364">
        <v>1674.6617030499999</v>
      </c>
      <c r="G2364">
        <v>1672.15120045</v>
      </c>
    </row>
    <row r="2365" spans="1:7" x14ac:dyDescent="0.25">
      <c r="A2365" s="2">
        <v>2363</v>
      </c>
      <c r="B2365" t="s">
        <v>1981</v>
      </c>
      <c r="C2365" s="1">
        <v>46129</v>
      </c>
      <c r="D2365">
        <v>63.316119999999998</v>
      </c>
      <c r="E2365">
        <v>1573.29018393</v>
      </c>
      <c r="F2365">
        <v>1575.42966383</v>
      </c>
      <c r="G2365">
        <v>1573.29018393</v>
      </c>
    </row>
    <row r="2366" spans="1:7" x14ac:dyDescent="0.25">
      <c r="A2366" s="2">
        <v>2364</v>
      </c>
      <c r="B2366" t="s">
        <v>1983</v>
      </c>
      <c r="C2366" s="1">
        <v>46129</v>
      </c>
    </row>
    <row r="2367" spans="1:7" x14ac:dyDescent="0.25">
      <c r="A2367" s="2">
        <v>2365</v>
      </c>
      <c r="B2367" t="s">
        <v>1985</v>
      </c>
      <c r="C2367" s="1">
        <v>46129</v>
      </c>
      <c r="D2367">
        <v>97</v>
      </c>
      <c r="F2367">
        <v>781.90231645999995</v>
      </c>
    </row>
    <row r="2368" spans="1:7" x14ac:dyDescent="0.25">
      <c r="A2368" s="2">
        <v>2366</v>
      </c>
      <c r="B2368" t="s">
        <v>1987</v>
      </c>
      <c r="C2368" s="1">
        <v>46129</v>
      </c>
      <c r="D2368">
        <v>80.9375</v>
      </c>
      <c r="F2368">
        <v>856.86673016999998</v>
      </c>
    </row>
    <row r="2369" spans="1:6" x14ac:dyDescent="0.25">
      <c r="A2369" s="2">
        <v>2367</v>
      </c>
      <c r="B2369" t="s">
        <v>3556</v>
      </c>
      <c r="C2369" s="1">
        <v>46129</v>
      </c>
    </row>
    <row r="2370" spans="1:6" x14ac:dyDescent="0.25">
      <c r="A2370" s="2">
        <v>2368</v>
      </c>
      <c r="B2370" t="s">
        <v>3560</v>
      </c>
      <c r="C2370" s="1">
        <v>46129</v>
      </c>
    </row>
    <row r="2371" spans="1:6" x14ac:dyDescent="0.25">
      <c r="A2371" s="2">
        <v>2369</v>
      </c>
      <c r="B2371" t="s">
        <v>3562</v>
      </c>
      <c r="C2371" s="1">
        <v>46129</v>
      </c>
    </row>
    <row r="2372" spans="1:6" x14ac:dyDescent="0.25">
      <c r="A2372" s="2">
        <v>2370</v>
      </c>
      <c r="B2372" t="s">
        <v>3564</v>
      </c>
      <c r="C2372" s="1">
        <v>46129</v>
      </c>
      <c r="D2372">
        <v>86.875</v>
      </c>
      <c r="F2372">
        <v>1070.8035255299999</v>
      </c>
    </row>
    <row r="2373" spans="1:6" x14ac:dyDescent="0.25">
      <c r="A2373" s="2">
        <v>2371</v>
      </c>
      <c r="B2373" t="s">
        <v>1991</v>
      </c>
      <c r="C2373" s="1">
        <v>46129</v>
      </c>
      <c r="D2373">
        <v>1.896957</v>
      </c>
    </row>
    <row r="2374" spans="1:6" x14ac:dyDescent="0.25">
      <c r="A2374" s="2">
        <v>2372</v>
      </c>
      <c r="B2374" t="s">
        <v>1995</v>
      </c>
      <c r="C2374" s="1">
        <v>46129</v>
      </c>
    </row>
    <row r="2375" spans="1:6" x14ac:dyDescent="0.25">
      <c r="A2375" s="2">
        <v>2373</v>
      </c>
      <c r="B2375" t="s">
        <v>1997</v>
      </c>
      <c r="C2375" s="1">
        <v>46129</v>
      </c>
    </row>
    <row r="2376" spans="1:6" x14ac:dyDescent="0.25">
      <c r="A2376" s="2">
        <v>2374</v>
      </c>
      <c r="B2376" t="s">
        <v>1999</v>
      </c>
      <c r="C2376" s="1">
        <v>46129</v>
      </c>
    </row>
    <row r="2377" spans="1:6" x14ac:dyDescent="0.25">
      <c r="A2377" s="2">
        <v>2375</v>
      </c>
      <c r="B2377" t="s">
        <v>2001</v>
      </c>
      <c r="C2377" s="1">
        <v>46129</v>
      </c>
    </row>
    <row r="2378" spans="1:6" x14ac:dyDescent="0.25">
      <c r="A2378" s="2">
        <v>2376</v>
      </c>
      <c r="B2378" t="s">
        <v>2002</v>
      </c>
      <c r="C2378" s="1">
        <v>46129</v>
      </c>
      <c r="D2378">
        <v>75.5</v>
      </c>
      <c r="F2378">
        <v>2542.9117309399999</v>
      </c>
    </row>
    <row r="2379" spans="1:6" x14ac:dyDescent="0.25">
      <c r="A2379" s="2">
        <v>2377</v>
      </c>
      <c r="B2379" t="s">
        <v>2004</v>
      </c>
      <c r="C2379" s="1">
        <v>46129</v>
      </c>
    </row>
    <row r="2380" spans="1:6" x14ac:dyDescent="0.25">
      <c r="A2380" s="2">
        <v>2378</v>
      </c>
      <c r="B2380" t="s">
        <v>2005</v>
      </c>
      <c r="C2380" s="1">
        <v>46129</v>
      </c>
      <c r="D2380">
        <v>75.5</v>
      </c>
      <c r="F2380">
        <v>2529.85202209</v>
      </c>
    </row>
    <row r="2381" spans="1:6" x14ac:dyDescent="0.25">
      <c r="A2381" s="2">
        <v>2379</v>
      </c>
      <c r="B2381" t="s">
        <v>2006</v>
      </c>
      <c r="C2381" s="1">
        <v>46129</v>
      </c>
      <c r="D2381">
        <v>75.375</v>
      </c>
      <c r="F2381">
        <v>2532.5464396500001</v>
      </c>
    </row>
    <row r="2382" spans="1:6" x14ac:dyDescent="0.25">
      <c r="A2382" s="2">
        <v>2380</v>
      </c>
      <c r="B2382" t="s">
        <v>2007</v>
      </c>
      <c r="C2382" s="1">
        <v>46129</v>
      </c>
      <c r="D2382">
        <v>14</v>
      </c>
      <c r="F2382">
        <v>22070.97441649</v>
      </c>
    </row>
    <row r="2383" spans="1:6" x14ac:dyDescent="0.25">
      <c r="A2383" s="2">
        <v>2381</v>
      </c>
      <c r="B2383" t="s">
        <v>2009</v>
      </c>
      <c r="C2383" s="1">
        <v>46129</v>
      </c>
      <c r="D2383">
        <v>93.5</v>
      </c>
      <c r="F2383">
        <v>601.68068711000001</v>
      </c>
    </row>
    <row r="2384" spans="1:6" x14ac:dyDescent="0.25">
      <c r="A2384" s="2">
        <v>2382</v>
      </c>
      <c r="B2384" t="s">
        <v>2017</v>
      </c>
      <c r="C2384" s="1">
        <v>46129</v>
      </c>
      <c r="D2384">
        <v>93.5</v>
      </c>
      <c r="F2384">
        <v>863.65387700999997</v>
      </c>
    </row>
    <row r="2385" spans="1:7" x14ac:dyDescent="0.25">
      <c r="A2385" s="2">
        <v>2383</v>
      </c>
      <c r="B2385" t="s">
        <v>2021</v>
      </c>
      <c r="C2385" s="1">
        <v>46129</v>
      </c>
      <c r="D2385">
        <v>62.5</v>
      </c>
      <c r="F2385">
        <v>4665.5221170499999</v>
      </c>
    </row>
    <row r="2386" spans="1:7" x14ac:dyDescent="0.25">
      <c r="A2386" s="2">
        <v>2384</v>
      </c>
      <c r="B2386" t="s">
        <v>2023</v>
      </c>
      <c r="C2386" s="1">
        <v>46129</v>
      </c>
    </row>
    <row r="2387" spans="1:7" x14ac:dyDescent="0.25">
      <c r="A2387" s="2">
        <v>2385</v>
      </c>
      <c r="B2387" t="s">
        <v>1796</v>
      </c>
      <c r="C2387" s="1">
        <v>46129</v>
      </c>
      <c r="E2387">
        <v>645.20331866000004</v>
      </c>
      <c r="F2387">
        <v>647.06565631000001</v>
      </c>
      <c r="G2387">
        <v>645.20331866000004</v>
      </c>
    </row>
    <row r="2388" spans="1:7" x14ac:dyDescent="0.25">
      <c r="A2388" s="2">
        <v>2386</v>
      </c>
      <c r="B2388" t="s">
        <v>1800</v>
      </c>
      <c r="C2388" s="1">
        <v>46129</v>
      </c>
      <c r="D2388">
        <v>89.386150000000001</v>
      </c>
      <c r="E2388">
        <v>790.77148662000002</v>
      </c>
      <c r="F2388">
        <v>791.92886073</v>
      </c>
      <c r="G2388">
        <v>790.77148662000002</v>
      </c>
    </row>
    <row r="2389" spans="1:7" x14ac:dyDescent="0.25">
      <c r="A2389" s="2">
        <v>2387</v>
      </c>
      <c r="B2389" t="s">
        <v>1802</v>
      </c>
      <c r="C2389" s="1">
        <v>46129</v>
      </c>
      <c r="D2389">
        <v>106.1439</v>
      </c>
      <c r="E2389">
        <v>581.22367774999998</v>
      </c>
      <c r="F2389">
        <v>583.21982447000005</v>
      </c>
      <c r="G2389">
        <v>581.22367774999998</v>
      </c>
    </row>
    <row r="2390" spans="1:7" x14ac:dyDescent="0.25">
      <c r="A2390" s="2">
        <v>2388</v>
      </c>
      <c r="B2390" t="s">
        <v>1804</v>
      </c>
      <c r="C2390" s="1">
        <v>46129</v>
      </c>
      <c r="D2390">
        <v>99.645139999999998</v>
      </c>
      <c r="E2390">
        <v>456.00792711000003</v>
      </c>
      <c r="F2390">
        <v>458.40291496999998</v>
      </c>
      <c r="G2390">
        <v>456.00792711000003</v>
      </c>
    </row>
    <row r="2391" spans="1:7" x14ac:dyDescent="0.25">
      <c r="A2391" s="2">
        <v>2389</v>
      </c>
      <c r="B2391" t="s">
        <v>1806</v>
      </c>
      <c r="C2391" s="1">
        <v>46129</v>
      </c>
      <c r="D2391">
        <v>95.978269999999995</v>
      </c>
      <c r="E2391">
        <v>664.32359884000005</v>
      </c>
      <c r="F2391">
        <v>667.43272812999999</v>
      </c>
      <c r="G2391">
        <v>664.32359884000005</v>
      </c>
    </row>
    <row r="2392" spans="1:7" x14ac:dyDescent="0.25">
      <c r="A2392" s="2">
        <v>2390</v>
      </c>
      <c r="B2392" t="s">
        <v>1808</v>
      </c>
      <c r="C2392" s="1">
        <v>46129</v>
      </c>
    </row>
    <row r="2393" spans="1:7" x14ac:dyDescent="0.25">
      <c r="A2393" s="2">
        <v>2391</v>
      </c>
      <c r="B2393" t="s">
        <v>1811</v>
      </c>
      <c r="C2393" s="1">
        <v>46129</v>
      </c>
      <c r="D2393">
        <v>97.375</v>
      </c>
      <c r="F2393">
        <v>627.66895800999998</v>
      </c>
    </row>
    <row r="2394" spans="1:7" x14ac:dyDescent="0.25">
      <c r="A2394" s="2">
        <v>2392</v>
      </c>
      <c r="B2394" t="s">
        <v>3800</v>
      </c>
      <c r="C2394" s="1">
        <v>46129</v>
      </c>
      <c r="D2394">
        <v>85.695989999999995</v>
      </c>
      <c r="E2394">
        <v>539.64667087999999</v>
      </c>
      <c r="F2394">
        <v>541.58055873000001</v>
      </c>
      <c r="G2394">
        <v>539.64667087999999</v>
      </c>
    </row>
    <row r="2395" spans="1:7" x14ac:dyDescent="0.25">
      <c r="A2395" s="2">
        <v>2393</v>
      </c>
      <c r="B2395" t="s">
        <v>3805</v>
      </c>
      <c r="C2395" s="1">
        <v>46129</v>
      </c>
      <c r="D2395">
        <v>92.653679999999994</v>
      </c>
      <c r="E2395">
        <v>333.49763826999998</v>
      </c>
      <c r="F2395">
        <v>337.51492854000003</v>
      </c>
      <c r="G2395">
        <v>333.49763826999998</v>
      </c>
    </row>
    <row r="2396" spans="1:7" x14ac:dyDescent="0.25">
      <c r="A2396" s="2">
        <v>2394</v>
      </c>
      <c r="B2396" t="s">
        <v>2045</v>
      </c>
      <c r="C2396" s="1">
        <v>46129</v>
      </c>
      <c r="D2396">
        <v>97.912480000000002</v>
      </c>
      <c r="F2396">
        <v>943.47712439999998</v>
      </c>
    </row>
    <row r="2397" spans="1:7" x14ac:dyDescent="0.25">
      <c r="A2397" s="2">
        <v>2395</v>
      </c>
      <c r="B2397" t="s">
        <v>2049</v>
      </c>
      <c r="C2397" s="1">
        <v>46129</v>
      </c>
      <c r="D2397">
        <v>100.0885</v>
      </c>
      <c r="F2397">
        <v>-804.26812841000003</v>
      </c>
    </row>
    <row r="2398" spans="1:7" x14ac:dyDescent="0.25">
      <c r="A2398" s="2">
        <v>2396</v>
      </c>
      <c r="B2398" t="s">
        <v>2051</v>
      </c>
      <c r="C2398" s="1">
        <v>46129</v>
      </c>
    </row>
    <row r="2399" spans="1:7" x14ac:dyDescent="0.25">
      <c r="A2399" s="2">
        <v>2397</v>
      </c>
      <c r="B2399" t="s">
        <v>2053</v>
      </c>
      <c r="C2399" s="1">
        <v>46129</v>
      </c>
    </row>
    <row r="2400" spans="1:7" x14ac:dyDescent="0.25">
      <c r="A2400" s="2">
        <v>2398</v>
      </c>
      <c r="B2400" t="s">
        <v>2054</v>
      </c>
      <c r="C2400" s="1">
        <v>46129</v>
      </c>
    </row>
    <row r="2401" spans="1:7" x14ac:dyDescent="0.25">
      <c r="A2401" s="2">
        <v>2399</v>
      </c>
      <c r="B2401" t="s">
        <v>2055</v>
      </c>
      <c r="C2401" s="1">
        <v>46129</v>
      </c>
    </row>
    <row r="2402" spans="1:7" x14ac:dyDescent="0.25">
      <c r="A2402" s="2">
        <v>2400</v>
      </c>
      <c r="B2402" t="s">
        <v>2057</v>
      </c>
      <c r="C2402" s="1">
        <v>46129</v>
      </c>
    </row>
    <row r="2403" spans="1:7" x14ac:dyDescent="0.25">
      <c r="A2403" s="2">
        <v>2401</v>
      </c>
      <c r="B2403" t="s">
        <v>2059</v>
      </c>
      <c r="C2403" s="1">
        <v>46129</v>
      </c>
    </row>
    <row r="2404" spans="1:7" x14ac:dyDescent="0.25">
      <c r="A2404" s="2">
        <v>2402</v>
      </c>
      <c r="B2404" t="s">
        <v>2061</v>
      </c>
      <c r="C2404" s="1">
        <v>46129</v>
      </c>
      <c r="D2404">
        <v>94</v>
      </c>
      <c r="F2404">
        <v>528.77946422000002</v>
      </c>
    </row>
    <row r="2405" spans="1:7" x14ac:dyDescent="0.25">
      <c r="A2405" s="2">
        <v>2403</v>
      </c>
      <c r="B2405" t="s">
        <v>2063</v>
      </c>
      <c r="C2405" s="1">
        <v>46129</v>
      </c>
      <c r="D2405">
        <v>99.875</v>
      </c>
      <c r="F2405">
        <v>419.49869432000003</v>
      </c>
    </row>
    <row r="2406" spans="1:7" x14ac:dyDescent="0.25">
      <c r="A2406" s="2">
        <v>2404</v>
      </c>
      <c r="B2406" t="s">
        <v>2065</v>
      </c>
      <c r="C2406" s="1">
        <v>46129</v>
      </c>
      <c r="D2406">
        <v>77.5</v>
      </c>
      <c r="F2406">
        <v>1970.4754929799999</v>
      </c>
    </row>
    <row r="2407" spans="1:7" x14ac:dyDescent="0.25">
      <c r="A2407" s="2">
        <v>2405</v>
      </c>
      <c r="B2407" t="s">
        <v>2069</v>
      </c>
      <c r="C2407" s="1">
        <v>46129</v>
      </c>
    </row>
    <row r="2408" spans="1:7" x14ac:dyDescent="0.25">
      <c r="A2408" s="2">
        <v>2406</v>
      </c>
      <c r="B2408" t="s">
        <v>2073</v>
      </c>
      <c r="C2408" s="1">
        <v>46129</v>
      </c>
    </row>
    <row r="2409" spans="1:7" x14ac:dyDescent="0.25">
      <c r="A2409" s="2">
        <v>2407</v>
      </c>
      <c r="B2409" t="s">
        <v>2075</v>
      </c>
      <c r="C2409" s="1">
        <v>46129</v>
      </c>
      <c r="D2409">
        <v>52</v>
      </c>
      <c r="F2409">
        <v>3285.9194979399999</v>
      </c>
    </row>
    <row r="2410" spans="1:7" x14ac:dyDescent="0.25">
      <c r="A2410" s="2">
        <v>2408</v>
      </c>
      <c r="B2410" t="s">
        <v>2087</v>
      </c>
      <c r="C2410" s="1">
        <v>46129</v>
      </c>
      <c r="F2410">
        <v>307.10980590999998</v>
      </c>
    </row>
    <row r="2411" spans="1:7" x14ac:dyDescent="0.25">
      <c r="A2411" s="2">
        <v>2409</v>
      </c>
      <c r="B2411" t="s">
        <v>2091</v>
      </c>
      <c r="C2411" s="1">
        <v>46129</v>
      </c>
    </row>
    <row r="2412" spans="1:7" x14ac:dyDescent="0.25">
      <c r="A2412" s="2">
        <v>2410</v>
      </c>
      <c r="B2412" t="s">
        <v>2093</v>
      </c>
      <c r="C2412" s="1">
        <v>46129</v>
      </c>
      <c r="D2412">
        <v>97.375</v>
      </c>
      <c r="F2412">
        <v>515.70071067000003</v>
      </c>
    </row>
    <row r="2413" spans="1:7" x14ac:dyDescent="0.25">
      <c r="A2413" s="2">
        <v>2411</v>
      </c>
      <c r="B2413" t="s">
        <v>3568</v>
      </c>
      <c r="C2413" s="1">
        <v>46129</v>
      </c>
    </row>
    <row r="2414" spans="1:7" x14ac:dyDescent="0.25">
      <c r="A2414" s="2">
        <v>2412</v>
      </c>
      <c r="B2414" t="s">
        <v>3574</v>
      </c>
      <c r="C2414" s="1">
        <v>46129</v>
      </c>
      <c r="D2414">
        <v>72.5</v>
      </c>
      <c r="F2414">
        <v>1990.9777554100001</v>
      </c>
    </row>
    <row r="2415" spans="1:7" x14ac:dyDescent="0.25">
      <c r="A2415" s="2">
        <v>2413</v>
      </c>
      <c r="B2415" t="s">
        <v>3576</v>
      </c>
      <c r="C2415" s="1">
        <v>46129</v>
      </c>
      <c r="E2415">
        <v>8383.3246809800003</v>
      </c>
      <c r="F2415">
        <v>8387.0833522100002</v>
      </c>
      <c r="G2415">
        <v>8383.3246809800003</v>
      </c>
    </row>
    <row r="2416" spans="1:7" x14ac:dyDescent="0.25">
      <c r="A2416" s="2">
        <v>2414</v>
      </c>
      <c r="B2416" t="s">
        <v>3581</v>
      </c>
      <c r="C2416" s="1">
        <v>46129</v>
      </c>
    </row>
    <row r="2417" spans="1:7" x14ac:dyDescent="0.25">
      <c r="A2417" s="2">
        <v>2415</v>
      </c>
      <c r="B2417" t="s">
        <v>3582</v>
      </c>
      <c r="C2417" s="1">
        <v>46129</v>
      </c>
    </row>
    <row r="2418" spans="1:7" x14ac:dyDescent="0.25">
      <c r="A2418" s="2">
        <v>2416</v>
      </c>
      <c r="B2418" t="s">
        <v>3583</v>
      </c>
      <c r="C2418" s="1">
        <v>46129</v>
      </c>
      <c r="D2418">
        <v>32.5</v>
      </c>
      <c r="F2418">
        <v>849.18174173</v>
      </c>
    </row>
    <row r="2419" spans="1:7" x14ac:dyDescent="0.25">
      <c r="A2419" s="2">
        <v>2417</v>
      </c>
      <c r="B2419" t="s">
        <v>3585</v>
      </c>
      <c r="C2419" s="1">
        <v>46129</v>
      </c>
      <c r="D2419">
        <v>47.5</v>
      </c>
      <c r="F2419">
        <v>875.82421427999998</v>
      </c>
    </row>
    <row r="2420" spans="1:7" x14ac:dyDescent="0.25">
      <c r="A2420" s="2">
        <v>2418</v>
      </c>
      <c r="B2420" t="s">
        <v>3587</v>
      </c>
      <c r="C2420" s="1">
        <v>46129</v>
      </c>
      <c r="D2420">
        <v>65</v>
      </c>
      <c r="F2420">
        <v>1891.40840779</v>
      </c>
    </row>
    <row r="2421" spans="1:7" x14ac:dyDescent="0.25">
      <c r="A2421" s="2">
        <v>2419</v>
      </c>
      <c r="B2421" t="s">
        <v>3589</v>
      </c>
      <c r="C2421" s="1">
        <v>46129</v>
      </c>
      <c r="D2421">
        <v>100.75</v>
      </c>
      <c r="F2421">
        <v>510.48742148999997</v>
      </c>
    </row>
    <row r="2422" spans="1:7" x14ac:dyDescent="0.25">
      <c r="A2422" s="2">
        <v>2420</v>
      </c>
      <c r="B2422" t="s">
        <v>3591</v>
      </c>
      <c r="C2422" s="1">
        <v>46129</v>
      </c>
    </row>
    <row r="2423" spans="1:7" x14ac:dyDescent="0.25">
      <c r="A2423" s="2">
        <v>2421</v>
      </c>
      <c r="B2423" t="s">
        <v>3593</v>
      </c>
      <c r="C2423" s="1">
        <v>46129</v>
      </c>
      <c r="D2423">
        <v>60.521430000000002</v>
      </c>
      <c r="F2423">
        <v>4179.1375017099999</v>
      </c>
    </row>
    <row r="2424" spans="1:7" x14ac:dyDescent="0.25">
      <c r="A2424" s="2">
        <v>2422</v>
      </c>
      <c r="B2424" t="s">
        <v>3595</v>
      </c>
      <c r="C2424" s="1">
        <v>46129</v>
      </c>
    </row>
    <row r="2425" spans="1:7" x14ac:dyDescent="0.25">
      <c r="A2425" s="2">
        <v>2423</v>
      </c>
      <c r="B2425" t="s">
        <v>3600</v>
      </c>
      <c r="C2425" s="1">
        <v>46129</v>
      </c>
      <c r="D2425">
        <v>69.5</v>
      </c>
      <c r="F2425">
        <v>2348.44409331</v>
      </c>
    </row>
    <row r="2426" spans="1:7" x14ac:dyDescent="0.25">
      <c r="A2426" s="2">
        <v>2424</v>
      </c>
      <c r="B2426" t="s">
        <v>3602</v>
      </c>
      <c r="C2426" s="1">
        <v>46129</v>
      </c>
    </row>
    <row r="2427" spans="1:7" x14ac:dyDescent="0.25">
      <c r="A2427" s="2">
        <v>2425</v>
      </c>
      <c r="B2427" t="s">
        <v>3603</v>
      </c>
      <c r="C2427" s="1">
        <v>46129</v>
      </c>
      <c r="D2427">
        <v>69.5</v>
      </c>
      <c r="F2427">
        <v>2178.44326</v>
      </c>
    </row>
    <row r="2428" spans="1:7" x14ac:dyDescent="0.25">
      <c r="A2428" s="2">
        <v>2426</v>
      </c>
      <c r="B2428" t="s">
        <v>3604</v>
      </c>
      <c r="C2428" s="1">
        <v>46129</v>
      </c>
      <c r="D2428">
        <v>93</v>
      </c>
      <c r="F2428">
        <v>574.84866522000004</v>
      </c>
    </row>
    <row r="2429" spans="1:7" x14ac:dyDescent="0.25">
      <c r="A2429" s="2">
        <v>2427</v>
      </c>
      <c r="B2429" t="s">
        <v>2107</v>
      </c>
      <c r="C2429" s="1">
        <v>46129</v>
      </c>
      <c r="D2429">
        <v>52.427930000000003</v>
      </c>
      <c r="F2429">
        <v>3448.5066434700002</v>
      </c>
    </row>
    <row r="2430" spans="1:7" x14ac:dyDescent="0.25">
      <c r="A2430" s="2">
        <v>2428</v>
      </c>
      <c r="B2430" t="s">
        <v>2111</v>
      </c>
      <c r="C2430" s="1">
        <v>46129</v>
      </c>
    </row>
    <row r="2431" spans="1:7" x14ac:dyDescent="0.25">
      <c r="A2431" s="2">
        <v>2429</v>
      </c>
      <c r="B2431" t="s">
        <v>2113</v>
      </c>
      <c r="C2431" s="1">
        <v>46129</v>
      </c>
    </row>
    <row r="2432" spans="1:7" x14ac:dyDescent="0.25">
      <c r="A2432" s="2">
        <v>2430</v>
      </c>
      <c r="B2432" t="s">
        <v>2114</v>
      </c>
      <c r="C2432" s="1">
        <v>46129</v>
      </c>
      <c r="D2432">
        <v>85.135480000000001</v>
      </c>
      <c r="E2432">
        <v>1219.5967819299999</v>
      </c>
      <c r="F2432">
        <v>1221.49620007</v>
      </c>
      <c r="G2432">
        <v>1219.5967819299999</v>
      </c>
    </row>
    <row r="2433" spans="1:7" x14ac:dyDescent="0.25">
      <c r="A2433" s="2">
        <v>2431</v>
      </c>
      <c r="B2433" t="s">
        <v>2115</v>
      </c>
      <c r="C2433" s="1">
        <v>46129</v>
      </c>
    </row>
    <row r="2434" spans="1:7" x14ac:dyDescent="0.25">
      <c r="A2434" s="2">
        <v>2432</v>
      </c>
      <c r="B2434" t="s">
        <v>2101</v>
      </c>
      <c r="C2434" s="1">
        <v>46129</v>
      </c>
      <c r="D2434">
        <v>90.75</v>
      </c>
      <c r="F2434">
        <v>1004.64830706</v>
      </c>
    </row>
    <row r="2435" spans="1:7" x14ac:dyDescent="0.25">
      <c r="A2435" s="2">
        <v>2433</v>
      </c>
      <c r="B2435" t="s">
        <v>2105</v>
      </c>
      <c r="C2435" s="1">
        <v>46129</v>
      </c>
      <c r="D2435">
        <v>101.375</v>
      </c>
      <c r="F2435">
        <v>552.51781572000004</v>
      </c>
    </row>
    <row r="2436" spans="1:7" x14ac:dyDescent="0.25">
      <c r="A2436" s="2">
        <v>2434</v>
      </c>
      <c r="B2436" t="s">
        <v>2117</v>
      </c>
      <c r="C2436" s="1">
        <v>46129</v>
      </c>
      <c r="D2436">
        <v>70.559520000000006</v>
      </c>
      <c r="E2436">
        <v>205.21220456</v>
      </c>
      <c r="F2436">
        <v>206.08730535000001</v>
      </c>
      <c r="G2436">
        <v>205.21220456</v>
      </c>
    </row>
    <row r="2437" spans="1:7" x14ac:dyDescent="0.25">
      <c r="A2437" s="2">
        <v>2435</v>
      </c>
      <c r="B2437" t="s">
        <v>2122</v>
      </c>
      <c r="C2437" s="1">
        <v>46129</v>
      </c>
      <c r="D2437">
        <v>94.693370000000002</v>
      </c>
      <c r="E2437">
        <v>94.37906538</v>
      </c>
      <c r="F2437">
        <v>96.216870630000003</v>
      </c>
      <c r="G2437">
        <v>94.37906538</v>
      </c>
    </row>
    <row r="2438" spans="1:7" x14ac:dyDescent="0.25">
      <c r="A2438" s="2">
        <v>2436</v>
      </c>
      <c r="B2438" t="s">
        <v>2124</v>
      </c>
      <c r="C2438" s="1">
        <v>46129</v>
      </c>
      <c r="D2438">
        <v>89.518649999999994</v>
      </c>
      <c r="E2438">
        <v>83.064437699999999</v>
      </c>
      <c r="F2438">
        <v>84.825171920000003</v>
      </c>
      <c r="G2438">
        <v>83.064437699999999</v>
      </c>
    </row>
    <row r="2439" spans="1:7" x14ac:dyDescent="0.25">
      <c r="A2439" s="2">
        <v>2437</v>
      </c>
      <c r="B2439" t="s">
        <v>2126</v>
      </c>
      <c r="C2439" s="1">
        <v>46129</v>
      </c>
      <c r="D2439">
        <v>95.390100000000004</v>
      </c>
      <c r="E2439">
        <v>150.84244537999999</v>
      </c>
      <c r="F2439">
        <v>150.32907379</v>
      </c>
      <c r="G2439">
        <v>150.84244537999999</v>
      </c>
    </row>
    <row r="2440" spans="1:7" x14ac:dyDescent="0.25">
      <c r="A2440" s="2">
        <v>2438</v>
      </c>
      <c r="B2440" t="s">
        <v>2128</v>
      </c>
      <c r="C2440" s="1">
        <v>46129</v>
      </c>
      <c r="D2440">
        <v>101.35899999999999</v>
      </c>
      <c r="E2440">
        <v>106.6756209</v>
      </c>
      <c r="F2440">
        <v>108.05635964</v>
      </c>
      <c r="G2440">
        <v>106.6756209</v>
      </c>
    </row>
    <row r="2441" spans="1:7" x14ac:dyDescent="0.25">
      <c r="A2441" s="2">
        <v>2439</v>
      </c>
      <c r="B2441" t="s">
        <v>2130</v>
      </c>
      <c r="C2441" s="1">
        <v>46129</v>
      </c>
      <c r="D2441">
        <v>102.93429999999999</v>
      </c>
      <c r="E2441">
        <v>120.43558021</v>
      </c>
      <c r="F2441">
        <v>121.66572843</v>
      </c>
      <c r="G2441">
        <v>120.43558021</v>
      </c>
    </row>
    <row r="2442" spans="1:7" x14ac:dyDescent="0.25">
      <c r="A2442" s="2">
        <v>2440</v>
      </c>
      <c r="B2442" t="s">
        <v>2132</v>
      </c>
      <c r="C2442" s="1">
        <v>46129</v>
      </c>
      <c r="D2442">
        <v>102.0411</v>
      </c>
      <c r="E2442">
        <v>48.308614640000002</v>
      </c>
      <c r="F2442">
        <v>52.188402940000003</v>
      </c>
      <c r="G2442">
        <v>48.308614640000002</v>
      </c>
    </row>
    <row r="2443" spans="1:7" x14ac:dyDescent="0.25">
      <c r="A2443" s="2">
        <v>2441</v>
      </c>
      <c r="B2443" t="s">
        <v>2134</v>
      </c>
      <c r="C2443" s="1">
        <v>46129</v>
      </c>
      <c r="D2443">
        <v>98.840919999999997</v>
      </c>
      <c r="E2443">
        <v>136.69759076</v>
      </c>
      <c r="F2443">
        <v>136.42275280999999</v>
      </c>
      <c r="G2443">
        <v>136.69759076</v>
      </c>
    </row>
    <row r="2444" spans="1:7" x14ac:dyDescent="0.25">
      <c r="A2444" s="2">
        <v>2442</v>
      </c>
      <c r="B2444" t="s">
        <v>2136</v>
      </c>
      <c r="C2444" s="1">
        <v>46129</v>
      </c>
      <c r="D2444">
        <v>102.4355</v>
      </c>
      <c r="E2444">
        <v>112.040449</v>
      </c>
      <c r="F2444">
        <v>113.2569788</v>
      </c>
      <c r="G2444">
        <v>112.040449</v>
      </c>
    </row>
    <row r="2445" spans="1:7" x14ac:dyDescent="0.25">
      <c r="A2445" s="2">
        <v>2443</v>
      </c>
      <c r="B2445" t="s">
        <v>2139</v>
      </c>
      <c r="C2445" s="1">
        <v>46129</v>
      </c>
      <c r="D2445">
        <v>102.41970000000001</v>
      </c>
      <c r="E2445">
        <v>59.779298019999999</v>
      </c>
      <c r="F2445">
        <v>62.065515220000002</v>
      </c>
      <c r="G2445">
        <v>59.779298019999999</v>
      </c>
    </row>
    <row r="2446" spans="1:7" x14ac:dyDescent="0.25">
      <c r="A2446" s="2">
        <v>2444</v>
      </c>
      <c r="B2446" t="s">
        <v>2141</v>
      </c>
      <c r="C2446" s="1">
        <v>46129</v>
      </c>
      <c r="D2446">
        <v>100.26</v>
      </c>
      <c r="E2446">
        <v>77.107029440000005</v>
      </c>
      <c r="F2446">
        <v>83.490522139999996</v>
      </c>
      <c r="G2446">
        <v>77.107029440000005</v>
      </c>
    </row>
    <row r="2447" spans="1:7" x14ac:dyDescent="0.25">
      <c r="A2447" s="2">
        <v>2445</v>
      </c>
      <c r="B2447" t="s">
        <v>2143</v>
      </c>
      <c r="C2447" s="1">
        <v>46129</v>
      </c>
      <c r="E2447">
        <v>-4578.4885396</v>
      </c>
      <c r="F2447">
        <v>-4747.5357709099999</v>
      </c>
      <c r="G2447">
        <v>-4578.4885396</v>
      </c>
    </row>
    <row r="2448" spans="1:7" x14ac:dyDescent="0.25">
      <c r="A2448" s="2">
        <v>2446</v>
      </c>
      <c r="B2448" t="s">
        <v>2145</v>
      </c>
      <c r="C2448" s="1">
        <v>46129</v>
      </c>
      <c r="D2448">
        <v>106.9482</v>
      </c>
      <c r="E2448">
        <v>143.52732946</v>
      </c>
      <c r="F2448">
        <v>143.23712997000001</v>
      </c>
      <c r="G2448">
        <v>143.52732946</v>
      </c>
    </row>
    <row r="2449" spans="1:7" x14ac:dyDescent="0.25">
      <c r="A2449" s="2">
        <v>2447</v>
      </c>
      <c r="B2449" t="s">
        <v>2147</v>
      </c>
      <c r="C2449" s="1">
        <v>46129</v>
      </c>
      <c r="D2449">
        <v>102.09399999999999</v>
      </c>
      <c r="E2449">
        <v>113.04997987</v>
      </c>
      <c r="F2449">
        <v>114.01672863</v>
      </c>
      <c r="G2449">
        <v>113.04997987</v>
      </c>
    </row>
    <row r="2450" spans="1:7" x14ac:dyDescent="0.25">
      <c r="A2450" s="2">
        <v>2448</v>
      </c>
      <c r="B2450" t="s">
        <v>2149</v>
      </c>
      <c r="C2450" s="1">
        <v>46129</v>
      </c>
      <c r="D2450">
        <v>103.07859999999999</v>
      </c>
      <c r="E2450">
        <v>79.472664829999999</v>
      </c>
      <c r="F2450">
        <v>81.800468649999999</v>
      </c>
      <c r="G2450">
        <v>79.472664829999999</v>
      </c>
    </row>
    <row r="2451" spans="1:7" x14ac:dyDescent="0.25">
      <c r="A2451" s="2">
        <v>2449</v>
      </c>
      <c r="B2451" t="s">
        <v>2151</v>
      </c>
      <c r="C2451" s="1">
        <v>46129</v>
      </c>
      <c r="D2451">
        <v>103.2028</v>
      </c>
      <c r="E2451">
        <v>120.16257471</v>
      </c>
      <c r="F2451">
        <v>120.8460274</v>
      </c>
      <c r="G2451">
        <v>120.16257471</v>
      </c>
    </row>
    <row r="2452" spans="1:7" x14ac:dyDescent="0.25">
      <c r="A2452" s="2">
        <v>2450</v>
      </c>
      <c r="B2452" t="s">
        <v>2153</v>
      </c>
      <c r="C2452" s="1">
        <v>46129</v>
      </c>
      <c r="D2452">
        <v>105.89619999999999</v>
      </c>
      <c r="E2452">
        <v>224.637</v>
      </c>
      <c r="F2452">
        <v>224.43700000000001</v>
      </c>
      <c r="G2452">
        <v>224.637</v>
      </c>
    </row>
    <row r="2453" spans="1:7" x14ac:dyDescent="0.25">
      <c r="A2453" s="2">
        <v>2451</v>
      </c>
      <c r="B2453" t="s">
        <v>2155</v>
      </c>
      <c r="C2453" s="1">
        <v>46129</v>
      </c>
      <c r="D2453">
        <v>103.78400000000001</v>
      </c>
      <c r="E2453">
        <v>233.82602904000001</v>
      </c>
      <c r="F2453">
        <v>236.14276341999999</v>
      </c>
      <c r="G2453">
        <v>233.82602904000001</v>
      </c>
    </row>
    <row r="2454" spans="1:7" x14ac:dyDescent="0.25">
      <c r="A2454" s="2">
        <v>2452</v>
      </c>
      <c r="B2454" t="s">
        <v>2157</v>
      </c>
      <c r="C2454" s="1">
        <v>46129</v>
      </c>
      <c r="D2454">
        <v>100.8933</v>
      </c>
      <c r="E2454">
        <v>116.85240426</v>
      </c>
      <c r="F2454">
        <v>117.50841328</v>
      </c>
      <c r="G2454">
        <v>116.85240426</v>
      </c>
    </row>
    <row r="2455" spans="1:7" x14ac:dyDescent="0.25">
      <c r="A2455" s="2">
        <v>2453</v>
      </c>
      <c r="B2455" t="s">
        <v>2159</v>
      </c>
      <c r="C2455" s="1">
        <v>46129</v>
      </c>
      <c r="D2455">
        <v>101.8764</v>
      </c>
      <c r="E2455">
        <v>269.61037374</v>
      </c>
      <c r="F2455">
        <v>272.10802852</v>
      </c>
      <c r="G2455">
        <v>269.61037374</v>
      </c>
    </row>
    <row r="2456" spans="1:7" x14ac:dyDescent="0.25">
      <c r="A2456" s="2">
        <v>2454</v>
      </c>
      <c r="B2456" t="s">
        <v>2161</v>
      </c>
      <c r="C2456" s="1">
        <v>46129</v>
      </c>
      <c r="D2456">
        <v>101.8789</v>
      </c>
      <c r="E2456">
        <v>74.469546179999995</v>
      </c>
      <c r="F2456">
        <v>76.880455479999995</v>
      </c>
      <c r="G2456">
        <v>74.469546179999995</v>
      </c>
    </row>
    <row r="2457" spans="1:7" x14ac:dyDescent="0.25">
      <c r="A2457" s="2">
        <v>2455</v>
      </c>
      <c r="B2457" t="s">
        <v>2163</v>
      </c>
      <c r="C2457" s="1">
        <v>46129</v>
      </c>
      <c r="D2457">
        <v>100.3967</v>
      </c>
      <c r="E2457">
        <v>112.75474208</v>
      </c>
      <c r="F2457">
        <v>113.23873029000001</v>
      </c>
      <c r="G2457">
        <v>112.75474208</v>
      </c>
    </row>
    <row r="2458" spans="1:7" x14ac:dyDescent="0.25">
      <c r="A2458" s="2">
        <v>2456</v>
      </c>
      <c r="B2458" t="s">
        <v>2166</v>
      </c>
      <c r="C2458" s="1">
        <v>46129</v>
      </c>
      <c r="D2458">
        <v>105.57250000000001</v>
      </c>
      <c r="E2458">
        <v>-296.94522159000002</v>
      </c>
      <c r="F2458">
        <v>-294.9334667</v>
      </c>
      <c r="G2458">
        <v>-296.94522159000002</v>
      </c>
    </row>
    <row r="2459" spans="1:7" x14ac:dyDescent="0.25">
      <c r="A2459" s="2">
        <v>2457</v>
      </c>
      <c r="B2459" t="s">
        <v>2168</v>
      </c>
      <c r="C2459" s="1">
        <v>46129</v>
      </c>
      <c r="D2459">
        <v>100.0367</v>
      </c>
      <c r="E2459">
        <v>242.01783087999999</v>
      </c>
      <c r="F2459">
        <v>243.90038132000001</v>
      </c>
      <c r="G2459">
        <v>242.01783087999999</v>
      </c>
    </row>
    <row r="2460" spans="1:7" x14ac:dyDescent="0.25">
      <c r="A2460" s="2">
        <v>2458</v>
      </c>
      <c r="B2460" t="s">
        <v>2170</v>
      </c>
      <c r="C2460" s="1">
        <v>46129</v>
      </c>
      <c r="D2460">
        <v>97.919259999999994</v>
      </c>
      <c r="E2460">
        <v>117.23172984999999</v>
      </c>
      <c r="F2460">
        <v>117.31901195</v>
      </c>
      <c r="G2460">
        <v>117.23172984999999</v>
      </c>
    </row>
    <row r="2461" spans="1:7" x14ac:dyDescent="0.25">
      <c r="A2461" s="2">
        <v>2459</v>
      </c>
      <c r="B2461" t="s">
        <v>2173</v>
      </c>
      <c r="C2461" s="1">
        <v>46129</v>
      </c>
      <c r="D2461">
        <v>98.652180000000001</v>
      </c>
      <c r="E2461">
        <v>103.30144065</v>
      </c>
      <c r="F2461">
        <v>104.69250527</v>
      </c>
      <c r="G2461">
        <v>103.30144065</v>
      </c>
    </row>
    <row r="2462" spans="1:7" x14ac:dyDescent="0.25">
      <c r="A2462" s="2">
        <v>2460</v>
      </c>
      <c r="B2462" t="s">
        <v>2176</v>
      </c>
      <c r="C2462" s="1">
        <v>46129</v>
      </c>
      <c r="D2462">
        <v>100.2295</v>
      </c>
      <c r="E2462">
        <v>62.492982509999997</v>
      </c>
      <c r="F2462">
        <v>64.197253340000003</v>
      </c>
      <c r="G2462">
        <v>62.492982509999997</v>
      </c>
    </row>
    <row r="2463" spans="1:7" x14ac:dyDescent="0.25">
      <c r="A2463" s="2">
        <v>2461</v>
      </c>
      <c r="B2463" t="s">
        <v>2179</v>
      </c>
      <c r="C2463" s="1">
        <v>46129</v>
      </c>
      <c r="D2463">
        <v>99.398830000000004</v>
      </c>
      <c r="E2463">
        <v>52.959431119999998</v>
      </c>
      <c r="F2463">
        <v>61.421376369999997</v>
      </c>
      <c r="G2463">
        <v>52.959431119999998</v>
      </c>
    </row>
    <row r="2464" spans="1:7" x14ac:dyDescent="0.25">
      <c r="A2464" s="2">
        <v>2462</v>
      </c>
      <c r="B2464" t="s">
        <v>2182</v>
      </c>
      <c r="C2464" s="1">
        <v>46129</v>
      </c>
      <c r="D2464">
        <v>102.23309999999999</v>
      </c>
      <c r="E2464">
        <v>100.62122066000001</v>
      </c>
      <c r="F2464">
        <v>104.27766896999999</v>
      </c>
      <c r="G2464">
        <v>100.62122066000001</v>
      </c>
    </row>
    <row r="2465" spans="1:7" x14ac:dyDescent="0.25">
      <c r="A2465" s="2">
        <v>2463</v>
      </c>
      <c r="B2465" t="s">
        <v>2185</v>
      </c>
      <c r="C2465" s="1">
        <v>46129</v>
      </c>
      <c r="D2465">
        <v>102.0836</v>
      </c>
      <c r="E2465">
        <v>140.48301635000001</v>
      </c>
      <c r="F2465">
        <v>143.46070194999999</v>
      </c>
      <c r="G2465">
        <v>140.48301635000001</v>
      </c>
    </row>
    <row r="2466" spans="1:7" x14ac:dyDescent="0.25">
      <c r="A2466" s="2">
        <v>2464</v>
      </c>
      <c r="B2466" t="s">
        <v>2187</v>
      </c>
      <c r="C2466" s="1">
        <v>46129</v>
      </c>
      <c r="D2466">
        <v>101.4139</v>
      </c>
      <c r="E2466">
        <v>166.03975431000001</v>
      </c>
      <c r="F2466">
        <v>169.01065994999999</v>
      </c>
      <c r="G2466">
        <v>166.03975431000001</v>
      </c>
    </row>
    <row r="2467" spans="1:7" x14ac:dyDescent="0.25">
      <c r="A2467" s="2">
        <v>2465</v>
      </c>
      <c r="B2467" t="s">
        <v>2189</v>
      </c>
      <c r="C2467" s="1">
        <v>46129</v>
      </c>
      <c r="D2467">
        <v>87.904290000000003</v>
      </c>
      <c r="E2467">
        <v>146.35646381999999</v>
      </c>
      <c r="F2467">
        <v>147.34601147999999</v>
      </c>
      <c r="G2467">
        <v>146.35646381999999</v>
      </c>
    </row>
    <row r="2468" spans="1:7" x14ac:dyDescent="0.25">
      <c r="A2468" s="2">
        <v>2466</v>
      </c>
      <c r="B2468" t="s">
        <v>2191</v>
      </c>
      <c r="C2468" s="1">
        <v>46129</v>
      </c>
      <c r="D2468">
        <v>79.337190000000007</v>
      </c>
      <c r="E2468">
        <v>142.11406722999999</v>
      </c>
      <c r="F2468">
        <v>144.72848708000001</v>
      </c>
      <c r="G2468">
        <v>142.11406722999999</v>
      </c>
    </row>
    <row r="2469" spans="1:7" x14ac:dyDescent="0.25">
      <c r="A2469" s="2">
        <v>2467</v>
      </c>
      <c r="B2469" t="s">
        <v>2193</v>
      </c>
      <c r="C2469" s="1">
        <v>46129</v>
      </c>
      <c r="D2469">
        <v>103.80370000000001</v>
      </c>
      <c r="E2469">
        <v>148.05316324</v>
      </c>
      <c r="F2469">
        <v>146.65916933</v>
      </c>
      <c r="G2469">
        <v>148.05316324</v>
      </c>
    </row>
    <row r="2470" spans="1:7" x14ac:dyDescent="0.25">
      <c r="A2470" s="2">
        <v>2468</v>
      </c>
      <c r="B2470" t="s">
        <v>2195</v>
      </c>
      <c r="C2470" s="1">
        <v>46129</v>
      </c>
      <c r="D2470">
        <v>110.6859</v>
      </c>
      <c r="E2470">
        <v>151.02919216000001</v>
      </c>
      <c r="F2470">
        <v>149.65477824000001</v>
      </c>
      <c r="G2470">
        <v>151.02919216000001</v>
      </c>
    </row>
    <row r="2471" spans="1:7" x14ac:dyDescent="0.25">
      <c r="A2471" s="2">
        <v>2469</v>
      </c>
      <c r="B2471" t="s">
        <v>2197</v>
      </c>
      <c r="C2471" s="1">
        <v>46129</v>
      </c>
      <c r="D2471">
        <v>107.0363</v>
      </c>
      <c r="E2471">
        <v>165.81829901</v>
      </c>
      <c r="F2471">
        <v>165.17173344</v>
      </c>
      <c r="G2471">
        <v>165.81829901</v>
      </c>
    </row>
    <row r="2472" spans="1:7" x14ac:dyDescent="0.25">
      <c r="A2472" s="2">
        <v>2470</v>
      </c>
      <c r="B2472" t="s">
        <v>2199</v>
      </c>
      <c r="C2472" s="1">
        <v>46129</v>
      </c>
      <c r="D2472">
        <v>112.4123</v>
      </c>
      <c r="E2472">
        <v>117.09428794</v>
      </c>
      <c r="F2472">
        <v>117.65978982999999</v>
      </c>
      <c r="G2472">
        <v>117.09428794</v>
      </c>
    </row>
    <row r="2473" spans="1:7" x14ac:dyDescent="0.25">
      <c r="A2473" s="2">
        <v>2471</v>
      </c>
      <c r="B2473" t="s">
        <v>2202</v>
      </c>
      <c r="C2473" s="1">
        <v>46129</v>
      </c>
      <c r="D2473">
        <v>108.47539999999999</v>
      </c>
      <c r="E2473">
        <v>94.414439369999997</v>
      </c>
      <c r="F2473">
        <v>96.600629589999997</v>
      </c>
      <c r="G2473">
        <v>94.414439369999997</v>
      </c>
    </row>
    <row r="2474" spans="1:7" x14ac:dyDescent="0.25">
      <c r="A2474" s="2">
        <v>2472</v>
      </c>
      <c r="B2474" t="s">
        <v>2205</v>
      </c>
      <c r="C2474" s="1">
        <v>46129</v>
      </c>
      <c r="D2474">
        <v>39.19032</v>
      </c>
      <c r="F2474">
        <v>1282.77438299</v>
      </c>
    </row>
    <row r="2475" spans="1:7" x14ac:dyDescent="0.25">
      <c r="A2475" s="2">
        <v>2473</v>
      </c>
      <c r="B2475" t="s">
        <v>2207</v>
      </c>
      <c r="C2475" s="1">
        <v>46129</v>
      </c>
      <c r="D2475">
        <v>103.3034</v>
      </c>
      <c r="E2475">
        <v>104.20002705</v>
      </c>
      <c r="F2475">
        <v>106.40961152</v>
      </c>
      <c r="G2475">
        <v>104.20002705</v>
      </c>
    </row>
    <row r="2476" spans="1:7" x14ac:dyDescent="0.25">
      <c r="A2476" s="2">
        <v>2474</v>
      </c>
      <c r="B2476" t="s">
        <v>2209</v>
      </c>
      <c r="C2476" s="1">
        <v>46129</v>
      </c>
      <c r="D2476">
        <v>99.382279999999994</v>
      </c>
      <c r="E2476">
        <v>110.25762406</v>
      </c>
      <c r="F2476">
        <v>110.70329331000001</v>
      </c>
      <c r="G2476">
        <v>110.25762406</v>
      </c>
    </row>
    <row r="2477" spans="1:7" x14ac:dyDescent="0.25">
      <c r="A2477" s="2">
        <v>2475</v>
      </c>
      <c r="B2477" t="s">
        <v>2212</v>
      </c>
      <c r="C2477" s="1">
        <v>46129</v>
      </c>
      <c r="E2477">
        <v>-74.781770809999998</v>
      </c>
      <c r="F2477">
        <v>-72.78316658</v>
      </c>
      <c r="G2477">
        <v>-74.781770809999998</v>
      </c>
    </row>
    <row r="2478" spans="1:7" x14ac:dyDescent="0.25">
      <c r="A2478" s="2">
        <v>2476</v>
      </c>
      <c r="B2478" t="s">
        <v>2214</v>
      </c>
      <c r="C2478" s="1">
        <v>46129</v>
      </c>
      <c r="D2478">
        <v>89.091030000000003</v>
      </c>
      <c r="E2478">
        <v>152.56899319999999</v>
      </c>
      <c r="F2478">
        <v>152.39887519999999</v>
      </c>
      <c r="G2478">
        <v>152.56899319999999</v>
      </c>
    </row>
    <row r="2479" spans="1:7" x14ac:dyDescent="0.25">
      <c r="A2479" s="2">
        <v>2477</v>
      </c>
      <c r="B2479" t="s">
        <v>2217</v>
      </c>
      <c r="C2479" s="1">
        <v>46129</v>
      </c>
      <c r="D2479">
        <v>99.522769999999994</v>
      </c>
      <c r="E2479">
        <v>89.654080680000007</v>
      </c>
      <c r="F2479">
        <v>91.139680670000004</v>
      </c>
      <c r="G2479">
        <v>89.654080680000007</v>
      </c>
    </row>
    <row r="2480" spans="1:7" x14ac:dyDescent="0.25">
      <c r="A2480" s="2">
        <v>2478</v>
      </c>
      <c r="B2480" t="s">
        <v>2220</v>
      </c>
      <c r="C2480" s="1">
        <v>46129</v>
      </c>
      <c r="D2480">
        <v>102.5783</v>
      </c>
      <c r="E2480">
        <v>174.58168925999999</v>
      </c>
      <c r="F2480">
        <v>173.07563044</v>
      </c>
      <c r="G2480">
        <v>174.58168925999999</v>
      </c>
    </row>
    <row r="2481" spans="1:7" x14ac:dyDescent="0.25">
      <c r="A2481" s="2">
        <v>2479</v>
      </c>
      <c r="B2481" t="s">
        <v>2222</v>
      </c>
      <c r="C2481" s="1">
        <v>46129</v>
      </c>
      <c r="D2481">
        <v>100.25790000000001</v>
      </c>
      <c r="E2481">
        <v>91.814030900000006</v>
      </c>
      <c r="F2481">
        <v>98.101155520000006</v>
      </c>
      <c r="G2481">
        <v>91.814030900000006</v>
      </c>
    </row>
    <row r="2482" spans="1:7" x14ac:dyDescent="0.25">
      <c r="A2482" s="2">
        <v>2480</v>
      </c>
      <c r="B2482" t="s">
        <v>2224</v>
      </c>
      <c r="C2482" s="1">
        <v>46129</v>
      </c>
      <c r="D2482">
        <v>94.202150000000003</v>
      </c>
      <c r="E2482">
        <v>153.89753705000001</v>
      </c>
      <c r="F2482">
        <v>154.02214337000001</v>
      </c>
      <c r="G2482">
        <v>153.89753705000001</v>
      </c>
    </row>
    <row r="2483" spans="1:7" x14ac:dyDescent="0.25">
      <c r="A2483" s="2">
        <v>2481</v>
      </c>
      <c r="B2483" t="s">
        <v>2226</v>
      </c>
      <c r="C2483" s="1">
        <v>46129</v>
      </c>
      <c r="D2483">
        <v>81.157839999999993</v>
      </c>
      <c r="E2483">
        <v>198.39623834</v>
      </c>
      <c r="F2483">
        <v>199.52781626000001</v>
      </c>
      <c r="G2483">
        <v>198.39623834</v>
      </c>
    </row>
    <row r="2484" spans="1:7" x14ac:dyDescent="0.25">
      <c r="A2484" s="2">
        <v>2482</v>
      </c>
      <c r="B2484" t="s">
        <v>2228</v>
      </c>
      <c r="C2484" s="1">
        <v>46129</v>
      </c>
      <c r="D2484">
        <v>81.339070000000007</v>
      </c>
      <c r="E2484">
        <v>190.03434283000001</v>
      </c>
      <c r="F2484">
        <v>189.59167576999999</v>
      </c>
      <c r="G2484">
        <v>190.03434283000001</v>
      </c>
    </row>
    <row r="2485" spans="1:7" x14ac:dyDescent="0.25">
      <c r="A2485" s="2">
        <v>2483</v>
      </c>
      <c r="B2485" t="s">
        <v>2230</v>
      </c>
      <c r="C2485" s="1">
        <v>46129</v>
      </c>
      <c r="D2485">
        <v>99.096559999999997</v>
      </c>
      <c r="E2485">
        <v>95.851143809999996</v>
      </c>
      <c r="F2485">
        <v>97.317021089999997</v>
      </c>
      <c r="G2485">
        <v>95.851143809999996</v>
      </c>
    </row>
    <row r="2486" spans="1:7" x14ac:dyDescent="0.25">
      <c r="A2486" s="2">
        <v>2484</v>
      </c>
      <c r="B2486" t="s">
        <v>2232</v>
      </c>
      <c r="C2486" s="1">
        <v>46129</v>
      </c>
      <c r="D2486">
        <v>72.292540000000002</v>
      </c>
      <c r="E2486">
        <v>150.30598678999999</v>
      </c>
      <c r="F2486">
        <v>151.61737754999999</v>
      </c>
      <c r="G2486">
        <v>150.30598678999999</v>
      </c>
    </row>
    <row r="2487" spans="1:7" x14ac:dyDescent="0.25">
      <c r="A2487" s="2">
        <v>2485</v>
      </c>
      <c r="B2487" t="s">
        <v>2235</v>
      </c>
      <c r="C2487" s="1">
        <v>46129</v>
      </c>
      <c r="D2487">
        <v>92.030090000000001</v>
      </c>
      <c r="E2487">
        <v>96.752298170000003</v>
      </c>
      <c r="F2487">
        <v>98.449438929999999</v>
      </c>
      <c r="G2487">
        <v>96.752298170000003</v>
      </c>
    </row>
    <row r="2488" spans="1:7" x14ac:dyDescent="0.25">
      <c r="A2488" s="2">
        <v>2486</v>
      </c>
      <c r="B2488" t="s">
        <v>2238</v>
      </c>
      <c r="C2488" s="1">
        <v>46129</v>
      </c>
      <c r="D2488">
        <v>90.30001</v>
      </c>
      <c r="E2488">
        <v>138.35309108999999</v>
      </c>
      <c r="F2488">
        <v>140.07887897000001</v>
      </c>
      <c r="G2488">
        <v>138.35309108999999</v>
      </c>
    </row>
    <row r="2489" spans="1:7" x14ac:dyDescent="0.25">
      <c r="A2489" s="2">
        <v>2487</v>
      </c>
      <c r="B2489" t="s">
        <v>2240</v>
      </c>
      <c r="C2489" s="1">
        <v>46129</v>
      </c>
      <c r="D2489">
        <v>69.432689999999994</v>
      </c>
      <c r="E2489">
        <v>148.21305337000001</v>
      </c>
      <c r="F2489">
        <v>149.80298028000001</v>
      </c>
      <c r="G2489">
        <v>148.21305337000001</v>
      </c>
    </row>
    <row r="2490" spans="1:7" x14ac:dyDescent="0.25">
      <c r="A2490" s="2">
        <v>2488</v>
      </c>
      <c r="B2490" t="s">
        <v>2243</v>
      </c>
      <c r="C2490" s="1">
        <v>46129</v>
      </c>
      <c r="D2490">
        <v>90.730149999999995</v>
      </c>
      <c r="E2490">
        <v>90.249747670000005</v>
      </c>
      <c r="F2490">
        <v>92.045979799999998</v>
      </c>
      <c r="G2490">
        <v>90.249747670000005</v>
      </c>
    </row>
    <row r="2491" spans="1:7" x14ac:dyDescent="0.25">
      <c r="A2491" s="2">
        <v>2489</v>
      </c>
      <c r="B2491" t="s">
        <v>2246</v>
      </c>
      <c r="C2491" s="1">
        <v>46129</v>
      </c>
      <c r="D2491">
        <v>64.078739999999996</v>
      </c>
      <c r="E2491">
        <v>147.08883324000001</v>
      </c>
      <c r="F2491">
        <v>149.70088293000001</v>
      </c>
      <c r="G2491">
        <v>147.08883324000001</v>
      </c>
    </row>
    <row r="2492" spans="1:7" x14ac:dyDescent="0.25">
      <c r="A2492" s="2">
        <v>2490</v>
      </c>
      <c r="B2492" t="s">
        <v>2249</v>
      </c>
      <c r="C2492" s="1">
        <v>46129</v>
      </c>
      <c r="D2492">
        <v>82.144419999999997</v>
      </c>
      <c r="E2492">
        <v>150.6738574</v>
      </c>
      <c r="F2492">
        <v>151.52850788000001</v>
      </c>
      <c r="G2492">
        <v>150.6738574</v>
      </c>
    </row>
    <row r="2493" spans="1:7" x14ac:dyDescent="0.25">
      <c r="A2493" s="2">
        <v>2491</v>
      </c>
      <c r="B2493" t="s">
        <v>2252</v>
      </c>
      <c r="C2493" s="1">
        <v>46129</v>
      </c>
      <c r="D2493">
        <v>99.233540000000005</v>
      </c>
      <c r="E2493">
        <v>104.45874229</v>
      </c>
      <c r="F2493">
        <v>106.67298015999999</v>
      </c>
      <c r="G2493">
        <v>104.45874229</v>
      </c>
    </row>
    <row r="2494" spans="1:7" x14ac:dyDescent="0.25">
      <c r="A2494" s="2">
        <v>2492</v>
      </c>
      <c r="B2494" t="s">
        <v>2254</v>
      </c>
      <c r="C2494" s="1">
        <v>46129</v>
      </c>
      <c r="D2494">
        <v>99.58475</v>
      </c>
      <c r="E2494">
        <v>64.963095229999993</v>
      </c>
      <c r="F2494">
        <v>68.009468620000007</v>
      </c>
      <c r="G2494">
        <v>64.963095229999993</v>
      </c>
    </row>
    <row r="2495" spans="1:7" x14ac:dyDescent="0.25">
      <c r="A2495" s="2">
        <v>2493</v>
      </c>
      <c r="B2495" t="s">
        <v>2256</v>
      </c>
      <c r="C2495" s="1">
        <v>46129</v>
      </c>
      <c r="D2495">
        <v>79.28201</v>
      </c>
      <c r="E2495">
        <v>145.39803741</v>
      </c>
      <c r="F2495">
        <v>146.76857199</v>
      </c>
      <c r="G2495">
        <v>145.39803741</v>
      </c>
    </row>
    <row r="2496" spans="1:7" x14ac:dyDescent="0.25">
      <c r="A2496" s="2">
        <v>2494</v>
      </c>
      <c r="B2496" t="s">
        <v>2258</v>
      </c>
      <c r="C2496" s="1">
        <v>46129</v>
      </c>
      <c r="D2496">
        <v>78.329329999999999</v>
      </c>
      <c r="E2496">
        <v>178.13817674000001</v>
      </c>
      <c r="F2496">
        <v>178.87021016</v>
      </c>
      <c r="G2496">
        <v>178.13817674000001</v>
      </c>
    </row>
    <row r="2497" spans="1:7" x14ac:dyDescent="0.25">
      <c r="A2497" s="2">
        <v>2495</v>
      </c>
      <c r="B2497" t="s">
        <v>2260</v>
      </c>
      <c r="C2497" s="1">
        <v>46129</v>
      </c>
      <c r="D2497">
        <v>99.193079999999995</v>
      </c>
      <c r="E2497">
        <v>34.784540800000002</v>
      </c>
      <c r="F2497">
        <v>41.160247009999999</v>
      </c>
      <c r="G2497">
        <v>34.784540800000002</v>
      </c>
    </row>
    <row r="2498" spans="1:7" x14ac:dyDescent="0.25">
      <c r="A2498" s="2">
        <v>2496</v>
      </c>
      <c r="B2498" t="s">
        <v>3608</v>
      </c>
      <c r="C2498" s="1">
        <v>46129</v>
      </c>
      <c r="D2498">
        <v>95.5</v>
      </c>
      <c r="F2498">
        <v>624.42907548000005</v>
      </c>
    </row>
    <row r="2499" spans="1:7" x14ac:dyDescent="0.25">
      <c r="A2499" s="2">
        <v>2497</v>
      </c>
      <c r="B2499" t="s">
        <v>3612</v>
      </c>
      <c r="C2499" s="1">
        <v>46129</v>
      </c>
    </row>
    <row r="2500" spans="1:7" x14ac:dyDescent="0.25">
      <c r="A2500" s="2">
        <v>2498</v>
      </c>
      <c r="B2500" t="s">
        <v>3614</v>
      </c>
      <c r="C2500" s="1">
        <v>46129</v>
      </c>
      <c r="D2500">
        <v>89.5</v>
      </c>
      <c r="F2500">
        <v>1355.7675363599999</v>
      </c>
    </row>
    <row r="2501" spans="1:7" x14ac:dyDescent="0.25">
      <c r="A2501" s="2">
        <v>2499</v>
      </c>
      <c r="B2501" t="s">
        <v>2263</v>
      </c>
      <c r="C2501" s="1">
        <v>46129</v>
      </c>
      <c r="D2501">
        <v>86.870999999999995</v>
      </c>
      <c r="E2501">
        <v>738.95655951000003</v>
      </c>
      <c r="F2501">
        <v>741.04439201000002</v>
      </c>
      <c r="G2501">
        <v>738.95655951000003</v>
      </c>
    </row>
    <row r="2502" spans="1:7" x14ac:dyDescent="0.25">
      <c r="A2502" s="2">
        <v>2500</v>
      </c>
      <c r="B2502" t="s">
        <v>2267</v>
      </c>
      <c r="C2502" s="1">
        <v>46129</v>
      </c>
      <c r="D2502">
        <v>98.5625</v>
      </c>
      <c r="F2502">
        <v>381.81323746999999</v>
      </c>
    </row>
    <row r="2503" spans="1:7" x14ac:dyDescent="0.25">
      <c r="A2503" s="2">
        <v>2501</v>
      </c>
      <c r="B2503" t="s">
        <v>2269</v>
      </c>
      <c r="C2503" s="1">
        <v>46129</v>
      </c>
      <c r="D2503">
        <v>99.25</v>
      </c>
      <c r="F2503">
        <v>587.52920365</v>
      </c>
    </row>
    <row r="2504" spans="1:7" x14ac:dyDescent="0.25">
      <c r="A2504" s="2">
        <v>2502</v>
      </c>
      <c r="B2504" t="s">
        <v>3807</v>
      </c>
      <c r="C2504" s="1">
        <v>46129</v>
      </c>
      <c r="D2504">
        <v>106.34829999999999</v>
      </c>
      <c r="E2504">
        <v>143.80455749999999</v>
      </c>
      <c r="F2504">
        <v>149.36704766</v>
      </c>
      <c r="G2504">
        <v>143.80455749999999</v>
      </c>
    </row>
    <row r="2505" spans="1:7" x14ac:dyDescent="0.25">
      <c r="A2505" s="2">
        <v>2503</v>
      </c>
      <c r="B2505" t="s">
        <v>3811</v>
      </c>
      <c r="C2505" s="1">
        <v>46129</v>
      </c>
      <c r="D2505">
        <v>104.2766</v>
      </c>
      <c r="E2505">
        <v>480.0974281</v>
      </c>
      <c r="F2505">
        <v>482.81944582</v>
      </c>
      <c r="G2505">
        <v>480.0974281</v>
      </c>
    </row>
    <row r="2506" spans="1:7" x14ac:dyDescent="0.25">
      <c r="A2506" s="2">
        <v>2504</v>
      </c>
      <c r="B2506" t="s">
        <v>3813</v>
      </c>
      <c r="C2506" s="1">
        <v>46129</v>
      </c>
      <c r="D2506">
        <v>106.27370000000001</v>
      </c>
      <c r="E2506">
        <v>303.02890029000002</v>
      </c>
      <c r="F2506">
        <v>305.65256312999998</v>
      </c>
      <c r="G2506">
        <v>303.02890029000002</v>
      </c>
    </row>
    <row r="2507" spans="1:7" x14ac:dyDescent="0.25">
      <c r="A2507" s="2">
        <v>2505</v>
      </c>
      <c r="B2507" t="s">
        <v>3815</v>
      </c>
      <c r="C2507" s="1">
        <v>46129</v>
      </c>
      <c r="D2507">
        <v>99.624790000000004</v>
      </c>
      <c r="E2507">
        <v>336.05699093999999</v>
      </c>
      <c r="F2507">
        <v>335.88949288999999</v>
      </c>
      <c r="G2507">
        <v>336.05699093999999</v>
      </c>
    </row>
    <row r="2508" spans="1:7" x14ac:dyDescent="0.25">
      <c r="A2508" s="2">
        <v>2506</v>
      </c>
      <c r="B2508" t="s">
        <v>3817</v>
      </c>
      <c r="C2508" s="1">
        <v>46129</v>
      </c>
      <c r="D2508">
        <v>97.226619999999997</v>
      </c>
      <c r="E2508">
        <v>299.46460653000003</v>
      </c>
      <c r="F2508">
        <v>301.96633738999998</v>
      </c>
      <c r="G2508">
        <v>299.46460653000003</v>
      </c>
    </row>
    <row r="2509" spans="1:7" x14ac:dyDescent="0.25">
      <c r="A2509" s="2">
        <v>2507</v>
      </c>
      <c r="B2509" t="s">
        <v>3819</v>
      </c>
      <c r="C2509" s="1">
        <v>46129</v>
      </c>
      <c r="D2509">
        <v>99.625</v>
      </c>
      <c r="F2509">
        <v>405.54467381000001</v>
      </c>
    </row>
    <row r="2510" spans="1:7" x14ac:dyDescent="0.25">
      <c r="A2510" s="2">
        <v>2508</v>
      </c>
      <c r="B2510" t="s">
        <v>3821</v>
      </c>
      <c r="C2510" s="1">
        <v>46129</v>
      </c>
      <c r="D2510">
        <v>99.875</v>
      </c>
      <c r="F2510">
        <v>422.31376534999998</v>
      </c>
    </row>
    <row r="2511" spans="1:7" x14ac:dyDescent="0.25">
      <c r="A2511" s="2">
        <v>2509</v>
      </c>
      <c r="B2511" t="s">
        <v>3822</v>
      </c>
      <c r="C2511" s="1">
        <v>46129</v>
      </c>
    </row>
    <row r="2512" spans="1:7" x14ac:dyDescent="0.25">
      <c r="A2512" s="2">
        <v>2510</v>
      </c>
      <c r="B2512" t="s">
        <v>3824</v>
      </c>
      <c r="C2512" s="1">
        <v>46129</v>
      </c>
    </row>
    <row r="2513" spans="1:7" x14ac:dyDescent="0.25">
      <c r="A2513" s="2">
        <v>2511</v>
      </c>
      <c r="B2513" t="s">
        <v>2285</v>
      </c>
      <c r="C2513" s="1">
        <v>46129</v>
      </c>
      <c r="D2513">
        <v>98.206900000000005</v>
      </c>
      <c r="E2513">
        <v>705.96035646999997</v>
      </c>
      <c r="F2513">
        <v>710.09558131999995</v>
      </c>
      <c r="G2513">
        <v>705.96035646999997</v>
      </c>
    </row>
    <row r="2514" spans="1:7" x14ac:dyDescent="0.25">
      <c r="A2514" s="2">
        <v>2512</v>
      </c>
      <c r="B2514" t="s">
        <v>2289</v>
      </c>
      <c r="C2514" s="1">
        <v>46129</v>
      </c>
      <c r="D2514">
        <v>91.941680000000005</v>
      </c>
      <c r="F2514">
        <v>924.26177814000005</v>
      </c>
    </row>
    <row r="2515" spans="1:7" x14ac:dyDescent="0.25">
      <c r="A2515" s="2">
        <v>2513</v>
      </c>
      <c r="B2515" t="s">
        <v>2291</v>
      </c>
      <c r="C2515" s="1">
        <v>46129</v>
      </c>
      <c r="D2515">
        <v>98.874369999999999</v>
      </c>
      <c r="E2515">
        <v>511.61669290999998</v>
      </c>
      <c r="F2515">
        <v>512.25562852999997</v>
      </c>
      <c r="G2515">
        <v>511.61669290999998</v>
      </c>
    </row>
    <row r="2516" spans="1:7" x14ac:dyDescent="0.25">
      <c r="A2516" s="2">
        <v>2514</v>
      </c>
      <c r="B2516" t="s">
        <v>2293</v>
      </c>
      <c r="C2516" s="1">
        <v>46129</v>
      </c>
      <c r="D2516">
        <v>99.125</v>
      </c>
      <c r="F2516">
        <v>501.11902153</v>
      </c>
    </row>
    <row r="2517" spans="1:7" x14ac:dyDescent="0.25">
      <c r="A2517" s="2">
        <v>2515</v>
      </c>
      <c r="B2517" t="s">
        <v>2295</v>
      </c>
      <c r="C2517" s="1">
        <v>46129</v>
      </c>
      <c r="D2517">
        <v>94.773510000000002</v>
      </c>
      <c r="E2517">
        <v>760.55633832000001</v>
      </c>
      <c r="F2517">
        <v>761.70875311999998</v>
      </c>
      <c r="G2517">
        <v>760.55633832000001</v>
      </c>
    </row>
    <row r="2518" spans="1:7" x14ac:dyDescent="0.25">
      <c r="A2518" s="2">
        <v>2516</v>
      </c>
      <c r="B2518" t="s">
        <v>2299</v>
      </c>
      <c r="C2518" s="1">
        <v>46129</v>
      </c>
      <c r="D2518">
        <v>85.625</v>
      </c>
      <c r="F2518">
        <v>907.07015461000003</v>
      </c>
    </row>
    <row r="2519" spans="1:7" x14ac:dyDescent="0.25">
      <c r="A2519" s="2">
        <v>2517</v>
      </c>
      <c r="B2519" t="s">
        <v>2303</v>
      </c>
      <c r="C2519" s="1">
        <v>46129</v>
      </c>
      <c r="D2519">
        <v>102.75</v>
      </c>
      <c r="F2519">
        <v>549.30498359000001</v>
      </c>
    </row>
    <row r="2520" spans="1:7" x14ac:dyDescent="0.25">
      <c r="A2520" s="2">
        <v>2518</v>
      </c>
      <c r="B2520" t="s">
        <v>2304</v>
      </c>
      <c r="C2520" s="1">
        <v>46129</v>
      </c>
    </row>
    <row r="2521" spans="1:7" x14ac:dyDescent="0.25">
      <c r="A2521" s="2">
        <v>2519</v>
      </c>
      <c r="B2521" t="s">
        <v>2306</v>
      </c>
      <c r="C2521" s="1">
        <v>46129</v>
      </c>
      <c r="D2521">
        <v>82.497010000000003</v>
      </c>
      <c r="E2521">
        <v>1255.9966272199999</v>
      </c>
      <c r="F2521">
        <v>1258.4131024200001</v>
      </c>
      <c r="G2521">
        <v>1255.9966272199999</v>
      </c>
    </row>
    <row r="2522" spans="1:7" x14ac:dyDescent="0.25">
      <c r="A2522" s="2">
        <v>2520</v>
      </c>
      <c r="B2522" t="s">
        <v>1889</v>
      </c>
      <c r="C2522" s="1">
        <v>46129</v>
      </c>
      <c r="D2522">
        <v>100.7908</v>
      </c>
      <c r="E2522">
        <v>610.16598161000002</v>
      </c>
      <c r="F2522">
        <v>612.66197117000002</v>
      </c>
      <c r="G2522">
        <v>610.16598161000002</v>
      </c>
    </row>
    <row r="2523" spans="1:7" x14ac:dyDescent="0.25">
      <c r="A2523" s="2">
        <v>2521</v>
      </c>
      <c r="B2523" t="s">
        <v>1893</v>
      </c>
      <c r="C2523" s="1">
        <v>46129</v>
      </c>
    </row>
    <row r="2524" spans="1:7" x14ac:dyDescent="0.25">
      <c r="A2524" s="2">
        <v>2522</v>
      </c>
      <c r="B2524" t="s">
        <v>1895</v>
      </c>
      <c r="C2524" s="1">
        <v>46129</v>
      </c>
      <c r="D2524">
        <v>80.122600000000006</v>
      </c>
      <c r="E2524">
        <v>731.84342978999996</v>
      </c>
      <c r="F2524">
        <v>733.72520736000001</v>
      </c>
      <c r="G2524">
        <v>731.84342978999996</v>
      </c>
    </row>
    <row r="2525" spans="1:7" x14ac:dyDescent="0.25">
      <c r="A2525" s="2">
        <v>2523</v>
      </c>
      <c r="B2525" t="s">
        <v>1897</v>
      </c>
      <c r="C2525" s="1">
        <v>46129</v>
      </c>
      <c r="D2525">
        <v>94.983180000000004</v>
      </c>
      <c r="E2525">
        <v>243.56919554000001</v>
      </c>
      <c r="F2525">
        <v>245.95047306999999</v>
      </c>
      <c r="G2525">
        <v>243.56919554000001</v>
      </c>
    </row>
    <row r="2526" spans="1:7" x14ac:dyDescent="0.25">
      <c r="A2526" s="2">
        <v>2524</v>
      </c>
      <c r="B2526" t="s">
        <v>1899</v>
      </c>
      <c r="C2526" s="1">
        <v>46129</v>
      </c>
    </row>
    <row r="2527" spans="1:7" x14ac:dyDescent="0.25">
      <c r="A2527" s="2">
        <v>2525</v>
      </c>
      <c r="B2527" t="s">
        <v>1901</v>
      </c>
      <c r="C2527" s="1">
        <v>46129</v>
      </c>
      <c r="D2527">
        <v>99</v>
      </c>
      <c r="F2527">
        <v>403.01144278999999</v>
      </c>
    </row>
    <row r="2528" spans="1:7" x14ac:dyDescent="0.25">
      <c r="A2528" s="2">
        <v>2526</v>
      </c>
      <c r="B2528" t="s">
        <v>1903</v>
      </c>
      <c r="C2528" s="1">
        <v>46129</v>
      </c>
      <c r="D2528">
        <v>101</v>
      </c>
      <c r="F2528">
        <v>548.71379850999995</v>
      </c>
    </row>
    <row r="2529" spans="1:7" x14ac:dyDescent="0.25">
      <c r="A2529" s="2">
        <v>2527</v>
      </c>
      <c r="B2529" t="s">
        <v>1905</v>
      </c>
      <c r="C2529" s="1">
        <v>46129</v>
      </c>
    </row>
    <row r="2530" spans="1:7" x14ac:dyDescent="0.25">
      <c r="A2530" s="2">
        <v>2528</v>
      </c>
      <c r="B2530" t="s">
        <v>1907</v>
      </c>
      <c r="C2530" s="1">
        <v>46129</v>
      </c>
    </row>
    <row r="2531" spans="1:7" x14ac:dyDescent="0.25">
      <c r="A2531" s="2">
        <v>2529</v>
      </c>
      <c r="B2531" t="s">
        <v>1908</v>
      </c>
      <c r="C2531" s="1">
        <v>46129</v>
      </c>
    </row>
    <row r="2532" spans="1:7" x14ac:dyDescent="0.25">
      <c r="A2532" s="2">
        <v>2530</v>
      </c>
      <c r="B2532" t="s">
        <v>2327</v>
      </c>
      <c r="C2532" s="1">
        <v>46129</v>
      </c>
      <c r="D2532">
        <v>63.079729999999998</v>
      </c>
      <c r="E2532">
        <v>390.44348366000003</v>
      </c>
      <c r="F2532">
        <v>387.44947601000001</v>
      </c>
      <c r="G2532">
        <v>390.44348366000003</v>
      </c>
    </row>
    <row r="2533" spans="1:7" x14ac:dyDescent="0.25">
      <c r="A2533" s="2">
        <v>2531</v>
      </c>
      <c r="B2533" t="s">
        <v>2331</v>
      </c>
      <c r="C2533" s="1">
        <v>46129</v>
      </c>
      <c r="D2533">
        <v>91.164580000000001</v>
      </c>
      <c r="E2533">
        <v>293.62636386000003</v>
      </c>
      <c r="F2533">
        <v>295.62425330999997</v>
      </c>
      <c r="G2533">
        <v>293.62636386000003</v>
      </c>
    </row>
    <row r="2534" spans="1:7" x14ac:dyDescent="0.25">
      <c r="A2534" s="2">
        <v>2532</v>
      </c>
      <c r="B2534" t="s">
        <v>2333</v>
      </c>
      <c r="C2534" s="1">
        <v>46129</v>
      </c>
      <c r="D2534">
        <v>77.950040000000001</v>
      </c>
      <c r="E2534">
        <v>437.52472454000002</v>
      </c>
      <c r="F2534">
        <v>431.61265880000002</v>
      </c>
      <c r="G2534">
        <v>437.52472454000002</v>
      </c>
    </row>
    <row r="2535" spans="1:7" x14ac:dyDescent="0.25">
      <c r="A2535" s="2">
        <v>2533</v>
      </c>
      <c r="B2535" t="s">
        <v>2335</v>
      </c>
      <c r="C2535" s="1">
        <v>46129</v>
      </c>
      <c r="D2535">
        <v>91.024860000000004</v>
      </c>
      <c r="E2535">
        <v>365.88023477000002</v>
      </c>
      <c r="F2535">
        <v>366.60206209</v>
      </c>
      <c r="G2535">
        <v>365.88023477000002</v>
      </c>
    </row>
    <row r="2536" spans="1:7" x14ac:dyDescent="0.25">
      <c r="A2536" s="2">
        <v>2534</v>
      </c>
      <c r="B2536" t="s">
        <v>2337</v>
      </c>
      <c r="C2536" s="1">
        <v>46129</v>
      </c>
      <c r="D2536">
        <v>73.262730000000005</v>
      </c>
      <c r="E2536">
        <v>1398.30477737</v>
      </c>
      <c r="F2536">
        <v>1400.3389499800001</v>
      </c>
      <c r="G2536">
        <v>1398.30477737</v>
      </c>
    </row>
    <row r="2537" spans="1:7" x14ac:dyDescent="0.25">
      <c r="A2537" s="2">
        <v>2535</v>
      </c>
      <c r="B2537" t="s">
        <v>2339</v>
      </c>
      <c r="C2537" s="1">
        <v>46129</v>
      </c>
    </row>
    <row r="2538" spans="1:7" x14ac:dyDescent="0.25">
      <c r="A2538" s="2">
        <v>2536</v>
      </c>
      <c r="B2538" t="s">
        <v>2341</v>
      </c>
      <c r="C2538" s="1">
        <v>46129</v>
      </c>
    </row>
    <row r="2539" spans="1:7" x14ac:dyDescent="0.25">
      <c r="A2539" s="2">
        <v>2537</v>
      </c>
      <c r="B2539" t="s">
        <v>2310</v>
      </c>
      <c r="C2539" s="1">
        <v>46129</v>
      </c>
      <c r="D2539">
        <v>98.858080000000001</v>
      </c>
      <c r="E2539">
        <v>758.35685350000006</v>
      </c>
      <c r="F2539">
        <v>756.49410197999998</v>
      </c>
      <c r="G2539">
        <v>758.35685350000006</v>
      </c>
    </row>
    <row r="2540" spans="1:7" x14ac:dyDescent="0.25">
      <c r="A2540" s="2">
        <v>2538</v>
      </c>
      <c r="B2540" t="s">
        <v>2313</v>
      </c>
      <c r="C2540" s="1">
        <v>46129</v>
      </c>
      <c r="D2540">
        <v>100.05370000000001</v>
      </c>
      <c r="E2540">
        <v>494.20064857</v>
      </c>
      <c r="F2540">
        <v>495.71203422000002</v>
      </c>
      <c r="G2540">
        <v>494.20064857</v>
      </c>
    </row>
    <row r="2541" spans="1:7" x14ac:dyDescent="0.25">
      <c r="A2541" s="2">
        <v>2539</v>
      </c>
      <c r="B2541" t="s">
        <v>2315</v>
      </c>
      <c r="C2541" s="1">
        <v>46129</v>
      </c>
      <c r="D2541">
        <v>98.5</v>
      </c>
      <c r="F2541">
        <v>561.05612680000002</v>
      </c>
    </row>
    <row r="2542" spans="1:7" x14ac:dyDescent="0.25">
      <c r="A2542" s="2">
        <v>2540</v>
      </c>
      <c r="B2542" t="s">
        <v>3627</v>
      </c>
      <c r="C2542" s="1">
        <v>46129</v>
      </c>
      <c r="D2542">
        <v>90.375</v>
      </c>
      <c r="F2542">
        <v>974.21363804999999</v>
      </c>
    </row>
    <row r="2543" spans="1:7" x14ac:dyDescent="0.25">
      <c r="A2543" s="2">
        <v>2541</v>
      </c>
      <c r="B2543" t="s">
        <v>3630</v>
      </c>
      <c r="C2543" s="1">
        <v>46129</v>
      </c>
      <c r="D2543">
        <v>80.5</v>
      </c>
      <c r="F2543">
        <v>1008.50134181</v>
      </c>
    </row>
    <row r="2544" spans="1:7" x14ac:dyDescent="0.25">
      <c r="A2544" s="2">
        <v>2542</v>
      </c>
      <c r="B2544" t="s">
        <v>3632</v>
      </c>
      <c r="C2544" s="1">
        <v>46129</v>
      </c>
    </row>
    <row r="2545" spans="1:7" x14ac:dyDescent="0.25">
      <c r="A2545" s="2">
        <v>2543</v>
      </c>
      <c r="B2545" t="s">
        <v>2343</v>
      </c>
      <c r="C2545" s="1">
        <v>46129</v>
      </c>
      <c r="D2545">
        <v>65.5</v>
      </c>
      <c r="F2545">
        <v>2383.4578131899998</v>
      </c>
    </row>
    <row r="2546" spans="1:7" x14ac:dyDescent="0.25">
      <c r="A2546" s="2">
        <v>2544</v>
      </c>
      <c r="B2546" t="s">
        <v>2348</v>
      </c>
      <c r="C2546" s="1">
        <v>46129</v>
      </c>
    </row>
    <row r="2547" spans="1:7" x14ac:dyDescent="0.25">
      <c r="A2547" s="2">
        <v>2545</v>
      </c>
      <c r="B2547" t="s">
        <v>2352</v>
      </c>
      <c r="C2547" s="1">
        <v>46129</v>
      </c>
    </row>
    <row r="2548" spans="1:7" x14ac:dyDescent="0.25">
      <c r="A2548" s="2">
        <v>2546</v>
      </c>
      <c r="B2548" t="s">
        <v>2354</v>
      </c>
      <c r="C2548" s="1">
        <v>46129</v>
      </c>
      <c r="D2548">
        <v>93.375</v>
      </c>
      <c r="F2548">
        <v>1177.631807</v>
      </c>
    </row>
    <row r="2549" spans="1:7" x14ac:dyDescent="0.25">
      <c r="A2549" s="2">
        <v>2547</v>
      </c>
      <c r="B2549" t="s">
        <v>2355</v>
      </c>
      <c r="C2549" s="1">
        <v>46129</v>
      </c>
    </row>
    <row r="2550" spans="1:7" x14ac:dyDescent="0.25">
      <c r="A2550" s="2">
        <v>2548</v>
      </c>
      <c r="B2550" t="s">
        <v>2356</v>
      </c>
      <c r="C2550" s="1">
        <v>46129</v>
      </c>
      <c r="D2550">
        <v>87.84487</v>
      </c>
      <c r="E2550">
        <v>1068.29245795</v>
      </c>
      <c r="F2550">
        <v>1070.13802618</v>
      </c>
      <c r="G2550">
        <v>1068.29245795</v>
      </c>
    </row>
    <row r="2551" spans="1:7" x14ac:dyDescent="0.25">
      <c r="A2551" s="2">
        <v>2549</v>
      </c>
      <c r="B2551" t="s">
        <v>3248</v>
      </c>
      <c r="C2551" s="1">
        <v>46129</v>
      </c>
      <c r="D2551">
        <v>99.429339999999996</v>
      </c>
      <c r="E2551">
        <v>718.77667418999999</v>
      </c>
      <c r="F2551">
        <v>721.20705565000003</v>
      </c>
      <c r="G2551">
        <v>718.77667418999999</v>
      </c>
    </row>
    <row r="2552" spans="1:7" x14ac:dyDescent="0.25">
      <c r="A2552" s="2">
        <v>2550</v>
      </c>
      <c r="B2552" t="s">
        <v>3634</v>
      </c>
      <c r="C2552" s="1">
        <v>46129</v>
      </c>
      <c r="D2552">
        <v>90</v>
      </c>
      <c r="F2552">
        <v>982.79903478999995</v>
      </c>
    </row>
    <row r="2553" spans="1:7" x14ac:dyDescent="0.25">
      <c r="A2553" s="2">
        <v>2551</v>
      </c>
      <c r="B2553" t="s">
        <v>2370</v>
      </c>
      <c r="C2553" s="1">
        <v>46129</v>
      </c>
      <c r="D2553">
        <v>90.809979999999996</v>
      </c>
      <c r="E2553">
        <v>600.82063604999996</v>
      </c>
      <c r="F2553">
        <v>601.80478998000001</v>
      </c>
      <c r="G2553">
        <v>600.82063604999996</v>
      </c>
    </row>
    <row r="2554" spans="1:7" x14ac:dyDescent="0.25">
      <c r="A2554" s="2">
        <v>2552</v>
      </c>
      <c r="B2554" t="s">
        <v>2374</v>
      </c>
      <c r="C2554" s="1">
        <v>46129</v>
      </c>
      <c r="F2554">
        <v>511.53784596999998</v>
      </c>
    </row>
    <row r="2555" spans="1:7" x14ac:dyDescent="0.25">
      <c r="A2555" s="2">
        <v>2553</v>
      </c>
      <c r="B2555" t="s">
        <v>2376</v>
      </c>
      <c r="C2555" s="1">
        <v>46129</v>
      </c>
      <c r="D2555">
        <v>98</v>
      </c>
      <c r="F2555">
        <v>682.71061712999995</v>
      </c>
    </row>
    <row r="2556" spans="1:7" x14ac:dyDescent="0.25">
      <c r="A2556" s="2">
        <v>2554</v>
      </c>
      <c r="B2556" t="s">
        <v>2377</v>
      </c>
      <c r="C2556" s="1">
        <v>46129</v>
      </c>
      <c r="D2556">
        <v>99</v>
      </c>
      <c r="F2556">
        <v>643.64184323999996</v>
      </c>
    </row>
    <row r="2557" spans="1:7" x14ac:dyDescent="0.25">
      <c r="A2557" s="2">
        <v>2555</v>
      </c>
      <c r="B2557" t="s">
        <v>2379</v>
      </c>
      <c r="C2557" s="1">
        <v>46129</v>
      </c>
      <c r="D2557">
        <v>96.25</v>
      </c>
      <c r="F2557">
        <v>598.35959031000004</v>
      </c>
    </row>
    <row r="2558" spans="1:7" x14ac:dyDescent="0.25">
      <c r="A2558" s="2">
        <v>2556</v>
      </c>
      <c r="B2558" t="s">
        <v>2380</v>
      </c>
      <c r="C2558" s="1">
        <v>46129</v>
      </c>
      <c r="D2558">
        <v>87.5</v>
      </c>
    </row>
    <row r="2559" spans="1:7" x14ac:dyDescent="0.25">
      <c r="A2559" s="2">
        <v>2557</v>
      </c>
      <c r="B2559" t="s">
        <v>3826</v>
      </c>
      <c r="C2559" s="1">
        <v>46129</v>
      </c>
      <c r="D2559">
        <v>100.375</v>
      </c>
      <c r="F2559">
        <v>424.52584868000002</v>
      </c>
    </row>
    <row r="2560" spans="1:7" x14ac:dyDescent="0.25">
      <c r="A2560" s="2">
        <v>2558</v>
      </c>
      <c r="B2560" t="s">
        <v>3828</v>
      </c>
      <c r="C2560" s="1">
        <v>46129</v>
      </c>
      <c r="D2560">
        <v>97</v>
      </c>
      <c r="F2560">
        <v>530.51693290000003</v>
      </c>
    </row>
    <row r="2561" spans="1:7" x14ac:dyDescent="0.25">
      <c r="A2561" s="2">
        <v>2559</v>
      </c>
      <c r="B2561" t="s">
        <v>2388</v>
      </c>
      <c r="C2561" s="1">
        <v>46129</v>
      </c>
      <c r="D2561">
        <v>84.794200000000004</v>
      </c>
      <c r="E2561">
        <v>693.4176721</v>
      </c>
      <c r="F2561">
        <v>696.19056431000001</v>
      </c>
      <c r="G2561">
        <v>693.4176721</v>
      </c>
    </row>
    <row r="2562" spans="1:7" x14ac:dyDescent="0.25">
      <c r="A2562" s="2">
        <v>2560</v>
      </c>
      <c r="B2562" t="s">
        <v>2392</v>
      </c>
      <c r="C2562" s="1">
        <v>46129</v>
      </c>
      <c r="D2562">
        <v>92.25</v>
      </c>
      <c r="F2562">
        <v>441.82996430999998</v>
      </c>
    </row>
    <row r="2563" spans="1:7" x14ac:dyDescent="0.25">
      <c r="A2563" s="2">
        <v>2561</v>
      </c>
      <c r="B2563" t="s">
        <v>2394</v>
      </c>
      <c r="C2563" s="1">
        <v>46129</v>
      </c>
    </row>
    <row r="2564" spans="1:7" x14ac:dyDescent="0.25">
      <c r="A2564" s="2">
        <v>2562</v>
      </c>
      <c r="B2564" t="s">
        <v>2396</v>
      </c>
      <c r="C2564" s="1">
        <v>46129</v>
      </c>
      <c r="D2564">
        <v>97.21799</v>
      </c>
      <c r="E2564">
        <v>496.18855773000001</v>
      </c>
      <c r="F2564">
        <v>496.95470562999998</v>
      </c>
      <c r="G2564">
        <v>496.18855773000001</v>
      </c>
    </row>
    <row r="2565" spans="1:7" x14ac:dyDescent="0.25">
      <c r="A2565" s="2">
        <v>2563</v>
      </c>
      <c r="B2565" t="s">
        <v>2400</v>
      </c>
      <c r="C2565" s="1">
        <v>46129</v>
      </c>
      <c r="D2565">
        <v>96.25</v>
      </c>
      <c r="F2565">
        <v>506.7080272</v>
      </c>
    </row>
    <row r="2566" spans="1:7" x14ac:dyDescent="0.25">
      <c r="A2566" s="2">
        <v>2564</v>
      </c>
      <c r="B2566" t="s">
        <v>2402</v>
      </c>
      <c r="C2566" s="1">
        <v>46129</v>
      </c>
      <c r="D2566">
        <v>100.125</v>
      </c>
      <c r="F2566">
        <v>290.53921617999998</v>
      </c>
    </row>
    <row r="2567" spans="1:7" x14ac:dyDescent="0.25">
      <c r="A2567" s="2">
        <v>2565</v>
      </c>
      <c r="B2567" t="s">
        <v>2404</v>
      </c>
      <c r="C2567" s="1">
        <v>46129</v>
      </c>
      <c r="D2567">
        <v>40.630589999999998</v>
      </c>
      <c r="E2567">
        <v>1606.91223001</v>
      </c>
      <c r="F2567">
        <v>1586.9448872</v>
      </c>
      <c r="G2567">
        <v>1606.91223001</v>
      </c>
    </row>
    <row r="2568" spans="1:7" x14ac:dyDescent="0.25">
      <c r="A2568" s="2">
        <v>2566</v>
      </c>
      <c r="B2568" t="s">
        <v>2408</v>
      </c>
      <c r="C2568" s="1">
        <v>46129</v>
      </c>
      <c r="D2568">
        <v>38.956470000000003</v>
      </c>
      <c r="E2568">
        <v>1436.78002122</v>
      </c>
      <c r="F2568">
        <v>1422.2794588500001</v>
      </c>
      <c r="G2568">
        <v>1436.78002122</v>
      </c>
    </row>
    <row r="2569" spans="1:7" x14ac:dyDescent="0.25">
      <c r="A2569" s="2">
        <v>2567</v>
      </c>
      <c r="B2569" t="s">
        <v>2410</v>
      </c>
      <c r="C2569" s="1">
        <v>46129</v>
      </c>
      <c r="D2569">
        <v>76.248649999999998</v>
      </c>
      <c r="E2569">
        <v>1545.0697494399999</v>
      </c>
      <c r="F2569">
        <v>1547.35710303</v>
      </c>
      <c r="G2569">
        <v>1545.0697494399999</v>
      </c>
    </row>
    <row r="2570" spans="1:7" x14ac:dyDescent="0.25">
      <c r="A2570" s="2">
        <v>2568</v>
      </c>
      <c r="B2570" t="s">
        <v>2412</v>
      </c>
      <c r="C2570" s="1">
        <v>46129</v>
      </c>
      <c r="D2570">
        <v>101.875</v>
      </c>
      <c r="F2570">
        <v>449.42587515999998</v>
      </c>
    </row>
    <row r="2571" spans="1:7" x14ac:dyDescent="0.25">
      <c r="A2571" s="2">
        <v>2569</v>
      </c>
      <c r="B2571" t="s">
        <v>2414</v>
      </c>
      <c r="C2571" s="1">
        <v>46129</v>
      </c>
      <c r="D2571">
        <v>102</v>
      </c>
      <c r="F2571">
        <v>534.80495819999999</v>
      </c>
    </row>
    <row r="2572" spans="1:7" x14ac:dyDescent="0.25">
      <c r="A2572" s="2">
        <v>2570</v>
      </c>
      <c r="B2572" t="s">
        <v>2416</v>
      </c>
      <c r="C2572" s="1">
        <v>46129</v>
      </c>
      <c r="D2572">
        <v>102.125</v>
      </c>
      <c r="F2572">
        <v>566.01006574999997</v>
      </c>
    </row>
    <row r="2573" spans="1:7" x14ac:dyDescent="0.25">
      <c r="A2573" s="2">
        <v>2571</v>
      </c>
      <c r="B2573" t="s">
        <v>2418</v>
      </c>
      <c r="C2573" s="1">
        <v>46129</v>
      </c>
    </row>
    <row r="2574" spans="1:7" x14ac:dyDescent="0.25">
      <c r="A2574" s="2">
        <v>2572</v>
      </c>
      <c r="B2574" t="s">
        <v>2420</v>
      </c>
      <c r="C2574" s="1">
        <v>46129</v>
      </c>
      <c r="D2574">
        <v>75.5</v>
      </c>
      <c r="F2574">
        <v>1920.1209979499999</v>
      </c>
    </row>
    <row r="2575" spans="1:7" x14ac:dyDescent="0.25">
      <c r="A2575" s="2">
        <v>2573</v>
      </c>
      <c r="B2575" t="s">
        <v>2421</v>
      </c>
      <c r="C2575" s="1">
        <v>46129</v>
      </c>
      <c r="D2575">
        <v>41.903849999999998</v>
      </c>
      <c r="E2575">
        <v>4106.4061444199997</v>
      </c>
      <c r="F2575">
        <v>4109.8093418899998</v>
      </c>
      <c r="G2575">
        <v>4106.4061444199997</v>
      </c>
    </row>
    <row r="2576" spans="1:7" x14ac:dyDescent="0.25">
      <c r="A2576" s="2">
        <v>2574</v>
      </c>
      <c r="B2576" t="s">
        <v>1742</v>
      </c>
      <c r="C2576" s="1">
        <v>46129</v>
      </c>
      <c r="D2576">
        <v>48.349069999999998</v>
      </c>
      <c r="E2576">
        <v>10503.449450960001</v>
      </c>
      <c r="F2576">
        <v>10161.344399289999</v>
      </c>
      <c r="G2576">
        <v>10503.449450960001</v>
      </c>
    </row>
    <row r="2577" spans="1:7" x14ac:dyDescent="0.25">
      <c r="A2577" s="2">
        <v>2575</v>
      </c>
      <c r="B2577" t="s">
        <v>1746</v>
      </c>
      <c r="C2577" s="1">
        <v>46129</v>
      </c>
      <c r="D2577">
        <v>50.843809999999998</v>
      </c>
      <c r="E2577">
        <v>3204.85324799</v>
      </c>
      <c r="F2577">
        <v>2958.2294749100001</v>
      </c>
      <c r="G2577">
        <v>3204.85324799</v>
      </c>
    </row>
    <row r="2578" spans="1:7" x14ac:dyDescent="0.25">
      <c r="A2578" s="2">
        <v>2576</v>
      </c>
      <c r="B2578" t="s">
        <v>1748</v>
      </c>
      <c r="C2578" s="1">
        <v>46129</v>
      </c>
      <c r="D2578">
        <v>47.808320000000002</v>
      </c>
      <c r="E2578">
        <v>1390.3951487300001</v>
      </c>
      <c r="F2578">
        <v>1329.7528337199999</v>
      </c>
      <c r="G2578">
        <v>1390.3951487300001</v>
      </c>
    </row>
    <row r="2579" spans="1:7" x14ac:dyDescent="0.25">
      <c r="A2579" s="2">
        <v>2577</v>
      </c>
      <c r="B2579" t="s">
        <v>1750</v>
      </c>
      <c r="C2579" s="1">
        <v>46129</v>
      </c>
      <c r="D2579">
        <v>47.808320000000002</v>
      </c>
      <c r="E2579">
        <v>1390.3951487300001</v>
      </c>
      <c r="F2579">
        <v>1329.7528337199999</v>
      </c>
      <c r="G2579">
        <v>1390.3951487300001</v>
      </c>
    </row>
    <row r="2580" spans="1:7" x14ac:dyDescent="0.25">
      <c r="A2580" s="2">
        <v>2578</v>
      </c>
      <c r="B2580" t="s">
        <v>1751</v>
      </c>
      <c r="C2580" s="1">
        <v>46129</v>
      </c>
      <c r="D2580">
        <v>50.360999999999997</v>
      </c>
      <c r="E2580">
        <v>957.43372418000001</v>
      </c>
      <c r="F2580">
        <v>891.94590909999999</v>
      </c>
      <c r="G2580">
        <v>957.43372418000001</v>
      </c>
    </row>
    <row r="2581" spans="1:7" x14ac:dyDescent="0.25">
      <c r="A2581" s="2">
        <v>2579</v>
      </c>
      <c r="B2581" t="s">
        <v>1753</v>
      </c>
      <c r="C2581" s="1">
        <v>46129</v>
      </c>
    </row>
    <row r="2582" spans="1:7" x14ac:dyDescent="0.25">
      <c r="A2582" s="2">
        <v>2580</v>
      </c>
      <c r="B2582" t="s">
        <v>1755</v>
      </c>
      <c r="C2582" s="1">
        <v>46129</v>
      </c>
      <c r="D2582">
        <v>5.0746279999999997</v>
      </c>
      <c r="E2582">
        <v>12876.49465608</v>
      </c>
      <c r="F2582">
        <v>11948.45905773</v>
      </c>
      <c r="G2582">
        <v>12876.49465608</v>
      </c>
    </row>
    <row r="2583" spans="1:7" x14ac:dyDescent="0.25">
      <c r="A2583" s="2">
        <v>2581</v>
      </c>
      <c r="B2583" t="s">
        <v>1757</v>
      </c>
      <c r="C2583" s="1">
        <v>46129</v>
      </c>
      <c r="D2583">
        <v>5.75</v>
      </c>
      <c r="E2583">
        <v>16092.503549790001</v>
      </c>
      <c r="F2583">
        <v>14130.70913634</v>
      </c>
      <c r="G2583">
        <v>16092.503549790001</v>
      </c>
    </row>
    <row r="2584" spans="1:7" x14ac:dyDescent="0.25">
      <c r="A2584" s="2">
        <v>2582</v>
      </c>
      <c r="B2584" t="s">
        <v>1759</v>
      </c>
      <c r="C2584" s="1">
        <v>46129</v>
      </c>
      <c r="D2584">
        <v>4.4341390000000001</v>
      </c>
      <c r="E2584">
        <v>15026.1631884</v>
      </c>
      <c r="F2584">
        <v>14785.03117987</v>
      </c>
      <c r="G2584">
        <v>15026.1631884</v>
      </c>
    </row>
    <row r="2585" spans="1:7" x14ac:dyDescent="0.25">
      <c r="A2585" s="2">
        <v>2583</v>
      </c>
      <c r="B2585" t="s">
        <v>1761</v>
      </c>
      <c r="C2585" s="1">
        <v>46129</v>
      </c>
      <c r="D2585">
        <v>5.0746279999999997</v>
      </c>
      <c r="E2585">
        <v>12876.49465608</v>
      </c>
      <c r="F2585">
        <v>11948.45905773</v>
      </c>
      <c r="G2585">
        <v>12876.49465608</v>
      </c>
    </row>
    <row r="2586" spans="1:7" x14ac:dyDescent="0.25">
      <c r="A2586" s="2">
        <v>2584</v>
      </c>
      <c r="B2586" t="s">
        <v>1762</v>
      </c>
      <c r="C2586" s="1">
        <v>46129</v>
      </c>
      <c r="D2586">
        <v>5.4379999999999997</v>
      </c>
      <c r="E2586">
        <v>18216.879919890001</v>
      </c>
      <c r="F2586">
        <v>16517.169016650001</v>
      </c>
      <c r="G2586">
        <v>18216.879919890001</v>
      </c>
    </row>
    <row r="2587" spans="1:7" x14ac:dyDescent="0.25">
      <c r="A2587" s="2">
        <v>2585</v>
      </c>
      <c r="B2587" t="s">
        <v>1764</v>
      </c>
      <c r="C2587" s="1">
        <v>46129</v>
      </c>
      <c r="D2587">
        <v>4.4341390000000001</v>
      </c>
      <c r="E2587">
        <v>15026.1631884</v>
      </c>
      <c r="F2587">
        <v>14785.03117987</v>
      </c>
      <c r="G2587">
        <v>15026.1631884</v>
      </c>
    </row>
    <row r="2588" spans="1:7" x14ac:dyDescent="0.25">
      <c r="A2588" s="2">
        <v>2586</v>
      </c>
      <c r="B2588" t="s">
        <v>1765</v>
      </c>
      <c r="C2588" s="1">
        <v>46129</v>
      </c>
      <c r="D2588">
        <v>47.140279999999997</v>
      </c>
      <c r="E2588">
        <v>4017.3449181599999</v>
      </c>
      <c r="F2588">
        <v>3864.1908940799999</v>
      </c>
      <c r="G2588">
        <v>4017.3449181599999</v>
      </c>
    </row>
    <row r="2589" spans="1:7" x14ac:dyDescent="0.25">
      <c r="A2589" s="2">
        <v>2587</v>
      </c>
      <c r="B2589" t="s">
        <v>1767</v>
      </c>
      <c r="C2589" s="1">
        <v>46129</v>
      </c>
      <c r="D2589">
        <v>57.5</v>
      </c>
    </row>
    <row r="2590" spans="1:7" x14ac:dyDescent="0.25">
      <c r="A2590" s="2">
        <v>2588</v>
      </c>
      <c r="B2590" t="s">
        <v>1769</v>
      </c>
      <c r="C2590" s="1">
        <v>46129</v>
      </c>
      <c r="D2590">
        <v>2.02</v>
      </c>
    </row>
    <row r="2591" spans="1:7" x14ac:dyDescent="0.25">
      <c r="A2591" s="2">
        <v>2589</v>
      </c>
      <c r="B2591" t="s">
        <v>1771</v>
      </c>
      <c r="C2591" s="1">
        <v>46129</v>
      </c>
    </row>
    <row r="2592" spans="1:7" x14ac:dyDescent="0.25">
      <c r="A2592" s="2">
        <v>2590</v>
      </c>
      <c r="B2592" t="s">
        <v>1773</v>
      </c>
      <c r="C2592" s="1">
        <v>46129</v>
      </c>
    </row>
    <row r="2593" spans="1:7" x14ac:dyDescent="0.25">
      <c r="A2593" s="2">
        <v>2591</v>
      </c>
      <c r="B2593" t="s">
        <v>3830</v>
      </c>
      <c r="C2593" s="1">
        <v>46129</v>
      </c>
      <c r="D2593">
        <v>172.26259999999999</v>
      </c>
      <c r="E2593">
        <v>-1111.1234736599999</v>
      </c>
      <c r="F2593">
        <v>-1109.28360441</v>
      </c>
      <c r="G2593">
        <v>-1111.1234736599999</v>
      </c>
    </row>
    <row r="2594" spans="1:7" x14ac:dyDescent="0.25">
      <c r="A2594" s="2">
        <v>2592</v>
      </c>
      <c r="B2594" t="s">
        <v>3836</v>
      </c>
      <c r="C2594" s="1">
        <v>46129</v>
      </c>
      <c r="D2594">
        <v>76.709500000000006</v>
      </c>
      <c r="E2594">
        <v>324.47477242999997</v>
      </c>
      <c r="F2594">
        <v>326.31681929000001</v>
      </c>
      <c r="G2594">
        <v>324.47477242999997</v>
      </c>
    </row>
    <row r="2595" spans="1:7" x14ac:dyDescent="0.25">
      <c r="A2595" s="2">
        <v>2593</v>
      </c>
      <c r="B2595" t="s">
        <v>3838</v>
      </c>
      <c r="C2595" s="1">
        <v>46129</v>
      </c>
    </row>
    <row r="2596" spans="1:7" x14ac:dyDescent="0.25">
      <c r="A2596" s="2">
        <v>2594</v>
      </c>
      <c r="B2596" t="s">
        <v>2425</v>
      </c>
      <c r="C2596" s="1">
        <v>46129</v>
      </c>
      <c r="D2596">
        <v>95.084389999999999</v>
      </c>
      <c r="E2596">
        <v>830.79600677999997</v>
      </c>
      <c r="F2596">
        <v>833.26690212999995</v>
      </c>
      <c r="G2596">
        <v>830.79600677999997</v>
      </c>
    </row>
    <row r="2597" spans="1:7" x14ac:dyDescent="0.25">
      <c r="A2597" s="2">
        <v>2595</v>
      </c>
      <c r="B2597" t="s">
        <v>2429</v>
      </c>
      <c r="C2597" s="1">
        <v>46129</v>
      </c>
    </row>
    <row r="2598" spans="1:7" x14ac:dyDescent="0.25">
      <c r="A2598" s="2">
        <v>2596</v>
      </c>
      <c r="B2598" t="s">
        <v>2431</v>
      </c>
      <c r="C2598" s="1">
        <v>46129</v>
      </c>
      <c r="D2598">
        <v>66.753200000000007</v>
      </c>
    </row>
    <row r="2599" spans="1:7" x14ac:dyDescent="0.25">
      <c r="A2599" s="2">
        <v>2597</v>
      </c>
      <c r="B2599" t="s">
        <v>2436</v>
      </c>
      <c r="C2599" s="1">
        <v>46129</v>
      </c>
      <c r="D2599">
        <v>49.351379999999999</v>
      </c>
      <c r="E2599">
        <v>873.66237877000003</v>
      </c>
      <c r="F2599">
        <v>860.46109680999996</v>
      </c>
      <c r="G2599">
        <v>873.66237877000003</v>
      </c>
    </row>
    <row r="2600" spans="1:7" x14ac:dyDescent="0.25">
      <c r="A2600" s="2">
        <v>2598</v>
      </c>
      <c r="B2600" t="s">
        <v>2438</v>
      </c>
      <c r="C2600" s="1">
        <v>46129</v>
      </c>
      <c r="D2600">
        <v>53.354640000000003</v>
      </c>
      <c r="E2600">
        <v>2043.77339276</v>
      </c>
      <c r="F2600">
        <v>2046.3987649200001</v>
      </c>
      <c r="G2600">
        <v>2043.77339276</v>
      </c>
    </row>
    <row r="2601" spans="1:7" x14ac:dyDescent="0.25">
      <c r="A2601" s="2">
        <v>2599</v>
      </c>
      <c r="B2601" t="s">
        <v>2440</v>
      </c>
      <c r="C2601" s="1">
        <v>46129</v>
      </c>
    </row>
    <row r="2602" spans="1:7" x14ac:dyDescent="0.25">
      <c r="A2602" s="2">
        <v>2600</v>
      </c>
      <c r="B2602" t="s">
        <v>2443</v>
      </c>
      <c r="C2602" s="1">
        <v>46129</v>
      </c>
    </row>
    <row r="2603" spans="1:7" x14ac:dyDescent="0.25">
      <c r="A2603" s="2">
        <v>2601</v>
      </c>
      <c r="B2603" t="s">
        <v>2446</v>
      </c>
      <c r="C2603" s="1">
        <v>46129</v>
      </c>
      <c r="D2603">
        <v>52.958240000000004</v>
      </c>
      <c r="E2603">
        <v>1686.58425921</v>
      </c>
      <c r="F2603">
        <v>1686.6661838299999</v>
      </c>
      <c r="G2603">
        <v>1686.58425921</v>
      </c>
    </row>
    <row r="2604" spans="1:7" x14ac:dyDescent="0.25">
      <c r="A2604" s="2">
        <v>2602</v>
      </c>
      <c r="B2604" t="s">
        <v>2448</v>
      </c>
      <c r="C2604" s="1">
        <v>46129</v>
      </c>
      <c r="D2604">
        <v>53.943420000000003</v>
      </c>
      <c r="E2604">
        <v>2242.36378061</v>
      </c>
      <c r="F2604">
        <v>2244.3377225899999</v>
      </c>
      <c r="G2604">
        <v>2242.36378061</v>
      </c>
    </row>
    <row r="2605" spans="1:7" x14ac:dyDescent="0.25">
      <c r="A2605" s="2">
        <v>2603</v>
      </c>
      <c r="B2605" t="s">
        <v>2450</v>
      </c>
      <c r="C2605" s="1">
        <v>46129</v>
      </c>
      <c r="D2605">
        <v>1019.437</v>
      </c>
    </row>
    <row r="2606" spans="1:7" x14ac:dyDescent="0.25">
      <c r="A2606" s="2">
        <v>2604</v>
      </c>
      <c r="B2606" t="s">
        <v>2452</v>
      </c>
      <c r="C2606" s="1">
        <v>46129</v>
      </c>
      <c r="D2606">
        <v>52.91713</v>
      </c>
      <c r="E2606">
        <v>1596.9873588</v>
      </c>
      <c r="F2606">
        <v>1594.2351308499999</v>
      </c>
      <c r="G2606">
        <v>1596.9873588</v>
      </c>
    </row>
    <row r="2607" spans="1:7" x14ac:dyDescent="0.25">
      <c r="A2607" s="2">
        <v>2605</v>
      </c>
      <c r="B2607" t="s">
        <v>2454</v>
      </c>
      <c r="C2607" s="1">
        <v>46129</v>
      </c>
    </row>
    <row r="2608" spans="1:7" x14ac:dyDescent="0.25">
      <c r="A2608" s="2">
        <v>2606</v>
      </c>
      <c r="B2608" t="s">
        <v>2456</v>
      </c>
      <c r="C2608" s="1">
        <v>46129</v>
      </c>
      <c r="D2608">
        <v>51.527720000000002</v>
      </c>
      <c r="E2608">
        <v>1172.9004141600001</v>
      </c>
      <c r="F2608">
        <v>1161.2338924999999</v>
      </c>
      <c r="G2608">
        <v>1172.9004141600001</v>
      </c>
    </row>
    <row r="2609" spans="1:7" x14ac:dyDescent="0.25">
      <c r="A2609" s="2">
        <v>2607</v>
      </c>
      <c r="B2609" t="s">
        <v>2458</v>
      </c>
      <c r="C2609" s="1">
        <v>46129</v>
      </c>
    </row>
    <row r="2610" spans="1:7" x14ac:dyDescent="0.25">
      <c r="A2610" s="2">
        <v>2608</v>
      </c>
      <c r="B2610" t="s">
        <v>2461</v>
      </c>
      <c r="C2610" s="1">
        <v>46129</v>
      </c>
    </row>
    <row r="2611" spans="1:7" x14ac:dyDescent="0.25">
      <c r="A2611" s="2">
        <v>2609</v>
      </c>
      <c r="B2611" t="s">
        <v>2464</v>
      </c>
      <c r="C2611" s="1">
        <v>46129</v>
      </c>
      <c r="D2611">
        <v>66.7209</v>
      </c>
    </row>
    <row r="2612" spans="1:7" x14ac:dyDescent="0.25">
      <c r="A2612" s="2">
        <v>2610</v>
      </c>
      <c r="B2612" t="s">
        <v>2466</v>
      </c>
      <c r="C2612" s="1">
        <v>46129</v>
      </c>
      <c r="E2612">
        <v>4806.0322247499998</v>
      </c>
      <c r="F2612">
        <v>5904.66195126</v>
      </c>
      <c r="G2612">
        <v>4806.0322247499998</v>
      </c>
    </row>
    <row r="2613" spans="1:7" x14ac:dyDescent="0.25">
      <c r="A2613" s="2">
        <v>2611</v>
      </c>
      <c r="B2613" t="s">
        <v>2468</v>
      </c>
      <c r="C2613" s="1">
        <v>46129</v>
      </c>
      <c r="D2613">
        <v>55.396239999999999</v>
      </c>
      <c r="E2613">
        <v>4031.8574997000001</v>
      </c>
      <c r="F2613">
        <v>4035.5680013000001</v>
      </c>
      <c r="G2613">
        <v>4031.8574997000001</v>
      </c>
    </row>
    <row r="2614" spans="1:7" x14ac:dyDescent="0.25">
      <c r="A2614" s="2">
        <v>2612</v>
      </c>
      <c r="B2614" t="s">
        <v>2470</v>
      </c>
      <c r="C2614" s="1">
        <v>46129</v>
      </c>
    </row>
    <row r="2615" spans="1:7" x14ac:dyDescent="0.25">
      <c r="A2615" s="2">
        <v>2613</v>
      </c>
      <c r="B2615" t="s">
        <v>2472</v>
      </c>
      <c r="C2615" s="1">
        <v>46129</v>
      </c>
    </row>
    <row r="2616" spans="1:7" x14ac:dyDescent="0.25">
      <c r="A2616" s="2">
        <v>2614</v>
      </c>
      <c r="B2616" t="s">
        <v>2474</v>
      </c>
      <c r="C2616" s="1">
        <v>46129</v>
      </c>
    </row>
    <row r="2617" spans="1:7" x14ac:dyDescent="0.25">
      <c r="A2617" s="2">
        <v>2615</v>
      </c>
      <c r="B2617" t="s">
        <v>2476</v>
      </c>
      <c r="C2617" s="1">
        <v>46129</v>
      </c>
    </row>
    <row r="2618" spans="1:7" x14ac:dyDescent="0.25">
      <c r="A2618" s="2">
        <v>2616</v>
      </c>
      <c r="B2618" t="s">
        <v>2478</v>
      </c>
      <c r="C2618" s="1">
        <v>46129</v>
      </c>
    </row>
    <row r="2619" spans="1:7" x14ac:dyDescent="0.25">
      <c r="A2619" s="2">
        <v>2617</v>
      </c>
      <c r="B2619" t="s">
        <v>2479</v>
      </c>
      <c r="C2619" s="1">
        <v>46129</v>
      </c>
      <c r="D2619">
        <v>83.5</v>
      </c>
      <c r="F2619">
        <v>1009.60465614</v>
      </c>
    </row>
    <row r="2620" spans="1:7" x14ac:dyDescent="0.25">
      <c r="A2620" s="2">
        <v>2618</v>
      </c>
      <c r="B2620" t="s">
        <v>2480</v>
      </c>
      <c r="C2620" s="1">
        <v>46129</v>
      </c>
    </row>
    <row r="2621" spans="1:7" x14ac:dyDescent="0.25">
      <c r="A2621" s="2">
        <v>2619</v>
      </c>
      <c r="B2621" t="s">
        <v>2482</v>
      </c>
      <c r="C2621" s="1">
        <v>46129</v>
      </c>
    </row>
    <row r="2622" spans="1:7" x14ac:dyDescent="0.25">
      <c r="A2622" s="2">
        <v>2620</v>
      </c>
      <c r="B2622" t="s">
        <v>2484</v>
      </c>
      <c r="C2622" s="1">
        <v>46129</v>
      </c>
    </row>
    <row r="2623" spans="1:7" x14ac:dyDescent="0.25">
      <c r="A2623" s="2">
        <v>2621</v>
      </c>
      <c r="B2623" t="s">
        <v>2485</v>
      </c>
      <c r="C2623" s="1">
        <v>46129</v>
      </c>
    </row>
    <row r="2624" spans="1:7" x14ac:dyDescent="0.25">
      <c r="A2624" s="2">
        <v>2622</v>
      </c>
      <c r="B2624" t="s">
        <v>3841</v>
      </c>
      <c r="C2624" s="1">
        <v>46129</v>
      </c>
      <c r="D2624">
        <v>100.3874</v>
      </c>
      <c r="E2624">
        <v>494.93375384000001</v>
      </c>
      <c r="F2624">
        <v>497.35438135999999</v>
      </c>
      <c r="G2624">
        <v>494.93375384000001</v>
      </c>
    </row>
    <row r="2625" spans="1:7" x14ac:dyDescent="0.25">
      <c r="A2625" s="2">
        <v>2623</v>
      </c>
      <c r="B2625" t="s">
        <v>3845</v>
      </c>
      <c r="C2625" s="1">
        <v>46129</v>
      </c>
      <c r="D2625">
        <v>90.981849999999994</v>
      </c>
      <c r="E2625">
        <v>674.45287599999995</v>
      </c>
      <c r="F2625">
        <v>677.44193174999998</v>
      </c>
      <c r="G2625">
        <v>674.45287599999995</v>
      </c>
    </row>
    <row r="2626" spans="1:7" x14ac:dyDescent="0.25">
      <c r="A2626" s="2">
        <v>2624</v>
      </c>
      <c r="B2626" t="s">
        <v>3847</v>
      </c>
      <c r="C2626" s="1">
        <v>46129</v>
      </c>
      <c r="D2626">
        <v>96</v>
      </c>
      <c r="F2626">
        <v>674.44683849</v>
      </c>
    </row>
    <row r="2627" spans="1:7" x14ac:dyDescent="0.25">
      <c r="A2627" s="2">
        <v>2625</v>
      </c>
      <c r="B2627" t="s">
        <v>3849</v>
      </c>
      <c r="C2627" s="1">
        <v>46129</v>
      </c>
      <c r="D2627">
        <v>96.25</v>
      </c>
      <c r="F2627">
        <v>555.84502749000001</v>
      </c>
    </row>
    <row r="2628" spans="1:7" x14ac:dyDescent="0.25">
      <c r="A2628" s="2">
        <v>2626</v>
      </c>
      <c r="B2628" t="s">
        <v>2486</v>
      </c>
      <c r="C2628" s="1">
        <v>46129</v>
      </c>
      <c r="D2628">
        <v>82.673609999999996</v>
      </c>
      <c r="F2628">
        <v>1530.1700654199999</v>
      </c>
    </row>
    <row r="2629" spans="1:7" x14ac:dyDescent="0.25">
      <c r="A2629" s="2">
        <v>2627</v>
      </c>
      <c r="B2629" t="s">
        <v>2490</v>
      </c>
      <c r="C2629" s="1">
        <v>46129</v>
      </c>
      <c r="D2629">
        <v>81.432209999999998</v>
      </c>
      <c r="F2629">
        <v>1771.6850490100001</v>
      </c>
    </row>
    <row r="2630" spans="1:7" x14ac:dyDescent="0.25">
      <c r="A2630" s="2">
        <v>2628</v>
      </c>
      <c r="B2630" t="s">
        <v>2494</v>
      </c>
      <c r="C2630" s="1">
        <v>46129</v>
      </c>
    </row>
    <row r="2631" spans="1:7" x14ac:dyDescent="0.25">
      <c r="A2631" s="2">
        <v>2629</v>
      </c>
      <c r="B2631" t="s">
        <v>2497</v>
      </c>
      <c r="C2631" s="1">
        <v>46129</v>
      </c>
    </row>
    <row r="2632" spans="1:7" x14ac:dyDescent="0.25">
      <c r="A2632" s="2">
        <v>2630</v>
      </c>
      <c r="B2632" t="s">
        <v>2498</v>
      </c>
      <c r="C2632" s="1">
        <v>46129</v>
      </c>
      <c r="D2632">
        <v>51.362439999999999</v>
      </c>
    </row>
    <row r="2633" spans="1:7" x14ac:dyDescent="0.25">
      <c r="A2633" s="2">
        <v>2631</v>
      </c>
      <c r="B2633" t="s">
        <v>2500</v>
      </c>
      <c r="C2633" s="1">
        <v>46129</v>
      </c>
    </row>
    <row r="2634" spans="1:7" x14ac:dyDescent="0.25">
      <c r="A2634" s="2">
        <v>2632</v>
      </c>
      <c r="B2634" t="s">
        <v>2501</v>
      </c>
      <c r="C2634" s="1">
        <v>46129</v>
      </c>
    </row>
    <row r="2635" spans="1:7" x14ac:dyDescent="0.25">
      <c r="A2635" s="2">
        <v>2633</v>
      </c>
      <c r="B2635" t="s">
        <v>2502</v>
      </c>
      <c r="C2635" s="1">
        <v>46129</v>
      </c>
    </row>
    <row r="2636" spans="1:7" x14ac:dyDescent="0.25">
      <c r="A2636" s="2">
        <v>2634</v>
      </c>
      <c r="B2636" t="s">
        <v>2504</v>
      </c>
      <c r="C2636" s="1">
        <v>46129</v>
      </c>
    </row>
    <row r="2637" spans="1:7" x14ac:dyDescent="0.25">
      <c r="A2637" s="2">
        <v>2635</v>
      </c>
      <c r="B2637" t="s">
        <v>2505</v>
      </c>
      <c r="C2637" s="1">
        <v>46129</v>
      </c>
    </row>
    <row r="2638" spans="1:7" x14ac:dyDescent="0.25">
      <c r="A2638" s="2">
        <v>2636</v>
      </c>
      <c r="B2638" t="s">
        <v>2506</v>
      </c>
      <c r="C2638" s="1">
        <v>46129</v>
      </c>
    </row>
    <row r="2639" spans="1:7" x14ac:dyDescent="0.25">
      <c r="A2639" s="2">
        <v>2637</v>
      </c>
      <c r="B2639" t="s">
        <v>3851</v>
      </c>
      <c r="C2639" s="1">
        <v>46129</v>
      </c>
      <c r="E2639">
        <v>544.09132462000002</v>
      </c>
      <c r="F2639">
        <v>545.79345360000002</v>
      </c>
      <c r="G2639">
        <v>544.09132462000002</v>
      </c>
    </row>
    <row r="2640" spans="1:7" x14ac:dyDescent="0.25">
      <c r="A2640" s="2">
        <v>2638</v>
      </c>
      <c r="B2640" t="s">
        <v>2508</v>
      </c>
      <c r="C2640" s="1">
        <v>46129</v>
      </c>
      <c r="D2640">
        <v>98.816649999999996</v>
      </c>
      <c r="E2640">
        <v>820.76451064000003</v>
      </c>
      <c r="F2640">
        <v>822.83253456</v>
      </c>
      <c r="G2640">
        <v>820.76451064000003</v>
      </c>
    </row>
    <row r="2641" spans="1:7" x14ac:dyDescent="0.25">
      <c r="A2641" s="2">
        <v>2639</v>
      </c>
      <c r="B2641" t="s">
        <v>1631</v>
      </c>
      <c r="C2641" s="1">
        <v>46129</v>
      </c>
      <c r="D2641">
        <v>92.266090000000005</v>
      </c>
      <c r="E2641">
        <v>1047.9810909</v>
      </c>
      <c r="F2641">
        <v>1050.7640709699999</v>
      </c>
      <c r="G2641">
        <v>1047.9810909</v>
      </c>
    </row>
    <row r="2642" spans="1:7" x14ac:dyDescent="0.25">
      <c r="A2642" s="2">
        <v>2640</v>
      </c>
      <c r="B2642" t="s">
        <v>1635</v>
      </c>
      <c r="C2642" s="1">
        <v>46129</v>
      </c>
      <c r="D2642">
        <v>98.704819999999998</v>
      </c>
      <c r="E2642">
        <v>1257.9682785499999</v>
      </c>
      <c r="F2642">
        <v>1285.4533494499999</v>
      </c>
      <c r="G2642">
        <v>1257.9682785499999</v>
      </c>
    </row>
    <row r="2643" spans="1:7" x14ac:dyDescent="0.25">
      <c r="A2643" s="2">
        <v>2641</v>
      </c>
      <c r="B2643" t="s">
        <v>1637</v>
      </c>
      <c r="C2643" s="1">
        <v>46129</v>
      </c>
      <c r="D2643">
        <v>94.412639999999996</v>
      </c>
      <c r="E2643">
        <v>1527.52004455</v>
      </c>
      <c r="F2643">
        <v>1530.39347017</v>
      </c>
      <c r="G2643">
        <v>1527.52004455</v>
      </c>
    </row>
    <row r="2644" spans="1:7" x14ac:dyDescent="0.25">
      <c r="A2644" s="2">
        <v>2642</v>
      </c>
      <c r="B2644" t="s">
        <v>1639</v>
      </c>
      <c r="C2644" s="1">
        <v>46129</v>
      </c>
      <c r="D2644">
        <v>87.25</v>
      </c>
      <c r="F2644">
        <v>1182.4147261099999</v>
      </c>
    </row>
    <row r="2645" spans="1:7" x14ac:dyDescent="0.25">
      <c r="A2645" s="2">
        <v>2643</v>
      </c>
      <c r="B2645" t="s">
        <v>1641</v>
      </c>
      <c r="C2645" s="1">
        <v>46129</v>
      </c>
      <c r="D2645">
        <v>87.75</v>
      </c>
      <c r="F2645">
        <v>731.36689818000002</v>
      </c>
    </row>
    <row r="2646" spans="1:7" x14ac:dyDescent="0.25">
      <c r="A2646" s="2">
        <v>2644</v>
      </c>
      <c r="B2646" t="s">
        <v>1643</v>
      </c>
      <c r="C2646" s="1">
        <v>46129</v>
      </c>
    </row>
    <row r="2647" spans="1:7" x14ac:dyDescent="0.25">
      <c r="A2647" s="2">
        <v>2645</v>
      </c>
      <c r="B2647" t="s">
        <v>3855</v>
      </c>
      <c r="C2647" s="1">
        <v>46129</v>
      </c>
      <c r="D2647">
        <v>94.740539999999996</v>
      </c>
      <c r="E2647">
        <v>669.32891116999997</v>
      </c>
      <c r="F2647">
        <v>671.09601448000001</v>
      </c>
      <c r="G2647">
        <v>669.32891116999997</v>
      </c>
    </row>
    <row r="2648" spans="1:7" x14ac:dyDescent="0.25">
      <c r="A2648" s="2">
        <v>2646</v>
      </c>
      <c r="B2648" t="s">
        <v>3859</v>
      </c>
      <c r="C2648" s="1">
        <v>46129</v>
      </c>
      <c r="D2648">
        <v>101.4098</v>
      </c>
      <c r="E2648">
        <v>386.15911627999998</v>
      </c>
      <c r="F2648">
        <v>388.54694266000001</v>
      </c>
      <c r="G2648">
        <v>386.15911627999998</v>
      </c>
    </row>
    <row r="2649" spans="1:7" x14ac:dyDescent="0.25">
      <c r="A2649" s="2">
        <v>2647</v>
      </c>
      <c r="B2649" t="s">
        <v>3861</v>
      </c>
      <c r="C2649" s="1">
        <v>46129</v>
      </c>
      <c r="D2649">
        <v>99.5</v>
      </c>
      <c r="F2649">
        <v>494.59567464999998</v>
      </c>
    </row>
    <row r="2650" spans="1:7" x14ac:dyDescent="0.25">
      <c r="A2650" s="2">
        <v>2648</v>
      </c>
      <c r="B2650" t="s">
        <v>3863</v>
      </c>
      <c r="C2650" s="1">
        <v>46129</v>
      </c>
    </row>
    <row r="2651" spans="1:7" x14ac:dyDescent="0.25">
      <c r="A2651" s="2">
        <v>2649</v>
      </c>
      <c r="B2651" t="s">
        <v>2512</v>
      </c>
      <c r="C2651" s="1">
        <v>46129</v>
      </c>
      <c r="D2651">
        <v>99.799660000000003</v>
      </c>
      <c r="F2651">
        <v>931.52131508000002</v>
      </c>
    </row>
    <row r="2652" spans="1:7" x14ac:dyDescent="0.25">
      <c r="A2652" s="2">
        <v>2650</v>
      </c>
      <c r="B2652" t="s">
        <v>2516</v>
      </c>
      <c r="C2652" s="1">
        <v>46129</v>
      </c>
    </row>
    <row r="2653" spans="1:7" x14ac:dyDescent="0.25">
      <c r="A2653" s="2">
        <v>2651</v>
      </c>
      <c r="B2653" t="s">
        <v>2518</v>
      </c>
      <c r="C2653" s="1">
        <v>46129</v>
      </c>
      <c r="D2653">
        <v>82.667400000000001</v>
      </c>
      <c r="E2653">
        <v>990.52004148000003</v>
      </c>
      <c r="F2653">
        <v>993.02999686999999</v>
      </c>
      <c r="G2653">
        <v>990.52004148000003</v>
      </c>
    </row>
    <row r="2654" spans="1:7" x14ac:dyDescent="0.25">
      <c r="A2654" s="2">
        <v>2652</v>
      </c>
      <c r="B2654" t="s">
        <v>2522</v>
      </c>
      <c r="C2654" s="1">
        <v>46129</v>
      </c>
      <c r="D2654">
        <v>93.25</v>
      </c>
      <c r="F2654">
        <v>807.69701895000003</v>
      </c>
    </row>
    <row r="2655" spans="1:7" x14ac:dyDescent="0.25">
      <c r="A2655" s="2">
        <v>2653</v>
      </c>
      <c r="B2655" t="s">
        <v>2524</v>
      </c>
      <c r="C2655" s="1">
        <v>46129</v>
      </c>
      <c r="D2655">
        <v>95</v>
      </c>
      <c r="F2655">
        <v>736.36338394999996</v>
      </c>
    </row>
    <row r="2656" spans="1:7" x14ac:dyDescent="0.25">
      <c r="A2656" s="2">
        <v>2654</v>
      </c>
      <c r="B2656" t="s">
        <v>2525</v>
      </c>
      <c r="C2656" s="1">
        <v>46129</v>
      </c>
      <c r="D2656">
        <v>71.451480000000004</v>
      </c>
      <c r="E2656">
        <v>1367.2843133700001</v>
      </c>
      <c r="F2656">
        <v>1369.6741957300001</v>
      </c>
      <c r="G2656">
        <v>1367.2843133700001</v>
      </c>
    </row>
    <row r="2657" spans="1:7" x14ac:dyDescent="0.25">
      <c r="A2657" s="2">
        <v>2655</v>
      </c>
      <c r="B2657" t="s">
        <v>2529</v>
      </c>
      <c r="C2657" s="1">
        <v>46129</v>
      </c>
    </row>
    <row r="2658" spans="1:7" x14ac:dyDescent="0.25">
      <c r="A2658" s="2">
        <v>2656</v>
      </c>
      <c r="B2658" t="s">
        <v>2531</v>
      </c>
      <c r="C2658" s="1">
        <v>46129</v>
      </c>
      <c r="D2658">
        <v>80.59854</v>
      </c>
      <c r="E2658">
        <v>1455.13537795</v>
      </c>
      <c r="F2658">
        <v>1458.95325112</v>
      </c>
      <c r="G2658">
        <v>1455.13537795</v>
      </c>
    </row>
    <row r="2659" spans="1:7" x14ac:dyDescent="0.25">
      <c r="A2659" s="2">
        <v>2657</v>
      </c>
      <c r="B2659" t="s">
        <v>2535</v>
      </c>
      <c r="C2659" s="1">
        <v>46129</v>
      </c>
      <c r="D2659">
        <v>88.327100000000002</v>
      </c>
      <c r="E2659">
        <v>1003.17252457</v>
      </c>
      <c r="F2659">
        <v>1005.96012047</v>
      </c>
      <c r="G2659">
        <v>1003.17252457</v>
      </c>
    </row>
    <row r="2660" spans="1:7" x14ac:dyDescent="0.25">
      <c r="A2660" s="2">
        <v>2658</v>
      </c>
      <c r="B2660" t="s">
        <v>2537</v>
      </c>
      <c r="C2660" s="1">
        <v>46129</v>
      </c>
      <c r="D2660">
        <v>87.5</v>
      </c>
      <c r="F2660">
        <v>812.72565821000001</v>
      </c>
    </row>
    <row r="2661" spans="1:7" x14ac:dyDescent="0.25">
      <c r="A2661" s="2">
        <v>2659</v>
      </c>
      <c r="B2661" t="s">
        <v>2539</v>
      </c>
      <c r="C2661" s="1">
        <v>46129</v>
      </c>
      <c r="E2661">
        <v>2394.73370475</v>
      </c>
      <c r="F2661">
        <v>2397.0286950099999</v>
      </c>
      <c r="G2661">
        <v>2394.73370475</v>
      </c>
    </row>
    <row r="2662" spans="1:7" x14ac:dyDescent="0.25">
      <c r="A2662" s="2">
        <v>2660</v>
      </c>
      <c r="B2662" t="s">
        <v>2543</v>
      </c>
      <c r="C2662" s="1">
        <v>46129</v>
      </c>
      <c r="D2662">
        <v>88.603539999999995</v>
      </c>
      <c r="E2662">
        <v>1284.63927956</v>
      </c>
      <c r="F2662">
        <v>1272.3097538699999</v>
      </c>
      <c r="G2662">
        <v>1284.63927956</v>
      </c>
    </row>
    <row r="2663" spans="1:7" x14ac:dyDescent="0.25">
      <c r="A2663" s="2">
        <v>2661</v>
      </c>
      <c r="B2663" t="s">
        <v>2545</v>
      </c>
      <c r="C2663" s="1">
        <v>46129</v>
      </c>
      <c r="D2663">
        <v>90.336929999999995</v>
      </c>
      <c r="E2663">
        <v>898.09713384999998</v>
      </c>
      <c r="F2663">
        <v>899.18816577999996</v>
      </c>
      <c r="G2663">
        <v>898.09713384999998</v>
      </c>
    </row>
    <row r="2664" spans="1:7" x14ac:dyDescent="0.25">
      <c r="A2664" s="2">
        <v>2662</v>
      </c>
      <c r="B2664" t="s">
        <v>2547</v>
      </c>
      <c r="C2664" s="1">
        <v>46129</v>
      </c>
    </row>
    <row r="2665" spans="1:7" x14ac:dyDescent="0.25">
      <c r="A2665" s="2">
        <v>2663</v>
      </c>
      <c r="B2665" t="s">
        <v>2555</v>
      </c>
      <c r="C2665" s="1">
        <v>46129</v>
      </c>
      <c r="D2665">
        <v>131.23589999999999</v>
      </c>
      <c r="E2665">
        <v>-586.24685373</v>
      </c>
      <c r="F2665">
        <v>-584.14553509999996</v>
      </c>
      <c r="G2665">
        <v>-586.24685373</v>
      </c>
    </row>
    <row r="2666" spans="1:7" x14ac:dyDescent="0.25">
      <c r="A2666" s="2">
        <v>2664</v>
      </c>
      <c r="B2666" t="s">
        <v>2560</v>
      </c>
      <c r="C2666" s="1">
        <v>46129</v>
      </c>
      <c r="D2666">
        <v>76.739140000000006</v>
      </c>
      <c r="E2666">
        <v>1314.47152755</v>
      </c>
      <c r="F2666">
        <v>1316.5969099599999</v>
      </c>
      <c r="G2666">
        <v>1314.47152755</v>
      </c>
    </row>
    <row r="2667" spans="1:7" x14ac:dyDescent="0.25">
      <c r="A2667" s="2">
        <v>2665</v>
      </c>
      <c r="B2667" t="s">
        <v>2562</v>
      </c>
      <c r="C2667" s="1">
        <v>46129</v>
      </c>
    </row>
    <row r="2668" spans="1:7" x14ac:dyDescent="0.25">
      <c r="A2668" s="2">
        <v>2666</v>
      </c>
      <c r="B2668" t="s">
        <v>2564</v>
      </c>
      <c r="C2668" s="1">
        <v>46129</v>
      </c>
      <c r="D2668">
        <v>72.172409999999999</v>
      </c>
      <c r="E2668">
        <v>1571.4510762</v>
      </c>
      <c r="F2668">
        <v>1573.7225411700001</v>
      </c>
      <c r="G2668">
        <v>1571.4510762</v>
      </c>
    </row>
    <row r="2669" spans="1:7" x14ac:dyDescent="0.25">
      <c r="A2669" s="2">
        <v>2667</v>
      </c>
      <c r="B2669" t="s">
        <v>2568</v>
      </c>
      <c r="C2669" s="1">
        <v>46129</v>
      </c>
      <c r="D2669">
        <v>73</v>
      </c>
      <c r="F2669">
        <v>1497.4871245100001</v>
      </c>
    </row>
    <row r="2670" spans="1:7" x14ac:dyDescent="0.25">
      <c r="A2670" s="2">
        <v>2668</v>
      </c>
      <c r="B2670" t="s">
        <v>2570</v>
      </c>
      <c r="C2670" s="1">
        <v>46129</v>
      </c>
    </row>
    <row r="2671" spans="1:7" x14ac:dyDescent="0.25">
      <c r="A2671" s="2">
        <v>2669</v>
      </c>
      <c r="B2671" t="s">
        <v>3675</v>
      </c>
      <c r="C2671" s="1">
        <v>46129</v>
      </c>
      <c r="D2671">
        <v>99.568659999999994</v>
      </c>
      <c r="E2671">
        <v>572.45047815999999</v>
      </c>
      <c r="F2671">
        <v>576.49594209999998</v>
      </c>
      <c r="G2671">
        <v>572.45047815999999</v>
      </c>
    </row>
    <row r="2672" spans="1:7" x14ac:dyDescent="0.25">
      <c r="A2672" s="2">
        <v>2670</v>
      </c>
      <c r="B2672" t="s">
        <v>3681</v>
      </c>
      <c r="C2672" s="1">
        <v>46129</v>
      </c>
      <c r="D2672">
        <v>95.525670000000005</v>
      </c>
      <c r="E2672">
        <v>574.32659755999998</v>
      </c>
      <c r="F2672">
        <v>576.16476418000002</v>
      </c>
      <c r="G2672">
        <v>574.32659755999998</v>
      </c>
    </row>
    <row r="2673" spans="1:7" x14ac:dyDescent="0.25">
      <c r="A2673" s="2">
        <v>2671</v>
      </c>
      <c r="B2673" t="s">
        <v>3683</v>
      </c>
      <c r="C2673" s="1">
        <v>46129</v>
      </c>
    </row>
    <row r="2674" spans="1:7" x14ac:dyDescent="0.25">
      <c r="A2674" s="2">
        <v>2672</v>
      </c>
      <c r="B2674" t="s">
        <v>3685</v>
      </c>
      <c r="C2674" s="1">
        <v>46129</v>
      </c>
      <c r="D2674">
        <v>99.157679999999999</v>
      </c>
      <c r="E2674">
        <v>552.77411594</v>
      </c>
      <c r="F2674">
        <v>555.21781367000006</v>
      </c>
      <c r="G2674">
        <v>552.77411594</v>
      </c>
    </row>
    <row r="2675" spans="1:7" x14ac:dyDescent="0.25">
      <c r="A2675" s="2">
        <v>2673</v>
      </c>
      <c r="B2675" t="s">
        <v>3687</v>
      </c>
      <c r="C2675" s="1">
        <v>46129</v>
      </c>
      <c r="D2675">
        <v>99.63946</v>
      </c>
      <c r="E2675">
        <v>515.88631022000004</v>
      </c>
      <c r="F2675">
        <v>518.32641637999996</v>
      </c>
      <c r="G2675">
        <v>515.88631022000004</v>
      </c>
    </row>
    <row r="2676" spans="1:7" x14ac:dyDescent="0.25">
      <c r="A2676" s="2">
        <v>2674</v>
      </c>
      <c r="B2676" t="s">
        <v>3688</v>
      </c>
      <c r="C2676" s="1">
        <v>46129</v>
      </c>
      <c r="D2676">
        <v>98.916300000000007</v>
      </c>
      <c r="E2676">
        <v>555.56674236000003</v>
      </c>
      <c r="F2676">
        <v>559.59550297999999</v>
      </c>
      <c r="G2676">
        <v>555.56674236000003</v>
      </c>
    </row>
    <row r="2677" spans="1:7" x14ac:dyDescent="0.25">
      <c r="A2677" s="2">
        <v>2675</v>
      </c>
      <c r="B2677" t="s">
        <v>3690</v>
      </c>
      <c r="C2677" s="1">
        <v>46129</v>
      </c>
      <c r="D2677">
        <v>99.499849999999995</v>
      </c>
      <c r="E2677">
        <v>488.72687244999997</v>
      </c>
      <c r="F2677">
        <v>492.75418723000001</v>
      </c>
      <c r="G2677">
        <v>488.72687244999997</v>
      </c>
    </row>
    <row r="2678" spans="1:7" x14ac:dyDescent="0.25">
      <c r="A2678" s="2">
        <v>2676</v>
      </c>
      <c r="B2678" t="s">
        <v>3691</v>
      </c>
      <c r="C2678" s="1">
        <v>46129</v>
      </c>
      <c r="D2678">
        <v>93.808030000000002</v>
      </c>
      <c r="E2678">
        <v>352.47225536000002</v>
      </c>
      <c r="F2678">
        <v>354.64156439999999</v>
      </c>
      <c r="G2678">
        <v>352.47225536000002</v>
      </c>
    </row>
    <row r="2679" spans="1:7" x14ac:dyDescent="0.25">
      <c r="A2679" s="2">
        <v>2677</v>
      </c>
      <c r="B2679" t="s">
        <v>3693</v>
      </c>
      <c r="C2679" s="1">
        <v>46129</v>
      </c>
      <c r="D2679">
        <v>99.455389999999994</v>
      </c>
      <c r="E2679">
        <v>480.18469031000001</v>
      </c>
      <c r="F2679">
        <v>484.98783123999999</v>
      </c>
      <c r="G2679">
        <v>480.18469031000001</v>
      </c>
    </row>
    <row r="2680" spans="1:7" x14ac:dyDescent="0.25">
      <c r="A2680" s="2">
        <v>2678</v>
      </c>
      <c r="B2680" t="s">
        <v>3695</v>
      </c>
      <c r="C2680" s="1">
        <v>46129</v>
      </c>
      <c r="D2680">
        <v>96.01558</v>
      </c>
      <c r="E2680">
        <v>640.96257738999998</v>
      </c>
      <c r="F2680">
        <v>643.26225719000001</v>
      </c>
      <c r="G2680">
        <v>640.96257738999998</v>
      </c>
    </row>
    <row r="2681" spans="1:7" x14ac:dyDescent="0.25">
      <c r="A2681" s="2">
        <v>2679</v>
      </c>
      <c r="B2681" t="s">
        <v>3697</v>
      </c>
      <c r="C2681" s="1">
        <v>46129</v>
      </c>
      <c r="D2681">
        <v>22.55</v>
      </c>
    </row>
    <row r="2682" spans="1:7" x14ac:dyDescent="0.25">
      <c r="A2682" s="2">
        <v>2680</v>
      </c>
      <c r="B2682" t="s">
        <v>3699</v>
      </c>
      <c r="C2682" s="1">
        <v>46129</v>
      </c>
      <c r="D2682">
        <v>16.809999999999999</v>
      </c>
    </row>
    <row r="2683" spans="1:7" x14ac:dyDescent="0.25">
      <c r="A2683" s="2">
        <v>2681</v>
      </c>
      <c r="B2683" t="s">
        <v>3701</v>
      </c>
      <c r="C2683" s="1">
        <v>46129</v>
      </c>
      <c r="D2683">
        <v>16.89</v>
      </c>
    </row>
    <row r="2684" spans="1:7" x14ac:dyDescent="0.25">
      <c r="A2684" s="2">
        <v>2682</v>
      </c>
      <c r="B2684" t="s">
        <v>3703</v>
      </c>
      <c r="C2684" s="1">
        <v>46129</v>
      </c>
    </row>
    <row r="2685" spans="1:7" x14ac:dyDescent="0.25">
      <c r="A2685" s="2">
        <v>2683</v>
      </c>
      <c r="B2685" t="s">
        <v>3706</v>
      </c>
      <c r="C2685" s="1">
        <v>46129</v>
      </c>
    </row>
    <row r="2686" spans="1:7" x14ac:dyDescent="0.25">
      <c r="A2686" s="2">
        <v>2684</v>
      </c>
      <c r="B2686" t="s">
        <v>2549</v>
      </c>
      <c r="C2686" s="1">
        <v>46129</v>
      </c>
      <c r="D2686">
        <v>93.158569999999997</v>
      </c>
      <c r="E2686">
        <v>746.27847758999997</v>
      </c>
      <c r="F2686">
        <v>746.77904276000004</v>
      </c>
      <c r="G2686">
        <v>746.27847758999997</v>
      </c>
    </row>
    <row r="2687" spans="1:7" x14ac:dyDescent="0.25">
      <c r="A2687" s="2">
        <v>2685</v>
      </c>
      <c r="B2687" t="s">
        <v>2553</v>
      </c>
      <c r="C2687" s="1">
        <v>46129</v>
      </c>
      <c r="D2687">
        <v>91</v>
      </c>
      <c r="F2687">
        <v>728.68330265999998</v>
      </c>
    </row>
    <row r="2688" spans="1:7" x14ac:dyDescent="0.25">
      <c r="A2688" s="2">
        <v>2686</v>
      </c>
      <c r="B2688" t="s">
        <v>2362</v>
      </c>
      <c r="C2688" s="1">
        <v>46129</v>
      </c>
      <c r="D2688">
        <v>95.378879999999995</v>
      </c>
      <c r="E2688">
        <v>467.82968111000002</v>
      </c>
      <c r="F2688">
        <v>470.39682075000002</v>
      </c>
      <c r="G2688">
        <v>467.82968111000002</v>
      </c>
    </row>
    <row r="2689" spans="1:7" x14ac:dyDescent="0.25">
      <c r="A2689" s="2">
        <v>2687</v>
      </c>
      <c r="B2689" t="s">
        <v>2366</v>
      </c>
      <c r="C2689" s="1">
        <v>46129</v>
      </c>
      <c r="D2689">
        <v>95.156059999999997</v>
      </c>
      <c r="E2689">
        <v>290.57091761999999</v>
      </c>
      <c r="F2689">
        <v>293.03691551999998</v>
      </c>
      <c r="G2689">
        <v>290.57091761999999</v>
      </c>
    </row>
    <row r="2690" spans="1:7" x14ac:dyDescent="0.25">
      <c r="A2690" s="2">
        <v>2688</v>
      </c>
      <c r="B2690" t="s">
        <v>2368</v>
      </c>
      <c r="C2690" s="1">
        <v>46129</v>
      </c>
      <c r="D2690">
        <v>100.4375</v>
      </c>
      <c r="F2690">
        <v>248.46181192</v>
      </c>
    </row>
    <row r="2691" spans="1:7" x14ac:dyDescent="0.25">
      <c r="A2691" s="2">
        <v>2689</v>
      </c>
      <c r="B2691" t="s">
        <v>3637</v>
      </c>
      <c r="C2691" s="1">
        <v>46129</v>
      </c>
      <c r="D2691">
        <v>95.535060000000001</v>
      </c>
      <c r="E2691">
        <v>721.83558444000005</v>
      </c>
      <c r="F2691">
        <v>724.51912917000004</v>
      </c>
      <c r="G2691">
        <v>721.83558444000005</v>
      </c>
    </row>
    <row r="2692" spans="1:7" x14ac:dyDescent="0.25">
      <c r="A2692" s="2">
        <v>2690</v>
      </c>
      <c r="B2692" t="s">
        <v>3641</v>
      </c>
      <c r="C2692" s="1">
        <v>46129</v>
      </c>
    </row>
    <row r="2693" spans="1:7" x14ac:dyDescent="0.25">
      <c r="A2693" s="2">
        <v>2691</v>
      </c>
      <c r="B2693" t="s">
        <v>3643</v>
      </c>
      <c r="C2693" s="1">
        <v>46129</v>
      </c>
      <c r="D2693">
        <v>24.92</v>
      </c>
    </row>
    <row r="2694" spans="1:7" x14ac:dyDescent="0.25">
      <c r="A2694" s="2">
        <v>2692</v>
      </c>
      <c r="B2694" t="s">
        <v>2095</v>
      </c>
      <c r="C2694" s="1">
        <v>46129</v>
      </c>
      <c r="D2694">
        <v>94.265299999999996</v>
      </c>
      <c r="E2694">
        <v>953.02389616999994</v>
      </c>
      <c r="F2694">
        <v>957.43548547</v>
      </c>
      <c r="G2694">
        <v>953.02389616999994</v>
      </c>
    </row>
    <row r="2695" spans="1:7" x14ac:dyDescent="0.25">
      <c r="A2695" s="2">
        <v>2693</v>
      </c>
      <c r="B2695" t="s">
        <v>2099</v>
      </c>
      <c r="C2695" s="1">
        <v>46129</v>
      </c>
      <c r="D2695">
        <v>85.325649999999996</v>
      </c>
      <c r="E2695">
        <v>1187.6609432400001</v>
      </c>
      <c r="F2695">
        <v>1190.8798830000001</v>
      </c>
      <c r="G2695">
        <v>1187.6609432400001</v>
      </c>
    </row>
    <row r="2696" spans="1:7" x14ac:dyDescent="0.25">
      <c r="A2696" s="2">
        <v>2694</v>
      </c>
      <c r="B2696" t="s">
        <v>2580</v>
      </c>
      <c r="C2696" s="1">
        <v>46129</v>
      </c>
      <c r="D2696">
        <v>99.469049999999996</v>
      </c>
      <c r="E2696">
        <v>468.86421952000001</v>
      </c>
      <c r="F2696">
        <v>471.25832559999998</v>
      </c>
      <c r="G2696">
        <v>468.86421952000001</v>
      </c>
    </row>
    <row r="2697" spans="1:7" x14ac:dyDescent="0.25">
      <c r="A2697" s="2">
        <v>2695</v>
      </c>
      <c r="B2697" t="s">
        <v>2582</v>
      </c>
      <c r="C2697" s="1">
        <v>46129</v>
      </c>
    </row>
    <row r="2698" spans="1:7" x14ac:dyDescent="0.25">
      <c r="A2698" s="2">
        <v>2696</v>
      </c>
      <c r="B2698" t="s">
        <v>2584</v>
      </c>
      <c r="C2698" s="1">
        <v>46129</v>
      </c>
      <c r="D2698">
        <v>96</v>
      </c>
      <c r="F2698">
        <v>606.84544686000004</v>
      </c>
    </row>
    <row r="2699" spans="1:7" x14ac:dyDescent="0.25">
      <c r="A2699" s="2">
        <v>2697</v>
      </c>
      <c r="B2699" t="s">
        <v>2586</v>
      </c>
      <c r="C2699" s="1">
        <v>46129</v>
      </c>
    </row>
    <row r="2700" spans="1:7" x14ac:dyDescent="0.25">
      <c r="A2700" s="2">
        <v>2698</v>
      </c>
      <c r="B2700" t="s">
        <v>2572</v>
      </c>
      <c r="C2700" s="1">
        <v>46129</v>
      </c>
      <c r="D2700">
        <v>100.4273</v>
      </c>
      <c r="E2700">
        <v>719.93700000000001</v>
      </c>
      <c r="F2700">
        <v>732.03</v>
      </c>
      <c r="G2700">
        <v>719.93700000000001</v>
      </c>
    </row>
    <row r="2701" spans="1:7" x14ac:dyDescent="0.25">
      <c r="A2701" s="2">
        <v>2699</v>
      </c>
      <c r="B2701" t="s">
        <v>2576</v>
      </c>
      <c r="C2701" s="1">
        <v>46129</v>
      </c>
      <c r="D2701">
        <v>99.625</v>
      </c>
      <c r="F2701">
        <v>807.12092525000003</v>
      </c>
    </row>
    <row r="2702" spans="1:7" x14ac:dyDescent="0.25">
      <c r="A2702" s="2">
        <v>2700</v>
      </c>
      <c r="B2702" t="s">
        <v>2588</v>
      </c>
      <c r="C2702" s="1">
        <v>46129</v>
      </c>
      <c r="D2702">
        <v>100.068</v>
      </c>
      <c r="E2702">
        <v>589.46058098000003</v>
      </c>
      <c r="F2702">
        <v>593.38523095000005</v>
      </c>
      <c r="G2702">
        <v>589.46058098000003</v>
      </c>
    </row>
    <row r="2703" spans="1:7" x14ac:dyDescent="0.25">
      <c r="A2703" s="2">
        <v>2701</v>
      </c>
      <c r="B2703" t="s">
        <v>2592</v>
      </c>
      <c r="C2703" s="1">
        <v>46129</v>
      </c>
      <c r="D2703">
        <v>89.658969999999997</v>
      </c>
      <c r="E2703">
        <v>1230.0953760499999</v>
      </c>
      <c r="F2703">
        <v>1232.9026288499999</v>
      </c>
      <c r="G2703">
        <v>1230.0953760499999</v>
      </c>
    </row>
    <row r="2704" spans="1:7" x14ac:dyDescent="0.25">
      <c r="A2704" s="2">
        <v>2702</v>
      </c>
      <c r="B2704" t="s">
        <v>2594</v>
      </c>
      <c r="C2704" s="1">
        <v>46129</v>
      </c>
      <c r="D2704">
        <v>94.75</v>
      </c>
      <c r="F2704">
        <v>668.12630926999998</v>
      </c>
    </row>
    <row r="2705" spans="1:7" x14ac:dyDescent="0.25">
      <c r="A2705" s="2">
        <v>2703</v>
      </c>
      <c r="B2705" t="s">
        <v>2703</v>
      </c>
      <c r="C2705" s="1">
        <v>46129</v>
      </c>
      <c r="D2705">
        <v>92.648499999999999</v>
      </c>
      <c r="E2705">
        <v>877.42443431000004</v>
      </c>
      <c r="F2705">
        <v>878.97858532999999</v>
      </c>
      <c r="G2705">
        <v>877.42443431000004</v>
      </c>
    </row>
    <row r="2706" spans="1:7" x14ac:dyDescent="0.25">
      <c r="A2706" s="2">
        <v>2704</v>
      </c>
      <c r="B2706" t="s">
        <v>2707</v>
      </c>
      <c r="C2706" s="1">
        <v>46129</v>
      </c>
    </row>
    <row r="2707" spans="1:7" x14ac:dyDescent="0.25">
      <c r="A2707" s="2">
        <v>2705</v>
      </c>
      <c r="B2707" t="s">
        <v>3708</v>
      </c>
      <c r="C2707" s="1">
        <v>46129</v>
      </c>
      <c r="D2707">
        <v>103.19799999999999</v>
      </c>
      <c r="E2707">
        <v>312.9823298</v>
      </c>
      <c r="F2707">
        <v>315.41334159000002</v>
      </c>
      <c r="G2707">
        <v>312.9823298</v>
      </c>
    </row>
    <row r="2708" spans="1:7" x14ac:dyDescent="0.25">
      <c r="A2708" s="2">
        <v>2706</v>
      </c>
      <c r="B2708" t="s">
        <v>3712</v>
      </c>
      <c r="C2708" s="1">
        <v>46129</v>
      </c>
      <c r="D2708">
        <v>104.19029999999999</v>
      </c>
      <c r="E2708">
        <v>463.39005751000002</v>
      </c>
      <c r="F2708">
        <v>465.86094487999998</v>
      </c>
      <c r="G2708">
        <v>463.39005751000002</v>
      </c>
    </row>
    <row r="2709" spans="1:7" x14ac:dyDescent="0.25">
      <c r="A2709" s="2">
        <v>2707</v>
      </c>
      <c r="B2709" t="s">
        <v>3714</v>
      </c>
      <c r="C2709" s="1">
        <v>46129</v>
      </c>
      <c r="D2709">
        <v>98.6875</v>
      </c>
      <c r="F2709">
        <v>360.85619436000002</v>
      </c>
    </row>
    <row r="2710" spans="1:7" x14ac:dyDescent="0.25">
      <c r="A2710" s="2">
        <v>2708</v>
      </c>
      <c r="B2710" t="s">
        <v>2271</v>
      </c>
      <c r="C2710" s="1">
        <v>46129</v>
      </c>
      <c r="D2710">
        <v>95.786289999999994</v>
      </c>
      <c r="E2710">
        <v>460.14916763000002</v>
      </c>
      <c r="F2710">
        <v>748.88440955999999</v>
      </c>
      <c r="G2710">
        <v>460.14916763000002</v>
      </c>
    </row>
    <row r="2711" spans="1:7" x14ac:dyDescent="0.25">
      <c r="A2711" s="2">
        <v>2709</v>
      </c>
      <c r="B2711" t="s">
        <v>2275</v>
      </c>
      <c r="C2711" s="1">
        <v>46129</v>
      </c>
      <c r="D2711">
        <v>93.755359999999996</v>
      </c>
      <c r="E2711">
        <v>449.07259841000001</v>
      </c>
      <c r="F2711">
        <v>448.34436484000003</v>
      </c>
      <c r="G2711">
        <v>449.07259841000001</v>
      </c>
    </row>
    <row r="2712" spans="1:7" x14ac:dyDescent="0.25">
      <c r="A2712" s="2">
        <v>2710</v>
      </c>
      <c r="B2712" t="s">
        <v>2277</v>
      </c>
      <c r="C2712" s="1">
        <v>46129</v>
      </c>
      <c r="D2712">
        <v>96.138180000000006</v>
      </c>
      <c r="E2712">
        <v>415.07543367</v>
      </c>
      <c r="F2712">
        <v>417.23017292999998</v>
      </c>
      <c r="G2712">
        <v>415.07543367</v>
      </c>
    </row>
    <row r="2713" spans="1:7" x14ac:dyDescent="0.25">
      <c r="A2713" s="2">
        <v>2711</v>
      </c>
      <c r="B2713" t="s">
        <v>2279</v>
      </c>
      <c r="C2713" s="1">
        <v>46129</v>
      </c>
      <c r="D2713">
        <v>95.010509999999996</v>
      </c>
      <c r="E2713">
        <v>462.70352910999998</v>
      </c>
      <c r="F2713">
        <v>462.76947035000001</v>
      </c>
      <c r="G2713">
        <v>462.70352910999998</v>
      </c>
    </row>
    <row r="2714" spans="1:7" x14ac:dyDescent="0.25">
      <c r="A2714" s="2">
        <v>2712</v>
      </c>
      <c r="B2714" t="s">
        <v>2281</v>
      </c>
      <c r="C2714" s="1">
        <v>46129</v>
      </c>
      <c r="D2714">
        <v>90.435950000000005</v>
      </c>
      <c r="E2714">
        <v>2695.7432529600001</v>
      </c>
      <c r="F2714">
        <v>2702.95213552</v>
      </c>
      <c r="G2714">
        <v>2695.7432529600001</v>
      </c>
    </row>
    <row r="2715" spans="1:7" x14ac:dyDescent="0.25">
      <c r="A2715" s="2">
        <v>2713</v>
      </c>
      <c r="B2715" t="s">
        <v>2283</v>
      </c>
      <c r="C2715" s="1">
        <v>46129</v>
      </c>
      <c r="D2715">
        <v>89.122410000000002</v>
      </c>
      <c r="E2715">
        <v>420.88595991</v>
      </c>
      <c r="F2715">
        <v>422.90325306</v>
      </c>
      <c r="G2715">
        <v>420.88595991</v>
      </c>
    </row>
    <row r="2716" spans="1:7" x14ac:dyDescent="0.25">
      <c r="A2716" s="2">
        <v>2714</v>
      </c>
      <c r="B2716" t="s">
        <v>3645</v>
      </c>
      <c r="C2716" s="1">
        <v>46129</v>
      </c>
      <c r="D2716">
        <v>100.7954</v>
      </c>
    </row>
    <row r="2717" spans="1:7" x14ac:dyDescent="0.25">
      <c r="A2717" s="2">
        <v>2715</v>
      </c>
      <c r="B2717" t="s">
        <v>3650</v>
      </c>
      <c r="C2717" s="1">
        <v>46129</v>
      </c>
    </row>
    <row r="2718" spans="1:7" x14ac:dyDescent="0.25">
      <c r="A2718" s="2">
        <v>2716</v>
      </c>
      <c r="B2718" t="s">
        <v>3652</v>
      </c>
      <c r="C2718" s="1">
        <v>46129</v>
      </c>
    </row>
    <row r="2719" spans="1:7" x14ac:dyDescent="0.25">
      <c r="A2719" s="2">
        <v>2717</v>
      </c>
      <c r="B2719" t="s">
        <v>3654</v>
      </c>
      <c r="C2719" s="1">
        <v>46129</v>
      </c>
      <c r="D2719">
        <v>100.5</v>
      </c>
    </row>
    <row r="2720" spans="1:7" x14ac:dyDescent="0.25">
      <c r="A2720" s="2">
        <v>2718</v>
      </c>
      <c r="B2720" t="s">
        <v>3656</v>
      </c>
      <c r="C2720" s="1">
        <v>46129</v>
      </c>
      <c r="D2720">
        <v>100</v>
      </c>
    </row>
    <row r="2721" spans="1:7" x14ac:dyDescent="0.25">
      <c r="A2721" s="2">
        <v>2719</v>
      </c>
      <c r="B2721" t="s">
        <v>2596</v>
      </c>
      <c r="C2721" s="1">
        <v>46129</v>
      </c>
      <c r="E2721">
        <v>1622.9423240799999</v>
      </c>
      <c r="F2721">
        <v>1625.06874786</v>
      </c>
      <c r="G2721">
        <v>1622.9423240799999</v>
      </c>
    </row>
    <row r="2722" spans="1:7" x14ac:dyDescent="0.25">
      <c r="A2722" s="2">
        <v>2720</v>
      </c>
      <c r="B2722" t="s">
        <v>2600</v>
      </c>
      <c r="C2722" s="1">
        <v>46129</v>
      </c>
      <c r="D2722">
        <v>58.630049999999997</v>
      </c>
      <c r="E2722">
        <v>1294.64626899</v>
      </c>
      <c r="F2722">
        <v>1296.1615327699999</v>
      </c>
      <c r="G2722">
        <v>1294.64626899</v>
      </c>
    </row>
    <row r="2723" spans="1:7" x14ac:dyDescent="0.25">
      <c r="A2723" s="2">
        <v>2721</v>
      </c>
      <c r="B2723" t="s">
        <v>2602</v>
      </c>
      <c r="C2723" s="1">
        <v>46129</v>
      </c>
      <c r="D2723">
        <v>89.875</v>
      </c>
      <c r="F2723">
        <v>1049.65765388</v>
      </c>
    </row>
    <row r="2724" spans="1:7" x14ac:dyDescent="0.25">
      <c r="A2724" s="2">
        <v>2722</v>
      </c>
      <c r="B2724" t="s">
        <v>2604</v>
      </c>
      <c r="C2724" s="1">
        <v>46129</v>
      </c>
      <c r="D2724">
        <v>93.25</v>
      </c>
      <c r="F2724">
        <v>874.42096002999995</v>
      </c>
    </row>
    <row r="2725" spans="1:7" x14ac:dyDescent="0.25">
      <c r="A2725" s="2">
        <v>2723</v>
      </c>
      <c r="B2725" t="s">
        <v>2606</v>
      </c>
      <c r="C2725" s="1">
        <v>46129</v>
      </c>
      <c r="D2725">
        <v>93.25</v>
      </c>
      <c r="F2725">
        <v>874.42096002999995</v>
      </c>
    </row>
    <row r="2726" spans="1:7" x14ac:dyDescent="0.25">
      <c r="A2726" s="2">
        <v>2724</v>
      </c>
      <c r="B2726" t="s">
        <v>2608</v>
      </c>
      <c r="C2726" s="1">
        <v>46129</v>
      </c>
    </row>
    <row r="2727" spans="1:7" x14ac:dyDescent="0.25">
      <c r="A2727" s="2">
        <v>2725</v>
      </c>
      <c r="B2727" t="s">
        <v>2709</v>
      </c>
      <c r="C2727" s="1">
        <v>46129</v>
      </c>
      <c r="D2727">
        <v>92.23509</v>
      </c>
      <c r="E2727">
        <v>411.34668785999997</v>
      </c>
      <c r="F2727">
        <v>413.3094342</v>
      </c>
      <c r="G2727">
        <v>411.34668785999997</v>
      </c>
    </row>
    <row r="2728" spans="1:7" x14ac:dyDescent="0.25">
      <c r="A2728" s="2">
        <v>2726</v>
      </c>
      <c r="B2728" t="s">
        <v>2317</v>
      </c>
      <c r="C2728" s="1">
        <v>46129</v>
      </c>
      <c r="D2728">
        <v>49.538029999999999</v>
      </c>
      <c r="E2728">
        <v>1918.76934403</v>
      </c>
      <c r="F2728">
        <v>1919.2417230599999</v>
      </c>
      <c r="G2728">
        <v>1918.76934403</v>
      </c>
    </row>
    <row r="2729" spans="1:7" x14ac:dyDescent="0.25">
      <c r="A2729" s="2">
        <v>2727</v>
      </c>
      <c r="B2729" t="s">
        <v>2321</v>
      </c>
      <c r="C2729" s="1">
        <v>46129</v>
      </c>
      <c r="D2729">
        <v>72.412049999999994</v>
      </c>
      <c r="E2729">
        <v>2335.7740084100001</v>
      </c>
      <c r="F2729">
        <v>2339.3098162599999</v>
      </c>
      <c r="G2729">
        <v>2335.7740084100001</v>
      </c>
    </row>
    <row r="2730" spans="1:7" x14ac:dyDescent="0.25">
      <c r="A2730" s="2">
        <v>2728</v>
      </c>
      <c r="B2730" t="s">
        <v>2323</v>
      </c>
      <c r="C2730" s="1">
        <v>46129</v>
      </c>
      <c r="D2730">
        <v>81</v>
      </c>
      <c r="F2730">
        <v>1462.8973884500001</v>
      </c>
    </row>
    <row r="2731" spans="1:7" x14ac:dyDescent="0.25">
      <c r="A2731" s="2">
        <v>2729</v>
      </c>
      <c r="B2731" t="s">
        <v>2325</v>
      </c>
      <c r="C2731" s="1">
        <v>46129</v>
      </c>
    </row>
    <row r="2732" spans="1:7" x14ac:dyDescent="0.25">
      <c r="A2732" s="2">
        <v>2730</v>
      </c>
      <c r="B2732" t="s">
        <v>2382</v>
      </c>
      <c r="C2732" s="1">
        <v>46129</v>
      </c>
      <c r="D2732">
        <v>102.5802</v>
      </c>
      <c r="E2732">
        <v>740.54057050999995</v>
      </c>
      <c r="F2732">
        <v>743.60553812000001</v>
      </c>
      <c r="G2732">
        <v>740.54057050999995</v>
      </c>
    </row>
    <row r="2733" spans="1:7" x14ac:dyDescent="0.25">
      <c r="A2733" s="2">
        <v>2731</v>
      </c>
      <c r="B2733" t="s">
        <v>2386</v>
      </c>
      <c r="C2733" s="1">
        <v>46129</v>
      </c>
      <c r="D2733">
        <v>87.612960000000001</v>
      </c>
      <c r="E2733">
        <v>719.85282598000003</v>
      </c>
      <c r="F2733">
        <v>722.20288375999996</v>
      </c>
      <c r="G2733">
        <v>719.85282598000003</v>
      </c>
    </row>
    <row r="2734" spans="1:7" x14ac:dyDescent="0.25">
      <c r="A2734" s="2">
        <v>2732</v>
      </c>
      <c r="B2734" t="s">
        <v>2610</v>
      </c>
      <c r="C2734" s="1">
        <v>46129</v>
      </c>
      <c r="D2734">
        <v>85.132069999999999</v>
      </c>
      <c r="E2734">
        <v>1365.5743814</v>
      </c>
      <c r="F2734">
        <v>1368.2210013900001</v>
      </c>
      <c r="G2734">
        <v>1365.5743814</v>
      </c>
    </row>
    <row r="2735" spans="1:7" x14ac:dyDescent="0.25">
      <c r="A2735" s="2">
        <v>2733</v>
      </c>
      <c r="B2735" t="s">
        <v>2614</v>
      </c>
      <c r="C2735" s="1">
        <v>46129</v>
      </c>
    </row>
    <row r="2736" spans="1:7" x14ac:dyDescent="0.25">
      <c r="A2736" s="2">
        <v>2734</v>
      </c>
      <c r="B2736" t="s">
        <v>2616</v>
      </c>
      <c r="C2736" s="1">
        <v>46129</v>
      </c>
      <c r="D2736">
        <v>95.25</v>
      </c>
      <c r="F2736">
        <v>751.66094482000005</v>
      </c>
    </row>
    <row r="2737" spans="1:7" x14ac:dyDescent="0.25">
      <c r="A2737" s="2">
        <v>2735</v>
      </c>
      <c r="B2737" t="s">
        <v>2618</v>
      </c>
      <c r="C2737" s="1">
        <v>46129</v>
      </c>
    </row>
    <row r="2738" spans="1:7" x14ac:dyDescent="0.25">
      <c r="A2738" s="2">
        <v>2736</v>
      </c>
      <c r="B2738" t="s">
        <v>2622</v>
      </c>
      <c r="C2738" s="1">
        <v>46129</v>
      </c>
    </row>
    <row r="2739" spans="1:7" x14ac:dyDescent="0.25">
      <c r="A2739" s="2">
        <v>2737</v>
      </c>
      <c r="B2739" t="s">
        <v>2624</v>
      </c>
      <c r="C2739" s="1">
        <v>46129</v>
      </c>
    </row>
    <row r="2740" spans="1:7" x14ac:dyDescent="0.25">
      <c r="A2740" s="2">
        <v>2738</v>
      </c>
      <c r="B2740" t="s">
        <v>3865</v>
      </c>
      <c r="C2740" s="1">
        <v>46129</v>
      </c>
      <c r="D2740">
        <v>95.483159999999998</v>
      </c>
      <c r="E2740">
        <v>214.22890609000001</v>
      </c>
      <c r="F2740">
        <v>216.66338503</v>
      </c>
      <c r="G2740">
        <v>214.22890609000001</v>
      </c>
    </row>
    <row r="2741" spans="1:7" x14ac:dyDescent="0.25">
      <c r="A2741" s="2">
        <v>2739</v>
      </c>
      <c r="B2741" t="s">
        <v>3871</v>
      </c>
      <c r="C2741" s="1">
        <v>46129</v>
      </c>
      <c r="D2741">
        <v>89.650409999999994</v>
      </c>
      <c r="E2741">
        <v>408.00198155999999</v>
      </c>
      <c r="F2741">
        <v>409.85748381000002</v>
      </c>
      <c r="G2741">
        <v>408.00198155999999</v>
      </c>
    </row>
    <row r="2742" spans="1:7" x14ac:dyDescent="0.25">
      <c r="A2742" s="2">
        <v>2740</v>
      </c>
      <c r="B2742" t="s">
        <v>3873</v>
      </c>
      <c r="C2742" s="1">
        <v>46129</v>
      </c>
    </row>
    <row r="2743" spans="1:7" x14ac:dyDescent="0.25">
      <c r="A2743" s="2">
        <v>2741</v>
      </c>
      <c r="B2743" t="s">
        <v>3877</v>
      </c>
      <c r="C2743" s="1">
        <v>46129</v>
      </c>
    </row>
    <row r="2744" spans="1:7" x14ac:dyDescent="0.25">
      <c r="A2744" s="2">
        <v>2742</v>
      </c>
      <c r="B2744" t="s">
        <v>3882</v>
      </c>
      <c r="C2744" s="1">
        <v>46129</v>
      </c>
    </row>
    <row r="2745" spans="1:7" x14ac:dyDescent="0.25">
      <c r="A2745" s="2">
        <v>2743</v>
      </c>
      <c r="B2745" t="s">
        <v>3885</v>
      </c>
      <c r="C2745" s="1">
        <v>46129</v>
      </c>
    </row>
    <row r="2746" spans="1:7" x14ac:dyDescent="0.25">
      <c r="A2746" s="2">
        <v>2744</v>
      </c>
      <c r="B2746" t="s">
        <v>3888</v>
      </c>
      <c r="C2746" s="1">
        <v>46129</v>
      </c>
    </row>
    <row r="2747" spans="1:7" x14ac:dyDescent="0.25">
      <c r="A2747" s="2">
        <v>2745</v>
      </c>
      <c r="B2747" t="s">
        <v>3891</v>
      </c>
      <c r="C2747" s="1">
        <v>46129</v>
      </c>
      <c r="D2747">
        <v>78.754940000000005</v>
      </c>
      <c r="F2747">
        <v>1253.8259596099999</v>
      </c>
    </row>
    <row r="2748" spans="1:7" x14ac:dyDescent="0.25">
      <c r="A2748" s="2">
        <v>2746</v>
      </c>
      <c r="B2748" t="s">
        <v>3895</v>
      </c>
      <c r="C2748" s="1">
        <v>46129</v>
      </c>
      <c r="D2748">
        <v>83.455380000000005</v>
      </c>
      <c r="E2748">
        <v>1864.1664668599999</v>
      </c>
      <c r="F2748">
        <v>1866.3761171399999</v>
      </c>
      <c r="G2748">
        <v>1864.1664668599999</v>
      </c>
    </row>
    <row r="2749" spans="1:7" x14ac:dyDescent="0.25">
      <c r="A2749" s="2">
        <v>2747</v>
      </c>
      <c r="B2749" t="s">
        <v>3897</v>
      </c>
      <c r="C2749" s="1">
        <v>46129</v>
      </c>
    </row>
    <row r="2750" spans="1:7" x14ac:dyDescent="0.25">
      <c r="A2750" s="2">
        <v>2748</v>
      </c>
      <c r="B2750" t="s">
        <v>3323</v>
      </c>
      <c r="C2750" s="1">
        <v>46213</v>
      </c>
      <c r="D2750">
        <v>98.83511</v>
      </c>
      <c r="E2750">
        <v>663.92652681000004</v>
      </c>
      <c r="F2750">
        <v>665.80498954999996</v>
      </c>
      <c r="G2750">
        <v>663.92652681000004</v>
      </c>
    </row>
    <row r="2751" spans="1:7" x14ac:dyDescent="0.25">
      <c r="A2751" s="2">
        <v>2749</v>
      </c>
      <c r="B2751" t="s">
        <v>3326</v>
      </c>
      <c r="C2751" s="1">
        <v>46213</v>
      </c>
      <c r="D2751">
        <v>94.672910000000002</v>
      </c>
      <c r="E2751">
        <v>806.35895629000004</v>
      </c>
      <c r="F2751">
        <v>808.34763440999996</v>
      </c>
      <c r="G2751">
        <v>806.35895629000004</v>
      </c>
    </row>
    <row r="2752" spans="1:7" x14ac:dyDescent="0.25">
      <c r="A2752" s="2">
        <v>2750</v>
      </c>
      <c r="B2752" t="s">
        <v>3329</v>
      </c>
      <c r="C2752" s="1">
        <v>46213</v>
      </c>
      <c r="D2752">
        <v>91.25</v>
      </c>
      <c r="F2752">
        <v>549.72776484999997</v>
      </c>
    </row>
    <row r="2753" spans="1:7" x14ac:dyDescent="0.25">
      <c r="A2753" s="2">
        <v>2751</v>
      </c>
      <c r="B2753" t="s">
        <v>44</v>
      </c>
      <c r="C2753" s="1">
        <v>46213</v>
      </c>
      <c r="D2753">
        <v>63.133459999999999</v>
      </c>
      <c r="E2753">
        <v>3730.8183498499998</v>
      </c>
      <c r="F2753">
        <v>3733.0338076500002</v>
      </c>
      <c r="G2753">
        <v>3730.8183498499998</v>
      </c>
    </row>
    <row r="2754" spans="1:7" x14ac:dyDescent="0.25">
      <c r="A2754" s="2">
        <v>2752</v>
      </c>
      <c r="B2754" t="s">
        <v>37</v>
      </c>
      <c r="C2754" s="1">
        <v>46213</v>
      </c>
      <c r="D2754">
        <v>60.801940000000002</v>
      </c>
      <c r="E2754">
        <v>3283.3197195600001</v>
      </c>
      <c r="F2754">
        <v>3291.2120868000002</v>
      </c>
      <c r="G2754">
        <v>3283.3197195600001</v>
      </c>
    </row>
    <row r="2755" spans="1:7" x14ac:dyDescent="0.25">
      <c r="A2755" s="2">
        <v>2753</v>
      </c>
      <c r="B2755" t="s">
        <v>42</v>
      </c>
      <c r="C2755" s="1">
        <v>46213</v>
      </c>
      <c r="D2755">
        <v>65.841409999999996</v>
      </c>
      <c r="E2755">
        <v>6787.1735731899998</v>
      </c>
      <c r="F2755">
        <v>6790.0529860200004</v>
      </c>
      <c r="G2755">
        <v>6787.1735731899998</v>
      </c>
    </row>
    <row r="2756" spans="1:7" x14ac:dyDescent="0.25">
      <c r="A2756" s="2">
        <v>2754</v>
      </c>
      <c r="B2756" t="s">
        <v>60</v>
      </c>
      <c r="C2756" s="1">
        <v>46213</v>
      </c>
      <c r="D2756">
        <v>22.212789999999998</v>
      </c>
      <c r="E2756">
        <v>3992.9715726999998</v>
      </c>
      <c r="F2756">
        <v>3994.8815126</v>
      </c>
      <c r="G2756">
        <v>3992.9715726999998</v>
      </c>
    </row>
    <row r="2757" spans="1:7" x14ac:dyDescent="0.25">
      <c r="A2757" s="2">
        <v>2755</v>
      </c>
      <c r="B2757" t="s">
        <v>40</v>
      </c>
      <c r="C2757" s="1">
        <v>46213</v>
      </c>
      <c r="D2757">
        <v>59.72522</v>
      </c>
      <c r="E2757">
        <v>1200.77566316</v>
      </c>
      <c r="F2757">
        <v>1202.5484800700001</v>
      </c>
      <c r="G2757">
        <v>1200.77566316</v>
      </c>
    </row>
    <row r="2758" spans="1:7" x14ac:dyDescent="0.25">
      <c r="A2758" s="2">
        <v>2756</v>
      </c>
      <c r="B2758" t="s">
        <v>52</v>
      </c>
      <c r="C2758" s="1">
        <v>46213</v>
      </c>
      <c r="D2758">
        <v>59.417209999999997</v>
      </c>
      <c r="E2758">
        <v>1220.32386064</v>
      </c>
      <c r="F2758">
        <v>1222.37650803</v>
      </c>
      <c r="G2758">
        <v>1220.32386064</v>
      </c>
    </row>
    <row r="2759" spans="1:7" x14ac:dyDescent="0.25">
      <c r="A2759" s="2">
        <v>2757</v>
      </c>
      <c r="B2759" t="s">
        <v>58</v>
      </c>
      <c r="C2759" s="1">
        <v>46213</v>
      </c>
      <c r="D2759">
        <v>22.1568</v>
      </c>
      <c r="E2759">
        <v>4557.6590995200004</v>
      </c>
      <c r="F2759">
        <v>4559.7197977100004</v>
      </c>
      <c r="G2759">
        <v>4557.6590995200004</v>
      </c>
    </row>
    <row r="2760" spans="1:7" x14ac:dyDescent="0.25">
      <c r="A2760" s="2">
        <v>2758</v>
      </c>
      <c r="B2760" t="s">
        <v>56</v>
      </c>
      <c r="C2760" s="1">
        <v>46213</v>
      </c>
      <c r="D2760">
        <v>59.235399999999998</v>
      </c>
      <c r="E2760">
        <v>1390.43163725</v>
      </c>
      <c r="F2760">
        <v>1392.3108750900001</v>
      </c>
      <c r="G2760">
        <v>1390.43163725</v>
      </c>
    </row>
    <row r="2761" spans="1:7" x14ac:dyDescent="0.25">
      <c r="A2761" s="2">
        <v>2759</v>
      </c>
      <c r="B2761" t="s">
        <v>46</v>
      </c>
      <c r="C2761" s="1">
        <v>46213</v>
      </c>
      <c r="E2761">
        <v>5835.5947542900003</v>
      </c>
      <c r="F2761">
        <v>5837.9685195599995</v>
      </c>
      <c r="G2761">
        <v>5835.5947542900003</v>
      </c>
    </row>
    <row r="2762" spans="1:7" x14ac:dyDescent="0.25">
      <c r="A2762" s="2">
        <v>2760</v>
      </c>
      <c r="B2762" t="s">
        <v>50</v>
      </c>
      <c r="C2762" s="1">
        <v>46213</v>
      </c>
      <c r="D2762">
        <v>59.886899999999997</v>
      </c>
      <c r="E2762">
        <v>2611.55308251</v>
      </c>
      <c r="F2762">
        <v>2614.4564132700002</v>
      </c>
      <c r="G2762">
        <v>2611.55308251</v>
      </c>
    </row>
    <row r="2763" spans="1:7" x14ac:dyDescent="0.25">
      <c r="A2763" s="2">
        <v>2761</v>
      </c>
      <c r="B2763" t="s">
        <v>54</v>
      </c>
      <c r="C2763" s="1">
        <v>46213</v>
      </c>
      <c r="D2763">
        <v>50.673319999999997</v>
      </c>
      <c r="E2763">
        <v>10784.886804100001</v>
      </c>
      <c r="F2763">
        <v>10787.653176379999</v>
      </c>
      <c r="G2763">
        <v>10784.886804100001</v>
      </c>
    </row>
    <row r="2764" spans="1:7" x14ac:dyDescent="0.25">
      <c r="A2764" s="2">
        <v>2762</v>
      </c>
      <c r="B2764" t="s">
        <v>120</v>
      </c>
      <c r="C2764" s="1">
        <v>46213</v>
      </c>
    </row>
    <row r="2765" spans="1:7" x14ac:dyDescent="0.25">
      <c r="A2765" s="2">
        <v>2763</v>
      </c>
      <c r="B2765" t="s">
        <v>48</v>
      </c>
      <c r="C2765" s="1">
        <v>46213</v>
      </c>
      <c r="D2765">
        <v>61.280839999999998</v>
      </c>
      <c r="E2765">
        <v>3789.7606161099998</v>
      </c>
      <c r="F2765">
        <v>3794.0889903699999</v>
      </c>
      <c r="G2765">
        <v>3789.7606161099998</v>
      </c>
    </row>
    <row r="2766" spans="1:7" x14ac:dyDescent="0.25">
      <c r="A2766" s="2">
        <v>2764</v>
      </c>
      <c r="B2766" t="s">
        <v>122</v>
      </c>
      <c r="C2766" s="1">
        <v>46213</v>
      </c>
      <c r="D2766">
        <v>101.5</v>
      </c>
    </row>
    <row r="2767" spans="1:7" x14ac:dyDescent="0.25">
      <c r="A2767" s="2">
        <v>2765</v>
      </c>
      <c r="B2767" t="s">
        <v>124</v>
      </c>
      <c r="C2767" s="1">
        <v>46213</v>
      </c>
      <c r="D2767">
        <v>98.0625</v>
      </c>
      <c r="F2767">
        <v>487.99887632000002</v>
      </c>
    </row>
    <row r="2768" spans="1:7" x14ac:dyDescent="0.25">
      <c r="A2768" s="2">
        <v>2766</v>
      </c>
      <c r="B2768" t="s">
        <v>62</v>
      </c>
      <c r="C2768" s="1">
        <v>46213</v>
      </c>
      <c r="D2768">
        <v>69.125</v>
      </c>
      <c r="F2768">
        <v>5949.7919931699998</v>
      </c>
    </row>
    <row r="2769" spans="1:7" x14ac:dyDescent="0.25">
      <c r="A2769" s="2">
        <v>2767</v>
      </c>
      <c r="B2769" t="s">
        <v>126</v>
      </c>
      <c r="C2769" s="1">
        <v>46213</v>
      </c>
      <c r="D2769">
        <v>64.5</v>
      </c>
    </row>
    <row r="2770" spans="1:7" x14ac:dyDescent="0.25">
      <c r="A2770" s="2">
        <v>2768</v>
      </c>
      <c r="B2770" t="s">
        <v>3334</v>
      </c>
      <c r="C2770" s="1">
        <v>46213</v>
      </c>
      <c r="D2770">
        <v>99.263440000000003</v>
      </c>
      <c r="E2770">
        <v>548.15480786000001</v>
      </c>
      <c r="F2770">
        <v>550.38195531999997</v>
      </c>
      <c r="G2770">
        <v>548.15480786000001</v>
      </c>
    </row>
    <row r="2771" spans="1:7" x14ac:dyDescent="0.25">
      <c r="A2771" s="2">
        <v>2769</v>
      </c>
      <c r="B2771" t="s">
        <v>3338</v>
      </c>
      <c r="C2771" s="1">
        <v>46213</v>
      </c>
      <c r="D2771">
        <v>97.313890000000001</v>
      </c>
      <c r="E2771">
        <v>575.57307343000002</v>
      </c>
      <c r="F2771">
        <v>577.88773225</v>
      </c>
      <c r="G2771">
        <v>575.57307343000002</v>
      </c>
    </row>
    <row r="2772" spans="1:7" x14ac:dyDescent="0.25">
      <c r="A2772" s="2">
        <v>2770</v>
      </c>
      <c r="B2772" t="s">
        <v>3340</v>
      </c>
      <c r="C2772" s="1">
        <v>46213</v>
      </c>
    </row>
    <row r="2773" spans="1:7" x14ac:dyDescent="0.25">
      <c r="A2773" s="2">
        <v>2771</v>
      </c>
      <c r="B2773" t="s">
        <v>3342</v>
      </c>
      <c r="C2773" s="1">
        <v>46213</v>
      </c>
      <c r="D2773">
        <v>96.510999999999996</v>
      </c>
      <c r="E2773">
        <v>636.93270312000004</v>
      </c>
      <c r="F2773">
        <v>633.47610824000003</v>
      </c>
      <c r="G2773">
        <v>636.93270312000004</v>
      </c>
    </row>
    <row r="2774" spans="1:7" x14ac:dyDescent="0.25">
      <c r="A2774" s="2">
        <v>2772</v>
      </c>
      <c r="B2774" t="s">
        <v>3345</v>
      </c>
      <c r="C2774" s="1">
        <v>46213</v>
      </c>
      <c r="D2774">
        <v>96.375410000000002</v>
      </c>
      <c r="E2774">
        <v>641.72148832000005</v>
      </c>
      <c r="F2774">
        <v>643.33489897000004</v>
      </c>
      <c r="G2774">
        <v>641.72148832000005</v>
      </c>
    </row>
    <row r="2775" spans="1:7" x14ac:dyDescent="0.25">
      <c r="A2775" s="2">
        <v>2773</v>
      </c>
      <c r="B2775" t="s">
        <v>3347</v>
      </c>
      <c r="C2775" s="1">
        <v>46213</v>
      </c>
      <c r="D2775">
        <v>102.8903</v>
      </c>
      <c r="E2775">
        <v>-276.99750446000002</v>
      </c>
      <c r="F2775">
        <v>-275.16571062000003</v>
      </c>
      <c r="G2775">
        <v>-276.99750446000002</v>
      </c>
    </row>
    <row r="2776" spans="1:7" x14ac:dyDescent="0.25">
      <c r="A2776" s="2">
        <v>2774</v>
      </c>
      <c r="B2776" t="s">
        <v>3349</v>
      </c>
      <c r="C2776" s="1">
        <v>46213</v>
      </c>
      <c r="D2776">
        <v>98.162279999999996</v>
      </c>
      <c r="E2776">
        <v>619.86822431999997</v>
      </c>
      <c r="F2776">
        <v>621.71116471000005</v>
      </c>
      <c r="G2776">
        <v>619.86822431999997</v>
      </c>
    </row>
    <row r="2777" spans="1:7" x14ac:dyDescent="0.25">
      <c r="A2777" s="2">
        <v>2775</v>
      </c>
      <c r="B2777" t="s">
        <v>3351</v>
      </c>
      <c r="C2777" s="1">
        <v>46213</v>
      </c>
      <c r="D2777">
        <v>111.19029999999999</v>
      </c>
      <c r="E2777">
        <v>-424.83724296000003</v>
      </c>
      <c r="F2777">
        <v>-423.19206307000002</v>
      </c>
      <c r="G2777">
        <v>-424.83724296000003</v>
      </c>
    </row>
    <row r="2778" spans="1:7" x14ac:dyDescent="0.25">
      <c r="A2778" s="2">
        <v>2776</v>
      </c>
      <c r="B2778" t="s">
        <v>3353</v>
      </c>
      <c r="C2778" s="1">
        <v>46213</v>
      </c>
      <c r="D2778">
        <v>101</v>
      </c>
      <c r="F2778">
        <v>361.56982233000002</v>
      </c>
    </row>
    <row r="2779" spans="1:7" x14ac:dyDescent="0.25">
      <c r="A2779" s="2">
        <v>2777</v>
      </c>
      <c r="B2779" t="s">
        <v>3355</v>
      </c>
      <c r="C2779" s="1">
        <v>46213</v>
      </c>
      <c r="D2779">
        <v>100.25</v>
      </c>
      <c r="F2779">
        <v>289.09897883000002</v>
      </c>
    </row>
    <row r="2780" spans="1:7" x14ac:dyDescent="0.25">
      <c r="A2780" s="2">
        <v>2778</v>
      </c>
      <c r="B2780" t="s">
        <v>3357</v>
      </c>
      <c r="C2780" s="1">
        <v>46213</v>
      </c>
      <c r="D2780">
        <v>101.625</v>
      </c>
      <c r="F2780">
        <v>527.89087241000004</v>
      </c>
    </row>
    <row r="2781" spans="1:7" x14ac:dyDescent="0.25">
      <c r="A2781" s="2">
        <v>2779</v>
      </c>
      <c r="B2781" t="s">
        <v>3358</v>
      </c>
      <c r="C2781" s="1">
        <v>46213</v>
      </c>
    </row>
    <row r="2782" spans="1:7" x14ac:dyDescent="0.25">
      <c r="A2782" s="2">
        <v>2780</v>
      </c>
      <c r="B2782" t="s">
        <v>3360</v>
      </c>
      <c r="C2782" s="1">
        <v>46213</v>
      </c>
    </row>
    <row r="2783" spans="1:7" x14ac:dyDescent="0.25">
      <c r="A2783" s="2">
        <v>2781</v>
      </c>
      <c r="B2783" t="s">
        <v>3362</v>
      </c>
      <c r="C2783" s="1">
        <v>46213</v>
      </c>
    </row>
    <row r="2784" spans="1:7" x14ac:dyDescent="0.25">
      <c r="A2784" s="2">
        <v>2782</v>
      </c>
      <c r="B2784" t="s">
        <v>128</v>
      </c>
      <c r="C2784" s="1">
        <v>46213</v>
      </c>
      <c r="D2784">
        <v>105.934</v>
      </c>
      <c r="E2784">
        <v>151.27272653</v>
      </c>
      <c r="F2784">
        <v>153.38183706000001</v>
      </c>
      <c r="G2784">
        <v>151.27272653</v>
      </c>
    </row>
    <row r="2785" spans="1:7" x14ac:dyDescent="0.25">
      <c r="A2785" s="2">
        <v>2783</v>
      </c>
      <c r="B2785" t="s">
        <v>118</v>
      </c>
      <c r="C2785" s="1">
        <v>46213</v>
      </c>
      <c r="D2785">
        <v>67.75</v>
      </c>
      <c r="F2785">
        <v>2616.56176086</v>
      </c>
    </row>
    <row r="2786" spans="1:7" x14ac:dyDescent="0.25">
      <c r="A2786" s="2">
        <v>2784</v>
      </c>
      <c r="B2786" t="s">
        <v>130</v>
      </c>
      <c r="C2786" s="1">
        <v>46213</v>
      </c>
      <c r="D2786">
        <v>68</v>
      </c>
    </row>
    <row r="2787" spans="1:7" x14ac:dyDescent="0.25">
      <c r="A2787" s="2">
        <v>2785</v>
      </c>
      <c r="B2787" t="s">
        <v>114</v>
      </c>
      <c r="C2787" s="1">
        <v>46213</v>
      </c>
      <c r="D2787">
        <v>90.875</v>
      </c>
      <c r="F2787">
        <v>1042.2522414600001</v>
      </c>
    </row>
    <row r="2788" spans="1:7" x14ac:dyDescent="0.25">
      <c r="A2788" s="2">
        <v>2786</v>
      </c>
      <c r="B2788" t="s">
        <v>91</v>
      </c>
      <c r="C2788" s="1">
        <v>46213</v>
      </c>
      <c r="D2788">
        <v>85.672269999999997</v>
      </c>
      <c r="E2788">
        <v>842.58833351999999</v>
      </c>
      <c r="F2788">
        <v>845.08365349999997</v>
      </c>
      <c r="G2788">
        <v>842.58833351999999</v>
      </c>
    </row>
    <row r="2789" spans="1:7" x14ac:dyDescent="0.25">
      <c r="A2789" s="2">
        <v>2787</v>
      </c>
      <c r="B2789" t="s">
        <v>95</v>
      </c>
      <c r="C2789" s="1">
        <v>46213</v>
      </c>
      <c r="D2789">
        <v>90.875</v>
      </c>
      <c r="F2789">
        <v>700.97210739000002</v>
      </c>
    </row>
    <row r="2790" spans="1:7" x14ac:dyDescent="0.25">
      <c r="A2790" s="2">
        <v>2788</v>
      </c>
      <c r="B2790" t="s">
        <v>174</v>
      </c>
      <c r="C2790" s="1">
        <v>46213</v>
      </c>
      <c r="D2790">
        <v>92.5</v>
      </c>
      <c r="F2790">
        <v>639.72772169999996</v>
      </c>
    </row>
    <row r="2791" spans="1:7" x14ac:dyDescent="0.25">
      <c r="A2791" s="2">
        <v>2789</v>
      </c>
      <c r="B2791" t="s">
        <v>228</v>
      </c>
      <c r="C2791" s="1">
        <v>46213</v>
      </c>
      <c r="D2791">
        <v>98.313810000000004</v>
      </c>
      <c r="E2791">
        <v>558.29551405999996</v>
      </c>
      <c r="F2791">
        <v>560.60779674000003</v>
      </c>
      <c r="G2791">
        <v>558.29551405999996</v>
      </c>
    </row>
    <row r="2792" spans="1:7" x14ac:dyDescent="0.25">
      <c r="A2792" s="2">
        <v>2790</v>
      </c>
      <c r="B2792" t="s">
        <v>232</v>
      </c>
      <c r="C2792" s="1">
        <v>46213</v>
      </c>
      <c r="D2792">
        <v>95.220600000000005</v>
      </c>
      <c r="E2792">
        <v>527.94688042999996</v>
      </c>
      <c r="F2792">
        <v>529.59621246999995</v>
      </c>
      <c r="G2792">
        <v>527.94688042999996</v>
      </c>
    </row>
    <row r="2793" spans="1:7" x14ac:dyDescent="0.25">
      <c r="A2793" s="2">
        <v>2791</v>
      </c>
      <c r="B2793" t="s">
        <v>234</v>
      </c>
      <c r="C2793" s="1">
        <v>46213</v>
      </c>
      <c r="D2793">
        <v>88.002380000000002</v>
      </c>
      <c r="E2793">
        <v>489.48027638000002</v>
      </c>
      <c r="F2793">
        <v>490.87223456999999</v>
      </c>
      <c r="G2793">
        <v>489.48027638000002</v>
      </c>
    </row>
    <row r="2794" spans="1:7" x14ac:dyDescent="0.25">
      <c r="A2794" s="2">
        <v>2792</v>
      </c>
      <c r="B2794" t="s">
        <v>236</v>
      </c>
      <c r="C2794" s="1">
        <v>46213</v>
      </c>
    </row>
    <row r="2795" spans="1:7" x14ac:dyDescent="0.25">
      <c r="A2795" s="2">
        <v>2793</v>
      </c>
      <c r="B2795" t="s">
        <v>238</v>
      </c>
      <c r="C2795" s="1">
        <v>46213</v>
      </c>
      <c r="D2795">
        <v>97.795559999999995</v>
      </c>
      <c r="E2795">
        <v>341.79305486999999</v>
      </c>
      <c r="F2795">
        <v>344.27901175</v>
      </c>
      <c r="G2795">
        <v>341.79305486999999</v>
      </c>
    </row>
    <row r="2796" spans="1:7" x14ac:dyDescent="0.25">
      <c r="A2796" s="2">
        <v>2794</v>
      </c>
      <c r="B2796" t="s">
        <v>240</v>
      </c>
      <c r="C2796" s="1">
        <v>46213</v>
      </c>
      <c r="D2796">
        <v>97.003299999999996</v>
      </c>
      <c r="E2796">
        <v>362.10717738</v>
      </c>
      <c r="F2796">
        <v>365.89013815999999</v>
      </c>
      <c r="G2796">
        <v>362.10717738</v>
      </c>
    </row>
    <row r="2797" spans="1:7" x14ac:dyDescent="0.25">
      <c r="A2797" s="2">
        <v>2795</v>
      </c>
      <c r="B2797" t="s">
        <v>3664</v>
      </c>
      <c r="C2797" s="1">
        <v>46213</v>
      </c>
    </row>
    <row r="2798" spans="1:7" x14ac:dyDescent="0.25">
      <c r="A2798" s="2">
        <v>2796</v>
      </c>
      <c r="B2798" t="s">
        <v>3666</v>
      </c>
      <c r="C2798" s="1">
        <v>46213</v>
      </c>
    </row>
    <row r="2799" spans="1:7" x14ac:dyDescent="0.25">
      <c r="A2799" s="2">
        <v>2797</v>
      </c>
      <c r="B2799" t="s">
        <v>242</v>
      </c>
      <c r="C2799" s="1">
        <v>46213</v>
      </c>
    </row>
    <row r="2800" spans="1:7" x14ac:dyDescent="0.25">
      <c r="A2800" s="2">
        <v>2798</v>
      </c>
      <c r="B2800" t="s">
        <v>244</v>
      </c>
      <c r="C2800" s="1">
        <v>46213</v>
      </c>
      <c r="D2800">
        <v>94.5</v>
      </c>
      <c r="F2800">
        <v>396.27021653999998</v>
      </c>
    </row>
    <row r="2801" spans="1:7" x14ac:dyDescent="0.25">
      <c r="A2801" s="2">
        <v>2799</v>
      </c>
      <c r="B2801" t="s">
        <v>246</v>
      </c>
      <c r="C2801" s="1">
        <v>46213</v>
      </c>
    </row>
    <row r="2802" spans="1:7" x14ac:dyDescent="0.25">
      <c r="A2802" s="2">
        <v>2800</v>
      </c>
      <c r="B2802" t="s">
        <v>248</v>
      </c>
      <c r="C2802" s="1">
        <v>46213</v>
      </c>
      <c r="D2802">
        <v>91.25</v>
      </c>
      <c r="F2802">
        <v>545.99602646000005</v>
      </c>
    </row>
    <row r="2803" spans="1:7" x14ac:dyDescent="0.25">
      <c r="A2803" s="2">
        <v>2801</v>
      </c>
      <c r="B2803" t="s">
        <v>250</v>
      </c>
      <c r="C2803" s="1">
        <v>46213</v>
      </c>
      <c r="D2803">
        <v>89.5</v>
      </c>
      <c r="F2803">
        <v>533.46248939999998</v>
      </c>
    </row>
    <row r="2804" spans="1:7" x14ac:dyDescent="0.25">
      <c r="A2804" s="2">
        <v>2802</v>
      </c>
      <c r="B2804" t="s">
        <v>252</v>
      </c>
      <c r="C2804" s="1">
        <v>46213</v>
      </c>
    </row>
    <row r="2805" spans="1:7" x14ac:dyDescent="0.25">
      <c r="A2805" s="2">
        <v>2803</v>
      </c>
      <c r="B2805" t="s">
        <v>254</v>
      </c>
      <c r="C2805" s="1">
        <v>46213</v>
      </c>
      <c r="D2805">
        <v>101.0625</v>
      </c>
      <c r="F2805">
        <v>1256.5539546299999</v>
      </c>
    </row>
    <row r="2806" spans="1:7" x14ac:dyDescent="0.25">
      <c r="A2806" s="2">
        <v>2804</v>
      </c>
      <c r="B2806" t="s">
        <v>257</v>
      </c>
      <c r="C2806" s="1">
        <v>46213</v>
      </c>
    </row>
    <row r="2807" spans="1:7" x14ac:dyDescent="0.25">
      <c r="A2807" s="2">
        <v>2805</v>
      </c>
      <c r="B2807" t="s">
        <v>259</v>
      </c>
      <c r="C2807" s="1">
        <v>46213</v>
      </c>
    </row>
    <row r="2808" spans="1:7" x14ac:dyDescent="0.25">
      <c r="A2808" s="2">
        <v>2806</v>
      </c>
      <c r="B2808" t="s">
        <v>344</v>
      </c>
      <c r="C2808" s="1">
        <v>46213</v>
      </c>
      <c r="D2808">
        <v>99.570149999999998</v>
      </c>
      <c r="E2808">
        <v>658.76768614000002</v>
      </c>
      <c r="F2808">
        <v>660.74123639000004</v>
      </c>
      <c r="G2808">
        <v>658.76768614000002</v>
      </c>
    </row>
    <row r="2809" spans="1:7" x14ac:dyDescent="0.25">
      <c r="A2809" s="2">
        <v>2807</v>
      </c>
      <c r="B2809" t="s">
        <v>348</v>
      </c>
      <c r="C2809" s="1">
        <v>46213</v>
      </c>
      <c r="D2809">
        <v>28.687580000000001</v>
      </c>
      <c r="E2809">
        <v>2825.7373535900001</v>
      </c>
      <c r="F2809">
        <v>2822.6980436099998</v>
      </c>
      <c r="G2809">
        <v>2825.7373535900001</v>
      </c>
    </row>
    <row r="2810" spans="1:7" x14ac:dyDescent="0.25">
      <c r="A2810" s="2">
        <v>2808</v>
      </c>
      <c r="B2810" t="s">
        <v>350</v>
      </c>
      <c r="C2810" s="1">
        <v>46213</v>
      </c>
      <c r="D2810">
        <v>18.5</v>
      </c>
      <c r="F2810">
        <v>5759.6536367299996</v>
      </c>
    </row>
    <row r="2811" spans="1:7" x14ac:dyDescent="0.25">
      <c r="A2811" s="2">
        <v>2809</v>
      </c>
      <c r="B2811" t="s">
        <v>352</v>
      </c>
      <c r="C2811" s="1">
        <v>46213</v>
      </c>
      <c r="D2811">
        <v>93.25</v>
      </c>
      <c r="F2811">
        <v>651.82454046999999</v>
      </c>
    </row>
    <row r="2812" spans="1:7" x14ac:dyDescent="0.25">
      <c r="A2812" s="2">
        <v>2810</v>
      </c>
      <c r="B2812" t="s">
        <v>354</v>
      </c>
      <c r="C2812" s="1">
        <v>46213</v>
      </c>
      <c r="D2812">
        <v>71</v>
      </c>
      <c r="F2812">
        <v>1371.1647749900001</v>
      </c>
    </row>
    <row r="2813" spans="1:7" x14ac:dyDescent="0.25">
      <c r="A2813" s="2">
        <v>2811</v>
      </c>
      <c r="B2813" t="s">
        <v>176</v>
      </c>
      <c r="C2813" s="1">
        <v>46213</v>
      </c>
      <c r="D2813">
        <v>102.7851</v>
      </c>
      <c r="E2813">
        <v>288.91564231000001</v>
      </c>
      <c r="F2813">
        <v>291.67912697999998</v>
      </c>
      <c r="G2813">
        <v>288.91564231000001</v>
      </c>
    </row>
    <row r="2814" spans="1:7" x14ac:dyDescent="0.25">
      <c r="A2814" s="2">
        <v>2812</v>
      </c>
      <c r="B2814" t="s">
        <v>178</v>
      </c>
      <c r="C2814" s="1">
        <v>46213</v>
      </c>
      <c r="D2814">
        <v>102.31</v>
      </c>
      <c r="E2814">
        <v>385.04824045999999</v>
      </c>
      <c r="F2814">
        <v>383.51982919</v>
      </c>
      <c r="G2814">
        <v>385.04824045999999</v>
      </c>
    </row>
    <row r="2815" spans="1:7" x14ac:dyDescent="0.25">
      <c r="A2815" s="2">
        <v>2813</v>
      </c>
      <c r="B2815" t="s">
        <v>180</v>
      </c>
      <c r="C2815" s="1">
        <v>46213</v>
      </c>
      <c r="D2815">
        <v>100.3437</v>
      </c>
      <c r="E2815">
        <v>561.77284109000004</v>
      </c>
      <c r="F2815">
        <v>563.76643881999996</v>
      </c>
      <c r="G2815">
        <v>561.77284109000004</v>
      </c>
    </row>
    <row r="2816" spans="1:7" x14ac:dyDescent="0.25">
      <c r="A2816" s="2">
        <v>2814</v>
      </c>
      <c r="B2816" t="s">
        <v>182</v>
      </c>
      <c r="C2816" s="1">
        <v>46213</v>
      </c>
      <c r="D2816">
        <v>102.292</v>
      </c>
      <c r="E2816">
        <v>359.85595501</v>
      </c>
      <c r="F2816">
        <v>362.33507666999998</v>
      </c>
      <c r="G2816">
        <v>359.85595501</v>
      </c>
    </row>
    <row r="2817" spans="1:7" x14ac:dyDescent="0.25">
      <c r="A2817" s="2">
        <v>2815</v>
      </c>
      <c r="B2817" t="s">
        <v>184</v>
      </c>
      <c r="C2817" s="1">
        <v>46213</v>
      </c>
      <c r="D2817">
        <v>92.941000000000003</v>
      </c>
      <c r="E2817">
        <v>819.49810826999999</v>
      </c>
      <c r="F2817">
        <v>817.009726</v>
      </c>
      <c r="G2817">
        <v>819.49810826999999</v>
      </c>
    </row>
    <row r="2818" spans="1:7" x14ac:dyDescent="0.25">
      <c r="A2818" s="2">
        <v>2816</v>
      </c>
      <c r="B2818" t="s">
        <v>186</v>
      </c>
      <c r="C2818" s="1">
        <v>46213</v>
      </c>
      <c r="D2818">
        <v>90.300529999999995</v>
      </c>
      <c r="E2818">
        <v>860.22864944000003</v>
      </c>
      <c r="F2818">
        <v>862.67746434000003</v>
      </c>
      <c r="G2818">
        <v>860.22864944000003</v>
      </c>
    </row>
    <row r="2819" spans="1:7" x14ac:dyDescent="0.25">
      <c r="A2819" s="2">
        <v>2817</v>
      </c>
      <c r="B2819" t="s">
        <v>188</v>
      </c>
      <c r="C2819" s="1">
        <v>46213</v>
      </c>
      <c r="D2819">
        <v>93.124279999999999</v>
      </c>
      <c r="E2819">
        <v>544.01255161999995</v>
      </c>
      <c r="F2819">
        <v>546.84836654000003</v>
      </c>
      <c r="G2819">
        <v>544.01255161999995</v>
      </c>
    </row>
    <row r="2820" spans="1:7" x14ac:dyDescent="0.25">
      <c r="A2820" s="2">
        <v>2818</v>
      </c>
      <c r="B2820" t="s">
        <v>190</v>
      </c>
      <c r="C2820" s="1">
        <v>46213</v>
      </c>
      <c r="D2820">
        <v>90.969059999999999</v>
      </c>
      <c r="E2820">
        <v>840.75927716000001</v>
      </c>
      <c r="F2820">
        <v>842.95805621</v>
      </c>
      <c r="G2820">
        <v>840.75927716000001</v>
      </c>
    </row>
    <row r="2821" spans="1:7" x14ac:dyDescent="0.25">
      <c r="A2821" s="2">
        <v>2819</v>
      </c>
      <c r="B2821" t="s">
        <v>192</v>
      </c>
      <c r="C2821" s="1">
        <v>46213</v>
      </c>
      <c r="D2821">
        <v>92.384140000000002</v>
      </c>
      <c r="E2821">
        <v>532.70522386000005</v>
      </c>
      <c r="F2821">
        <v>535.54469157999995</v>
      </c>
      <c r="G2821">
        <v>532.70522386000005</v>
      </c>
    </row>
    <row r="2822" spans="1:7" x14ac:dyDescent="0.25">
      <c r="A2822" s="2">
        <v>2820</v>
      </c>
      <c r="B2822" t="s">
        <v>194</v>
      </c>
      <c r="C2822" s="1">
        <v>46213</v>
      </c>
      <c r="D2822">
        <v>93.016189999999995</v>
      </c>
      <c r="E2822">
        <v>853.75637185000005</v>
      </c>
      <c r="F2822">
        <v>855.87708162000001</v>
      </c>
      <c r="G2822">
        <v>853.75637185000005</v>
      </c>
    </row>
    <row r="2823" spans="1:7" x14ac:dyDescent="0.25">
      <c r="A2823" s="2">
        <v>2821</v>
      </c>
      <c r="B2823" t="s">
        <v>196</v>
      </c>
      <c r="C2823" s="1">
        <v>46213</v>
      </c>
      <c r="D2823">
        <v>93.872290000000007</v>
      </c>
      <c r="E2823">
        <v>549.35380986999996</v>
      </c>
      <c r="F2823">
        <v>551.92110953999997</v>
      </c>
      <c r="G2823">
        <v>549.35380986999996</v>
      </c>
    </row>
    <row r="2824" spans="1:7" x14ac:dyDescent="0.25">
      <c r="A2824" s="2">
        <v>2822</v>
      </c>
      <c r="B2824" t="s">
        <v>198</v>
      </c>
      <c r="C2824" s="1">
        <v>46213</v>
      </c>
      <c r="D2824">
        <v>78.822999999999993</v>
      </c>
      <c r="E2824">
        <v>886.21861607000005</v>
      </c>
      <c r="F2824">
        <v>882.79079352999997</v>
      </c>
      <c r="G2824">
        <v>886.21861607000005</v>
      </c>
    </row>
    <row r="2825" spans="1:7" x14ac:dyDescent="0.25">
      <c r="A2825" s="2">
        <v>2823</v>
      </c>
      <c r="B2825" t="s">
        <v>200</v>
      </c>
      <c r="C2825" s="1">
        <v>46213</v>
      </c>
      <c r="D2825">
        <v>82.87</v>
      </c>
      <c r="E2825">
        <v>900.93413755999995</v>
      </c>
      <c r="F2825">
        <v>898.37301457000001</v>
      </c>
      <c r="G2825">
        <v>900.93413755999995</v>
      </c>
    </row>
    <row r="2826" spans="1:7" x14ac:dyDescent="0.25">
      <c r="A2826" s="2">
        <v>2824</v>
      </c>
      <c r="B2826" t="s">
        <v>83</v>
      </c>
      <c r="C2826" s="1">
        <v>46213</v>
      </c>
      <c r="D2826">
        <v>75.359049999999996</v>
      </c>
      <c r="E2826">
        <v>970.89858881999999</v>
      </c>
      <c r="F2826">
        <v>972.65663889999996</v>
      </c>
      <c r="G2826">
        <v>970.89858881999999</v>
      </c>
    </row>
    <row r="2827" spans="1:7" x14ac:dyDescent="0.25">
      <c r="A2827" s="2">
        <v>2825</v>
      </c>
      <c r="B2827" t="s">
        <v>202</v>
      </c>
      <c r="C2827" s="1">
        <v>46213</v>
      </c>
      <c r="D2827">
        <v>99.105840000000001</v>
      </c>
      <c r="E2827">
        <v>226.66089793</v>
      </c>
      <c r="F2827">
        <v>229.47455599</v>
      </c>
      <c r="G2827">
        <v>226.66089793</v>
      </c>
    </row>
    <row r="2828" spans="1:7" x14ac:dyDescent="0.25">
      <c r="A2828" s="2">
        <v>2826</v>
      </c>
      <c r="B2828" t="s">
        <v>204</v>
      </c>
      <c r="C2828" s="1">
        <v>46213</v>
      </c>
      <c r="D2828">
        <v>100.1018</v>
      </c>
      <c r="E2828">
        <v>467.00326702000001</v>
      </c>
      <c r="F2828">
        <v>469.52169885000001</v>
      </c>
      <c r="G2828">
        <v>467.00326702000001</v>
      </c>
    </row>
    <row r="2829" spans="1:7" x14ac:dyDescent="0.25">
      <c r="A2829" s="2">
        <v>2827</v>
      </c>
      <c r="B2829" t="s">
        <v>206</v>
      </c>
      <c r="C2829" s="1">
        <v>46213</v>
      </c>
      <c r="D2829">
        <v>98.103470000000002</v>
      </c>
      <c r="E2829">
        <v>237.60375095000001</v>
      </c>
      <c r="F2829">
        <v>240.42408517999999</v>
      </c>
      <c r="G2829">
        <v>237.60375095000001</v>
      </c>
    </row>
    <row r="2830" spans="1:7" x14ac:dyDescent="0.25">
      <c r="A2830" s="2">
        <v>2828</v>
      </c>
      <c r="B2830" t="s">
        <v>208</v>
      </c>
      <c r="C2830" s="1">
        <v>46213</v>
      </c>
      <c r="D2830">
        <v>75</v>
      </c>
      <c r="F2830">
        <v>976.84379650999995</v>
      </c>
    </row>
    <row r="2831" spans="1:7" x14ac:dyDescent="0.25">
      <c r="A2831" s="2">
        <v>2829</v>
      </c>
      <c r="B2831" t="s">
        <v>85</v>
      </c>
      <c r="C2831" s="1">
        <v>46213</v>
      </c>
      <c r="D2831">
        <v>75.5</v>
      </c>
      <c r="F2831">
        <v>913.13042662999999</v>
      </c>
    </row>
    <row r="2832" spans="1:7" x14ac:dyDescent="0.25">
      <c r="A2832" s="2">
        <v>2830</v>
      </c>
      <c r="B2832" t="s">
        <v>131</v>
      </c>
      <c r="C2832" s="1">
        <v>46213</v>
      </c>
      <c r="D2832">
        <v>97.655749999999998</v>
      </c>
      <c r="E2832">
        <v>259.26469545999998</v>
      </c>
      <c r="F2832">
        <v>261.17179351999999</v>
      </c>
      <c r="G2832">
        <v>259.26469545999998</v>
      </c>
    </row>
    <row r="2833" spans="1:7" x14ac:dyDescent="0.25">
      <c r="A2833" s="2">
        <v>2831</v>
      </c>
      <c r="B2833" t="s">
        <v>97</v>
      </c>
      <c r="C2833" s="1">
        <v>46213</v>
      </c>
      <c r="D2833">
        <v>55.394509999999997</v>
      </c>
      <c r="E2833">
        <v>2886.9138009899998</v>
      </c>
      <c r="F2833">
        <v>2889.1310855699999</v>
      </c>
      <c r="G2833">
        <v>2886.9138009899998</v>
      </c>
    </row>
    <row r="2834" spans="1:7" x14ac:dyDescent="0.25">
      <c r="A2834" s="2">
        <v>2832</v>
      </c>
      <c r="B2834" t="s">
        <v>101</v>
      </c>
      <c r="C2834" s="1">
        <v>46213</v>
      </c>
      <c r="D2834">
        <v>54.13158</v>
      </c>
      <c r="E2834">
        <v>2889.4102845900002</v>
      </c>
      <c r="F2834">
        <v>2891.61540719</v>
      </c>
      <c r="G2834">
        <v>2889.4102845900002</v>
      </c>
    </row>
    <row r="2835" spans="1:7" x14ac:dyDescent="0.25">
      <c r="A2835" s="2">
        <v>2833</v>
      </c>
      <c r="B2835" t="s">
        <v>133</v>
      </c>
      <c r="C2835" s="1">
        <v>46213</v>
      </c>
      <c r="D2835">
        <v>93.300669999999997</v>
      </c>
      <c r="E2835">
        <v>660.73073132000002</v>
      </c>
      <c r="F2835">
        <v>663.10448629999996</v>
      </c>
      <c r="G2835">
        <v>660.73073132000002</v>
      </c>
    </row>
    <row r="2836" spans="1:7" x14ac:dyDescent="0.25">
      <c r="A2836" s="2">
        <v>2834</v>
      </c>
      <c r="B2836" t="s">
        <v>103</v>
      </c>
      <c r="C2836" s="1">
        <v>46213</v>
      </c>
      <c r="D2836">
        <v>52.5</v>
      </c>
      <c r="F2836">
        <v>2931.1250595699998</v>
      </c>
    </row>
    <row r="2837" spans="1:7" x14ac:dyDescent="0.25">
      <c r="A2837" s="2">
        <v>2835</v>
      </c>
      <c r="B2837" t="s">
        <v>162</v>
      </c>
      <c r="C2837" s="1">
        <v>46213</v>
      </c>
      <c r="D2837">
        <v>76.764629999999997</v>
      </c>
      <c r="E2837">
        <v>1748.1623901999999</v>
      </c>
      <c r="F2837">
        <v>1750.6448743599999</v>
      </c>
      <c r="G2837">
        <v>1748.1623901999999</v>
      </c>
    </row>
    <row r="2838" spans="1:7" x14ac:dyDescent="0.25">
      <c r="A2838" s="2">
        <v>2836</v>
      </c>
      <c r="B2838" t="s">
        <v>164</v>
      </c>
      <c r="C2838" s="1">
        <v>46213</v>
      </c>
      <c r="D2838">
        <v>87.261449999999996</v>
      </c>
      <c r="E2838">
        <v>627.77265433000002</v>
      </c>
      <c r="F2838">
        <v>624.62594073000002</v>
      </c>
      <c r="G2838">
        <v>627.77265433000002</v>
      </c>
    </row>
    <row r="2839" spans="1:7" x14ac:dyDescent="0.25">
      <c r="A2839" s="2">
        <v>2837</v>
      </c>
      <c r="B2839" t="s">
        <v>105</v>
      </c>
      <c r="C2839" s="1">
        <v>46213</v>
      </c>
      <c r="D2839">
        <v>81.52176</v>
      </c>
      <c r="F2839">
        <v>1219.4426515</v>
      </c>
    </row>
    <row r="2840" spans="1:7" x14ac:dyDescent="0.25">
      <c r="A2840" s="2">
        <v>2838</v>
      </c>
      <c r="B2840" t="s">
        <v>166</v>
      </c>
      <c r="C2840" s="1">
        <v>46213</v>
      </c>
    </row>
    <row r="2841" spans="1:7" x14ac:dyDescent="0.25">
      <c r="A2841" s="2">
        <v>2839</v>
      </c>
      <c r="B2841" t="s">
        <v>168</v>
      </c>
      <c r="C2841" s="1">
        <v>46213</v>
      </c>
      <c r="D2841">
        <v>100.5</v>
      </c>
      <c r="F2841">
        <v>362.42638719000001</v>
      </c>
    </row>
    <row r="2842" spans="1:7" x14ac:dyDescent="0.25">
      <c r="A2842" s="2">
        <v>2840</v>
      </c>
      <c r="B2842" t="s">
        <v>170</v>
      </c>
      <c r="C2842" s="1">
        <v>46213</v>
      </c>
      <c r="D2842">
        <v>90.25</v>
      </c>
      <c r="F2842">
        <v>849.02820411000005</v>
      </c>
    </row>
    <row r="2843" spans="1:7" x14ac:dyDescent="0.25">
      <c r="A2843" s="2">
        <v>2841</v>
      </c>
      <c r="B2843" t="s">
        <v>172</v>
      </c>
      <c r="C2843" s="1">
        <v>46213</v>
      </c>
      <c r="D2843">
        <v>89.75</v>
      </c>
      <c r="F2843">
        <v>2778.7598780799999</v>
      </c>
    </row>
    <row r="2844" spans="1:7" x14ac:dyDescent="0.25">
      <c r="A2844" s="2">
        <v>2842</v>
      </c>
      <c r="B2844" t="s">
        <v>3619</v>
      </c>
      <c r="C2844" s="1">
        <v>46213</v>
      </c>
      <c r="D2844">
        <v>94.5</v>
      </c>
      <c r="F2844">
        <v>466.43245306</v>
      </c>
    </row>
    <row r="2845" spans="1:7" x14ac:dyDescent="0.25">
      <c r="A2845" s="2">
        <v>2843</v>
      </c>
      <c r="B2845" t="s">
        <v>3623</v>
      </c>
      <c r="C2845" s="1">
        <v>46213</v>
      </c>
      <c r="D2845">
        <v>92.25</v>
      </c>
      <c r="F2845">
        <v>481.25131898000001</v>
      </c>
    </row>
    <row r="2846" spans="1:7" x14ac:dyDescent="0.25">
      <c r="A2846" s="2">
        <v>2844</v>
      </c>
      <c r="B2846" t="s">
        <v>3625</v>
      </c>
      <c r="C2846" s="1">
        <v>46213</v>
      </c>
      <c r="D2846">
        <v>89.5</v>
      </c>
      <c r="F2846">
        <v>926.60579319999999</v>
      </c>
    </row>
    <row r="2847" spans="1:7" x14ac:dyDescent="0.25">
      <c r="A2847" s="2">
        <v>2845</v>
      </c>
      <c r="B2847" t="s">
        <v>216</v>
      </c>
      <c r="C2847" s="1">
        <v>46213</v>
      </c>
      <c r="D2847">
        <v>87.139809999999997</v>
      </c>
      <c r="E2847">
        <v>962.20533236000006</v>
      </c>
      <c r="F2847">
        <v>964.99472965999996</v>
      </c>
      <c r="G2847">
        <v>962.20533236000006</v>
      </c>
    </row>
    <row r="2848" spans="1:7" x14ac:dyDescent="0.25">
      <c r="A2848" s="2">
        <v>2846</v>
      </c>
      <c r="B2848" t="s">
        <v>89</v>
      </c>
      <c r="C2848" s="1">
        <v>46213</v>
      </c>
      <c r="D2848">
        <v>77.313770000000005</v>
      </c>
      <c r="E2848">
        <v>1826.73177908</v>
      </c>
      <c r="F2848">
        <v>1829.22531007</v>
      </c>
      <c r="G2848">
        <v>1826.73177908</v>
      </c>
    </row>
    <row r="2849" spans="1:7" x14ac:dyDescent="0.25">
      <c r="A2849" s="2">
        <v>2847</v>
      </c>
      <c r="B2849" t="s">
        <v>218</v>
      </c>
      <c r="C2849" s="1">
        <v>46213</v>
      </c>
      <c r="D2849">
        <v>95.537649999999999</v>
      </c>
      <c r="E2849">
        <v>851.63441377000004</v>
      </c>
      <c r="F2849">
        <v>854.08474655999999</v>
      </c>
      <c r="G2849">
        <v>851.63441377000004</v>
      </c>
    </row>
    <row r="2850" spans="1:7" x14ac:dyDescent="0.25">
      <c r="A2850" s="2">
        <v>2848</v>
      </c>
      <c r="B2850" t="s">
        <v>220</v>
      </c>
      <c r="C2850" s="1">
        <v>46213</v>
      </c>
    </row>
    <row r="2851" spans="1:7" x14ac:dyDescent="0.25">
      <c r="A2851" s="2">
        <v>2849</v>
      </c>
      <c r="B2851" t="s">
        <v>222</v>
      </c>
      <c r="C2851" s="1">
        <v>46213</v>
      </c>
      <c r="D2851">
        <v>92.75</v>
      </c>
      <c r="F2851">
        <v>818.13926822999997</v>
      </c>
    </row>
    <row r="2852" spans="1:7" x14ac:dyDescent="0.25">
      <c r="A2852" s="2">
        <v>2850</v>
      </c>
      <c r="B2852" t="s">
        <v>260</v>
      </c>
      <c r="C2852" s="1">
        <v>46213</v>
      </c>
      <c r="D2852">
        <v>68</v>
      </c>
      <c r="F2852">
        <v>3842.2701808100001</v>
      </c>
    </row>
    <row r="2853" spans="1:7" x14ac:dyDescent="0.25">
      <c r="A2853" s="2">
        <v>2851</v>
      </c>
      <c r="B2853" t="s">
        <v>264</v>
      </c>
      <c r="C2853" s="1">
        <v>46213</v>
      </c>
      <c r="D2853">
        <v>62.79486</v>
      </c>
      <c r="F2853">
        <v>1522.88581002</v>
      </c>
    </row>
    <row r="2854" spans="1:7" x14ac:dyDescent="0.25">
      <c r="A2854" s="2">
        <v>2852</v>
      </c>
      <c r="B2854" t="s">
        <v>266</v>
      </c>
      <c r="C2854" s="1">
        <v>46213</v>
      </c>
      <c r="D2854">
        <v>84.59581</v>
      </c>
      <c r="E2854">
        <v>602.62042833999999</v>
      </c>
      <c r="F2854">
        <v>604.97118161000003</v>
      </c>
      <c r="G2854">
        <v>602.62042833999999</v>
      </c>
    </row>
    <row r="2855" spans="1:7" x14ac:dyDescent="0.25">
      <c r="A2855" s="2">
        <v>2853</v>
      </c>
      <c r="B2855" t="s">
        <v>268</v>
      </c>
      <c r="C2855" s="1">
        <v>46213</v>
      </c>
      <c r="D2855">
        <v>61.255789999999998</v>
      </c>
      <c r="F2855">
        <v>1632.9973088900001</v>
      </c>
    </row>
    <row r="2856" spans="1:7" x14ac:dyDescent="0.25">
      <c r="A2856" s="2">
        <v>2854</v>
      </c>
      <c r="B2856" t="s">
        <v>270</v>
      </c>
      <c r="C2856" s="1">
        <v>46213</v>
      </c>
      <c r="D2856">
        <v>99.050039999999996</v>
      </c>
      <c r="F2856">
        <v>842.45823718999998</v>
      </c>
    </row>
    <row r="2857" spans="1:7" x14ac:dyDescent="0.25">
      <c r="A2857" s="2">
        <v>2855</v>
      </c>
      <c r="B2857" t="s">
        <v>272</v>
      </c>
      <c r="C2857" s="1">
        <v>46213</v>
      </c>
    </row>
    <row r="2858" spans="1:7" x14ac:dyDescent="0.25">
      <c r="A2858" s="2">
        <v>2856</v>
      </c>
      <c r="B2858" t="s">
        <v>274</v>
      </c>
      <c r="C2858" s="1">
        <v>46213</v>
      </c>
      <c r="D2858">
        <v>62.245600000000003</v>
      </c>
      <c r="E2858">
        <v>2702.3791051600001</v>
      </c>
      <c r="F2858">
        <v>2704.9790456400001</v>
      </c>
      <c r="G2858">
        <v>2702.3791051600001</v>
      </c>
    </row>
    <row r="2859" spans="1:7" x14ac:dyDescent="0.25">
      <c r="A2859" s="2">
        <v>2857</v>
      </c>
      <c r="B2859" t="s">
        <v>276</v>
      </c>
      <c r="C2859" s="1">
        <v>46213</v>
      </c>
    </row>
    <row r="2860" spans="1:7" x14ac:dyDescent="0.25">
      <c r="A2860" s="2">
        <v>2858</v>
      </c>
      <c r="B2860" t="s">
        <v>278</v>
      </c>
      <c r="C2860" s="1">
        <v>46213</v>
      </c>
      <c r="D2860">
        <v>88.75</v>
      </c>
      <c r="F2860">
        <v>791.16156755999998</v>
      </c>
    </row>
    <row r="2861" spans="1:7" x14ac:dyDescent="0.25">
      <c r="A2861" s="2">
        <v>2859</v>
      </c>
      <c r="B2861" t="s">
        <v>280</v>
      </c>
      <c r="C2861" s="1">
        <v>46213</v>
      </c>
      <c r="D2861">
        <v>100.375</v>
      </c>
      <c r="F2861">
        <v>336.96443574</v>
      </c>
    </row>
    <row r="2862" spans="1:7" x14ac:dyDescent="0.25">
      <c r="A2862" s="2">
        <v>2860</v>
      </c>
      <c r="B2862" t="s">
        <v>281</v>
      </c>
      <c r="C2862" s="1">
        <v>46213</v>
      </c>
    </row>
    <row r="2863" spans="1:7" x14ac:dyDescent="0.25">
      <c r="A2863" s="2">
        <v>2861</v>
      </c>
      <c r="B2863" t="s">
        <v>285</v>
      </c>
      <c r="C2863" s="1">
        <v>46213</v>
      </c>
      <c r="D2863">
        <v>61.125</v>
      </c>
      <c r="F2863">
        <v>1513.2895823700001</v>
      </c>
    </row>
    <row r="2864" spans="1:7" x14ac:dyDescent="0.25">
      <c r="A2864" s="2">
        <v>2862</v>
      </c>
      <c r="B2864" t="s">
        <v>286</v>
      </c>
      <c r="C2864" s="1">
        <v>46213</v>
      </c>
      <c r="D2864">
        <v>78</v>
      </c>
      <c r="F2864">
        <v>868.42307980999999</v>
      </c>
    </row>
    <row r="2865" spans="1:7" x14ac:dyDescent="0.25">
      <c r="A2865" s="2">
        <v>2863</v>
      </c>
      <c r="B2865" t="s">
        <v>335</v>
      </c>
      <c r="C2865" s="1">
        <v>46213</v>
      </c>
      <c r="D2865">
        <v>86.874949999999998</v>
      </c>
      <c r="E2865">
        <v>926.92414172999997</v>
      </c>
      <c r="F2865">
        <v>928.92185602999996</v>
      </c>
      <c r="G2865">
        <v>926.92414172999997</v>
      </c>
    </row>
    <row r="2866" spans="1:7" x14ac:dyDescent="0.25">
      <c r="A2866" s="2">
        <v>2864</v>
      </c>
      <c r="B2866" t="s">
        <v>339</v>
      </c>
      <c r="C2866" s="1">
        <v>46213</v>
      </c>
      <c r="D2866">
        <v>68.874579999999995</v>
      </c>
      <c r="E2866">
        <v>1940.7949576200001</v>
      </c>
      <c r="F2866">
        <v>1943.34460666</v>
      </c>
      <c r="G2866">
        <v>1940.7949576200001</v>
      </c>
    </row>
    <row r="2867" spans="1:7" x14ac:dyDescent="0.25">
      <c r="A2867" s="2">
        <v>2865</v>
      </c>
      <c r="B2867" t="s">
        <v>341</v>
      </c>
      <c r="C2867" s="1">
        <v>46213</v>
      </c>
      <c r="D2867">
        <v>90</v>
      </c>
      <c r="F2867">
        <v>776.7031336</v>
      </c>
    </row>
    <row r="2868" spans="1:7" x14ac:dyDescent="0.25">
      <c r="A2868" s="2">
        <v>2866</v>
      </c>
      <c r="B2868" t="s">
        <v>343</v>
      </c>
      <c r="C2868" s="1">
        <v>46213</v>
      </c>
      <c r="D2868">
        <v>84</v>
      </c>
      <c r="F2868">
        <v>790.28230484000005</v>
      </c>
    </row>
    <row r="2869" spans="1:7" x14ac:dyDescent="0.25">
      <c r="A2869" s="2">
        <v>2867</v>
      </c>
      <c r="B2869" t="s">
        <v>355</v>
      </c>
      <c r="C2869" s="1">
        <v>46213</v>
      </c>
      <c r="D2869">
        <v>18.927150000000001</v>
      </c>
      <c r="E2869">
        <v>10086.17949167</v>
      </c>
      <c r="F2869">
        <v>10088.563546990001</v>
      </c>
      <c r="G2869">
        <v>10086.17949167</v>
      </c>
    </row>
    <row r="2870" spans="1:7" x14ac:dyDescent="0.25">
      <c r="A2870" s="2">
        <v>2868</v>
      </c>
      <c r="B2870" t="s">
        <v>359</v>
      </c>
      <c r="C2870" s="1">
        <v>46213</v>
      </c>
      <c r="D2870">
        <v>57.889029999999998</v>
      </c>
      <c r="E2870">
        <v>2833.8009461199999</v>
      </c>
      <c r="F2870">
        <v>2836.11495702</v>
      </c>
      <c r="G2870">
        <v>2833.8009461199999</v>
      </c>
    </row>
    <row r="2871" spans="1:7" x14ac:dyDescent="0.25">
      <c r="A2871" s="2">
        <v>2869</v>
      </c>
      <c r="B2871" t="s">
        <v>361</v>
      </c>
      <c r="C2871" s="1">
        <v>46213</v>
      </c>
    </row>
    <row r="2872" spans="1:7" x14ac:dyDescent="0.25">
      <c r="A2872" s="2">
        <v>2870</v>
      </c>
      <c r="B2872" t="s">
        <v>363</v>
      </c>
      <c r="C2872" s="1">
        <v>46213</v>
      </c>
      <c r="D2872">
        <v>58.69164</v>
      </c>
      <c r="E2872">
        <v>3605.95834857</v>
      </c>
      <c r="F2872">
        <v>3608.3060499399999</v>
      </c>
      <c r="G2872">
        <v>3605.95834857</v>
      </c>
    </row>
    <row r="2873" spans="1:7" x14ac:dyDescent="0.25">
      <c r="A2873" s="2">
        <v>2871</v>
      </c>
      <c r="B2873" t="s">
        <v>365</v>
      </c>
      <c r="C2873" s="1">
        <v>46213</v>
      </c>
      <c r="D2873">
        <v>52</v>
      </c>
      <c r="F2873">
        <v>2255.0400351899998</v>
      </c>
    </row>
    <row r="2874" spans="1:7" x14ac:dyDescent="0.25">
      <c r="A2874" s="2">
        <v>2872</v>
      </c>
      <c r="B2874" t="s">
        <v>367</v>
      </c>
      <c r="C2874" s="1">
        <v>46213</v>
      </c>
    </row>
    <row r="2875" spans="1:7" x14ac:dyDescent="0.25">
      <c r="A2875" s="2">
        <v>2873</v>
      </c>
      <c r="B2875" t="s">
        <v>369</v>
      </c>
      <c r="C2875" s="1">
        <v>46213</v>
      </c>
      <c r="D2875">
        <v>57</v>
      </c>
      <c r="F2875">
        <v>3754.6492984699998</v>
      </c>
    </row>
    <row r="2876" spans="1:7" x14ac:dyDescent="0.25">
      <c r="A2876" s="2">
        <v>2874</v>
      </c>
      <c r="B2876" t="s">
        <v>371</v>
      </c>
      <c r="C2876" s="1">
        <v>46213</v>
      </c>
      <c r="D2876">
        <v>60</v>
      </c>
      <c r="F2876">
        <v>3602.1222642799999</v>
      </c>
    </row>
    <row r="2877" spans="1:7" x14ac:dyDescent="0.25">
      <c r="A2877" s="2">
        <v>2875</v>
      </c>
      <c r="B2877" t="s">
        <v>373</v>
      </c>
      <c r="C2877" s="1">
        <v>46213</v>
      </c>
    </row>
    <row r="2878" spans="1:7" x14ac:dyDescent="0.25">
      <c r="A2878" s="2">
        <v>2876</v>
      </c>
      <c r="B2878" t="s">
        <v>288</v>
      </c>
      <c r="C2878" s="1">
        <v>46213</v>
      </c>
      <c r="D2878">
        <v>61.826309999999999</v>
      </c>
      <c r="F2878">
        <v>2389.1293769899999</v>
      </c>
    </row>
    <row r="2879" spans="1:7" x14ac:dyDescent="0.25">
      <c r="A2879" s="2">
        <v>2877</v>
      </c>
      <c r="B2879" t="s">
        <v>292</v>
      </c>
      <c r="C2879" s="1">
        <v>46213</v>
      </c>
      <c r="D2879">
        <v>76.687460000000002</v>
      </c>
      <c r="E2879">
        <v>2005.61154975</v>
      </c>
      <c r="F2879">
        <v>2007.80908879</v>
      </c>
      <c r="G2879">
        <v>2005.61154975</v>
      </c>
    </row>
    <row r="2880" spans="1:7" x14ac:dyDescent="0.25">
      <c r="A2880" s="2">
        <v>2878</v>
      </c>
      <c r="B2880" t="s">
        <v>294</v>
      </c>
      <c r="C2880" s="1">
        <v>46213</v>
      </c>
      <c r="D2880">
        <v>32.438769999999998</v>
      </c>
      <c r="E2880">
        <v>3643.5789139600001</v>
      </c>
      <c r="F2880">
        <v>3645.6428325500001</v>
      </c>
      <c r="G2880">
        <v>3643.5789139600001</v>
      </c>
    </row>
    <row r="2881" spans="1:7" x14ac:dyDescent="0.25">
      <c r="A2881" s="2">
        <v>2879</v>
      </c>
      <c r="B2881" t="s">
        <v>296</v>
      </c>
      <c r="C2881" s="1">
        <v>46213</v>
      </c>
    </row>
    <row r="2882" spans="1:7" x14ac:dyDescent="0.25">
      <c r="A2882" s="2">
        <v>2880</v>
      </c>
      <c r="B2882" t="s">
        <v>3143</v>
      </c>
      <c r="C2882" s="1">
        <v>46213</v>
      </c>
      <c r="D2882">
        <v>88.427019999999999</v>
      </c>
      <c r="F2882">
        <v>628.67588893000004</v>
      </c>
    </row>
    <row r="2883" spans="1:7" x14ac:dyDescent="0.25">
      <c r="A2883" s="2">
        <v>2881</v>
      </c>
      <c r="B2883" t="s">
        <v>298</v>
      </c>
      <c r="C2883" s="1">
        <v>46213</v>
      </c>
      <c r="D2883">
        <v>29.114619999999999</v>
      </c>
      <c r="E2883">
        <v>4763.1860594600003</v>
      </c>
      <c r="F2883">
        <v>4765.3782145200003</v>
      </c>
      <c r="G2883">
        <v>4763.1860594600003</v>
      </c>
    </row>
    <row r="2884" spans="1:7" x14ac:dyDescent="0.25">
      <c r="A2884" s="2">
        <v>2882</v>
      </c>
      <c r="B2884" t="s">
        <v>300</v>
      </c>
      <c r="C2884" s="1">
        <v>46213</v>
      </c>
      <c r="D2884">
        <v>90.177819999999997</v>
      </c>
      <c r="E2884">
        <v>3165.3577289899999</v>
      </c>
      <c r="F2884">
        <v>3104.6424313299999</v>
      </c>
      <c r="G2884">
        <v>3165.3577289899999</v>
      </c>
    </row>
    <row r="2885" spans="1:7" x14ac:dyDescent="0.25">
      <c r="A2885" s="2">
        <v>2883</v>
      </c>
      <c r="B2885" t="s">
        <v>302</v>
      </c>
      <c r="C2885" s="1">
        <v>46213</v>
      </c>
    </row>
    <row r="2886" spans="1:7" x14ac:dyDescent="0.25">
      <c r="A2886" s="2">
        <v>2884</v>
      </c>
      <c r="B2886" t="s">
        <v>304</v>
      </c>
      <c r="C2886" s="1">
        <v>46213</v>
      </c>
      <c r="D2886">
        <v>67.75</v>
      </c>
      <c r="F2886">
        <v>2584.5046865300001</v>
      </c>
    </row>
    <row r="2887" spans="1:7" x14ac:dyDescent="0.25">
      <c r="A2887" s="2">
        <v>2885</v>
      </c>
      <c r="B2887" t="s">
        <v>306</v>
      </c>
      <c r="C2887" s="1">
        <v>46213</v>
      </c>
      <c r="D2887">
        <v>67.75</v>
      </c>
      <c r="F2887">
        <v>2452.3932705000002</v>
      </c>
    </row>
    <row r="2888" spans="1:7" x14ac:dyDescent="0.25">
      <c r="A2888" s="2">
        <v>2886</v>
      </c>
      <c r="B2888" t="s">
        <v>308</v>
      </c>
      <c r="C2888" s="1">
        <v>46213</v>
      </c>
      <c r="D2888">
        <v>67.5</v>
      </c>
      <c r="F2888">
        <v>2483.1130625000001</v>
      </c>
    </row>
    <row r="2889" spans="1:7" x14ac:dyDescent="0.25">
      <c r="A2889" s="2">
        <v>2887</v>
      </c>
      <c r="B2889" t="s">
        <v>375</v>
      </c>
      <c r="C2889" s="1">
        <v>46213</v>
      </c>
      <c r="D2889">
        <v>73.5</v>
      </c>
      <c r="F2889">
        <v>1147.3060777799999</v>
      </c>
    </row>
    <row r="2890" spans="1:7" x14ac:dyDescent="0.25">
      <c r="A2890" s="2">
        <v>2888</v>
      </c>
      <c r="B2890" t="s">
        <v>379</v>
      </c>
      <c r="C2890" s="1">
        <v>46213</v>
      </c>
      <c r="D2890">
        <v>55.625</v>
      </c>
      <c r="F2890">
        <v>1722.8861996400001</v>
      </c>
    </row>
    <row r="2891" spans="1:7" x14ac:dyDescent="0.25">
      <c r="A2891" s="2">
        <v>2889</v>
      </c>
      <c r="B2891" t="s">
        <v>400</v>
      </c>
      <c r="C2891" s="1">
        <v>46213</v>
      </c>
      <c r="D2891">
        <v>78</v>
      </c>
    </row>
    <row r="2892" spans="1:7" x14ac:dyDescent="0.25">
      <c r="A2892" s="2">
        <v>2890</v>
      </c>
      <c r="B2892" t="s">
        <v>401</v>
      </c>
      <c r="C2892" s="1">
        <v>46213</v>
      </c>
      <c r="D2892">
        <v>85.75</v>
      </c>
      <c r="F2892">
        <v>1448.69252929</v>
      </c>
    </row>
    <row r="2893" spans="1:7" x14ac:dyDescent="0.25">
      <c r="A2893" s="2">
        <v>2891</v>
      </c>
      <c r="B2893" t="s">
        <v>403</v>
      </c>
      <c r="C2893" s="1">
        <v>46213</v>
      </c>
      <c r="D2893">
        <v>87.5</v>
      </c>
      <c r="F2893">
        <v>1200.1263219800001</v>
      </c>
    </row>
    <row r="2894" spans="1:7" x14ac:dyDescent="0.25">
      <c r="A2894" s="2">
        <v>2892</v>
      </c>
      <c r="B2894" t="s">
        <v>405</v>
      </c>
      <c r="C2894" s="1">
        <v>46213</v>
      </c>
      <c r="D2894">
        <v>89.5</v>
      </c>
      <c r="F2894">
        <v>1083.18868907</v>
      </c>
    </row>
    <row r="2895" spans="1:7" x14ac:dyDescent="0.25">
      <c r="A2895" s="2">
        <v>2893</v>
      </c>
      <c r="B2895" t="s">
        <v>407</v>
      </c>
      <c r="C2895" s="1">
        <v>46213</v>
      </c>
    </row>
    <row r="2896" spans="1:7" x14ac:dyDescent="0.25">
      <c r="A2896" s="2">
        <v>2894</v>
      </c>
      <c r="B2896" t="s">
        <v>409</v>
      </c>
      <c r="C2896" s="1">
        <v>46213</v>
      </c>
    </row>
    <row r="2897" spans="1:7" x14ac:dyDescent="0.25">
      <c r="A2897" s="2">
        <v>2895</v>
      </c>
      <c r="B2897" t="s">
        <v>410</v>
      </c>
      <c r="C2897" s="1">
        <v>46213</v>
      </c>
    </row>
    <row r="2898" spans="1:7" x14ac:dyDescent="0.25">
      <c r="A2898" s="2">
        <v>2896</v>
      </c>
      <c r="B2898" t="s">
        <v>411</v>
      </c>
      <c r="C2898" s="1">
        <v>46213</v>
      </c>
    </row>
    <row r="2899" spans="1:7" x14ac:dyDescent="0.25">
      <c r="A2899" s="2">
        <v>2897</v>
      </c>
      <c r="B2899" t="s">
        <v>1033</v>
      </c>
      <c r="C2899" s="1">
        <v>46213</v>
      </c>
      <c r="D2899">
        <v>99.105019999999996</v>
      </c>
      <c r="E2899">
        <v>242.35351301</v>
      </c>
      <c r="F2899">
        <v>244.12919083</v>
      </c>
      <c r="G2899">
        <v>242.35351301</v>
      </c>
    </row>
    <row r="2900" spans="1:7" x14ac:dyDescent="0.25">
      <c r="A2900" s="2">
        <v>2898</v>
      </c>
      <c r="B2900" t="s">
        <v>1037</v>
      </c>
      <c r="C2900" s="1">
        <v>46213</v>
      </c>
      <c r="D2900">
        <v>99.721879999999999</v>
      </c>
      <c r="E2900">
        <v>184.65214367999999</v>
      </c>
      <c r="F2900">
        <v>188.77719784000001</v>
      </c>
      <c r="G2900">
        <v>184.65214367999999</v>
      </c>
    </row>
    <row r="2901" spans="1:7" x14ac:dyDescent="0.25">
      <c r="A2901" s="2">
        <v>2899</v>
      </c>
      <c r="B2901" t="s">
        <v>1039</v>
      </c>
      <c r="C2901" s="1">
        <v>46213</v>
      </c>
      <c r="D2901">
        <v>98.162750000000003</v>
      </c>
      <c r="E2901">
        <v>657.87650761999998</v>
      </c>
      <c r="F2901">
        <v>660.44050666999999</v>
      </c>
      <c r="G2901">
        <v>657.87650761999998</v>
      </c>
    </row>
    <row r="2902" spans="1:7" x14ac:dyDescent="0.25">
      <c r="A2902" s="2">
        <v>2900</v>
      </c>
      <c r="B2902" t="s">
        <v>1041</v>
      </c>
      <c r="C2902" s="1">
        <v>46213</v>
      </c>
      <c r="D2902">
        <v>94.103880000000004</v>
      </c>
      <c r="E2902">
        <v>689.49384425999995</v>
      </c>
      <c r="F2902">
        <v>691.68409354999994</v>
      </c>
      <c r="G2902">
        <v>689.49384425999995</v>
      </c>
    </row>
    <row r="2903" spans="1:7" x14ac:dyDescent="0.25">
      <c r="A2903" s="2">
        <v>2901</v>
      </c>
      <c r="B2903" t="s">
        <v>1043</v>
      </c>
      <c r="C2903" s="1">
        <v>46213</v>
      </c>
      <c r="D2903">
        <v>94.103880000000004</v>
      </c>
      <c r="E2903">
        <v>689.49384425999995</v>
      </c>
      <c r="F2903">
        <v>691.68409354999994</v>
      </c>
      <c r="G2903">
        <v>689.49384425999995</v>
      </c>
    </row>
    <row r="2904" spans="1:7" x14ac:dyDescent="0.25">
      <c r="A2904" s="2">
        <v>2902</v>
      </c>
      <c r="B2904" t="s">
        <v>1044</v>
      </c>
      <c r="C2904" s="1">
        <v>46213</v>
      </c>
      <c r="D2904">
        <v>98.162750000000003</v>
      </c>
      <c r="E2904">
        <v>657.87650761999998</v>
      </c>
      <c r="F2904">
        <v>660.44050666999999</v>
      </c>
      <c r="G2904">
        <v>657.87650761999998</v>
      </c>
    </row>
    <row r="2905" spans="1:7" x14ac:dyDescent="0.25">
      <c r="A2905" s="2">
        <v>2903</v>
      </c>
      <c r="B2905" t="s">
        <v>1045</v>
      </c>
      <c r="C2905" s="1">
        <v>46213</v>
      </c>
      <c r="D2905">
        <v>99.056110000000004</v>
      </c>
      <c r="E2905">
        <v>631.44038214</v>
      </c>
      <c r="F2905">
        <v>633.76449880999996</v>
      </c>
      <c r="G2905">
        <v>631.44038214</v>
      </c>
    </row>
    <row r="2906" spans="1:7" x14ac:dyDescent="0.25">
      <c r="A2906" s="2">
        <v>2904</v>
      </c>
      <c r="B2906" t="s">
        <v>1047</v>
      </c>
      <c r="C2906" s="1">
        <v>46213</v>
      </c>
      <c r="D2906">
        <v>100.00409999999999</v>
      </c>
      <c r="E2906">
        <v>380.57024894</v>
      </c>
      <c r="F2906">
        <v>381.8396669</v>
      </c>
      <c r="G2906">
        <v>380.57024894</v>
      </c>
    </row>
    <row r="2907" spans="1:7" x14ac:dyDescent="0.25">
      <c r="A2907" s="2">
        <v>2905</v>
      </c>
      <c r="B2907" t="s">
        <v>1049</v>
      </c>
      <c r="C2907" s="1">
        <v>46213</v>
      </c>
      <c r="D2907">
        <v>100.51819999999999</v>
      </c>
      <c r="E2907">
        <v>327.83752006999998</v>
      </c>
      <c r="F2907">
        <v>330.32021911999999</v>
      </c>
      <c r="G2907">
        <v>327.83752006999998</v>
      </c>
    </row>
    <row r="2908" spans="1:7" x14ac:dyDescent="0.25">
      <c r="A2908" s="2">
        <v>2906</v>
      </c>
      <c r="B2908" t="s">
        <v>1051</v>
      </c>
      <c r="C2908" s="1">
        <v>46213</v>
      </c>
    </row>
    <row r="2909" spans="1:7" x14ac:dyDescent="0.25">
      <c r="A2909" s="2">
        <v>2907</v>
      </c>
      <c r="B2909" t="s">
        <v>1053</v>
      </c>
      <c r="C2909" s="1">
        <v>46213</v>
      </c>
      <c r="D2909">
        <v>85.996709999999993</v>
      </c>
      <c r="E2909">
        <v>678.32599572000004</v>
      </c>
      <c r="F2909">
        <v>681.23156713000003</v>
      </c>
      <c r="G2909">
        <v>678.32599572000004</v>
      </c>
    </row>
    <row r="2910" spans="1:7" x14ac:dyDescent="0.25">
      <c r="A2910" s="2">
        <v>2908</v>
      </c>
      <c r="B2910" t="s">
        <v>1055</v>
      </c>
      <c r="C2910" s="1">
        <v>46213</v>
      </c>
      <c r="D2910">
        <v>85.996709999999993</v>
      </c>
      <c r="E2910">
        <v>678.32599572000004</v>
      </c>
      <c r="F2910">
        <v>681.23156713000003</v>
      </c>
      <c r="G2910">
        <v>678.32599572000004</v>
      </c>
    </row>
    <row r="2911" spans="1:7" x14ac:dyDescent="0.25">
      <c r="A2911" s="2">
        <v>2909</v>
      </c>
      <c r="B2911" t="s">
        <v>1056</v>
      </c>
      <c r="C2911" s="1">
        <v>46213</v>
      </c>
      <c r="D2911">
        <v>99.105019999999996</v>
      </c>
      <c r="E2911">
        <v>242.35351301</v>
      </c>
      <c r="F2911">
        <v>244.12919083</v>
      </c>
      <c r="G2911">
        <v>242.35351301</v>
      </c>
    </row>
    <row r="2912" spans="1:7" x14ac:dyDescent="0.25">
      <c r="A2912" s="2">
        <v>2910</v>
      </c>
      <c r="B2912" t="s">
        <v>29</v>
      </c>
      <c r="C2912" s="1">
        <v>46213</v>
      </c>
      <c r="D2912">
        <v>74.976979999999998</v>
      </c>
      <c r="E2912">
        <v>1478.45677151</v>
      </c>
      <c r="F2912">
        <v>1480.3406860800001</v>
      </c>
      <c r="G2912">
        <v>1478.45677151</v>
      </c>
    </row>
    <row r="2913" spans="1:7" x14ac:dyDescent="0.25">
      <c r="A2913" s="2">
        <v>2911</v>
      </c>
      <c r="B2913" t="s">
        <v>135</v>
      </c>
      <c r="C2913" s="1">
        <v>46213</v>
      </c>
      <c r="D2913">
        <v>89.794409999999999</v>
      </c>
      <c r="E2913">
        <v>1087.11524304</v>
      </c>
      <c r="F2913">
        <v>1090.91501309</v>
      </c>
      <c r="G2913">
        <v>1087.11524304</v>
      </c>
    </row>
    <row r="2914" spans="1:7" x14ac:dyDescent="0.25">
      <c r="A2914" s="2">
        <v>2912</v>
      </c>
      <c r="B2914" t="s">
        <v>22</v>
      </c>
      <c r="C2914" s="1">
        <v>46213</v>
      </c>
      <c r="D2914">
        <v>64.397949999999994</v>
      </c>
      <c r="E2914">
        <v>1556.2032170800001</v>
      </c>
      <c r="F2914">
        <v>1558.36845447</v>
      </c>
      <c r="G2914">
        <v>1556.2032170800001</v>
      </c>
    </row>
    <row r="2915" spans="1:7" x14ac:dyDescent="0.25">
      <c r="A2915" s="2">
        <v>2913</v>
      </c>
      <c r="B2915" t="s">
        <v>20</v>
      </c>
      <c r="C2915" s="1">
        <v>46213</v>
      </c>
      <c r="D2915">
        <v>88.544929999999994</v>
      </c>
      <c r="E2915">
        <v>946.70918454000002</v>
      </c>
      <c r="F2915">
        <v>950.34706117999997</v>
      </c>
      <c r="G2915">
        <v>946.70918454000002</v>
      </c>
    </row>
    <row r="2916" spans="1:7" x14ac:dyDescent="0.25">
      <c r="A2916" s="2">
        <v>2914</v>
      </c>
      <c r="B2916" t="s">
        <v>137</v>
      </c>
      <c r="C2916" s="1">
        <v>46213</v>
      </c>
      <c r="D2916">
        <v>102.72709999999999</v>
      </c>
      <c r="E2916">
        <v>158.3961382</v>
      </c>
      <c r="F2916">
        <v>164.79024752000001</v>
      </c>
      <c r="G2916">
        <v>158.3961382</v>
      </c>
    </row>
    <row r="2917" spans="1:7" x14ac:dyDescent="0.25">
      <c r="A2917" s="2">
        <v>2915</v>
      </c>
      <c r="B2917" t="s">
        <v>139</v>
      </c>
      <c r="C2917" s="1">
        <v>46213</v>
      </c>
      <c r="D2917">
        <v>101.89239999999999</v>
      </c>
      <c r="E2917">
        <v>536.67886271999998</v>
      </c>
      <c r="F2917">
        <v>538.72925657999997</v>
      </c>
      <c r="G2917">
        <v>536.67886271999998</v>
      </c>
    </row>
    <row r="2918" spans="1:7" x14ac:dyDescent="0.25">
      <c r="A2918" s="2">
        <v>2916</v>
      </c>
      <c r="B2918" t="s">
        <v>141</v>
      </c>
      <c r="C2918" s="1">
        <v>46213</v>
      </c>
      <c r="D2918">
        <v>100.93</v>
      </c>
      <c r="E2918">
        <v>-3886.12</v>
      </c>
      <c r="F2918">
        <v>-3914.66</v>
      </c>
      <c r="G2918">
        <v>-3886.12</v>
      </c>
    </row>
    <row r="2919" spans="1:7" x14ac:dyDescent="0.25">
      <c r="A2919" s="2">
        <v>2917</v>
      </c>
      <c r="B2919" t="s">
        <v>143</v>
      </c>
      <c r="C2919" s="1">
        <v>46213</v>
      </c>
    </row>
    <row r="2920" spans="1:7" x14ac:dyDescent="0.25">
      <c r="A2920" s="2">
        <v>2918</v>
      </c>
      <c r="B2920" t="s">
        <v>145</v>
      </c>
      <c r="C2920" s="1">
        <v>46213</v>
      </c>
      <c r="D2920">
        <v>99.158429999999996</v>
      </c>
      <c r="E2920">
        <v>291.83099779999998</v>
      </c>
      <c r="F2920">
        <v>294.33042836999999</v>
      </c>
      <c r="G2920">
        <v>291.83099779999998</v>
      </c>
    </row>
    <row r="2921" spans="1:7" x14ac:dyDescent="0.25">
      <c r="A2921" s="2">
        <v>2919</v>
      </c>
      <c r="B2921" t="s">
        <v>147</v>
      </c>
      <c r="C2921" s="1">
        <v>46213</v>
      </c>
      <c r="D2921">
        <v>102.2478</v>
      </c>
      <c r="E2921">
        <v>577.71957338000004</v>
      </c>
      <c r="F2921">
        <v>580.01594872999999</v>
      </c>
      <c r="G2921">
        <v>577.71957338000004</v>
      </c>
    </row>
    <row r="2922" spans="1:7" x14ac:dyDescent="0.25">
      <c r="A2922" s="2">
        <v>2920</v>
      </c>
      <c r="B2922" t="s">
        <v>149</v>
      </c>
      <c r="C2922" s="1">
        <v>46213</v>
      </c>
      <c r="D2922">
        <v>92.905360000000002</v>
      </c>
      <c r="E2922">
        <v>1208.3669671800001</v>
      </c>
      <c r="F2922">
        <v>1210.54456009</v>
      </c>
      <c r="G2922">
        <v>1208.3669671800001</v>
      </c>
    </row>
    <row r="2923" spans="1:7" x14ac:dyDescent="0.25">
      <c r="A2923" s="2">
        <v>2921</v>
      </c>
      <c r="B2923" t="s">
        <v>151</v>
      </c>
      <c r="C2923" s="1">
        <v>46213</v>
      </c>
      <c r="D2923">
        <v>93.234399999999994</v>
      </c>
      <c r="E2923">
        <v>480.70996482999999</v>
      </c>
      <c r="F2923">
        <v>483.48483005999998</v>
      </c>
      <c r="G2923">
        <v>480.70996482999999</v>
      </c>
    </row>
    <row r="2924" spans="1:7" x14ac:dyDescent="0.25">
      <c r="A2924" s="2">
        <v>2922</v>
      </c>
      <c r="B2924" t="s">
        <v>26</v>
      </c>
      <c r="C2924" s="1">
        <v>46213</v>
      </c>
      <c r="D2924">
        <v>59.371009999999998</v>
      </c>
      <c r="E2924">
        <v>1483.29640778</v>
      </c>
      <c r="F2924">
        <v>1485.4519350200001</v>
      </c>
      <c r="G2924">
        <v>1483.29640778</v>
      </c>
    </row>
    <row r="2925" spans="1:7" x14ac:dyDescent="0.25">
      <c r="A2925" s="2">
        <v>2923</v>
      </c>
      <c r="B2925" t="s">
        <v>31</v>
      </c>
      <c r="C2925" s="1">
        <v>46213</v>
      </c>
      <c r="D2925">
        <v>73.220460000000003</v>
      </c>
      <c r="E2925">
        <v>1440.1648487299999</v>
      </c>
      <c r="F2925">
        <v>1442.95670412</v>
      </c>
      <c r="G2925">
        <v>1440.1648487299999</v>
      </c>
    </row>
    <row r="2926" spans="1:7" x14ac:dyDescent="0.25">
      <c r="A2926" s="2">
        <v>2924</v>
      </c>
      <c r="B2926" t="s">
        <v>24</v>
      </c>
      <c r="C2926" s="1">
        <v>46213</v>
      </c>
      <c r="D2926">
        <v>75.391329999999996</v>
      </c>
      <c r="E2926">
        <v>1485.6574393599999</v>
      </c>
      <c r="F2926">
        <v>1488.4524741499999</v>
      </c>
      <c r="G2926">
        <v>1485.6574393599999</v>
      </c>
    </row>
    <row r="2927" spans="1:7" x14ac:dyDescent="0.25">
      <c r="A2927" s="2">
        <v>2925</v>
      </c>
      <c r="B2927" t="s">
        <v>153</v>
      </c>
      <c r="C2927" s="1">
        <v>46213</v>
      </c>
      <c r="D2927">
        <v>99.933909999999997</v>
      </c>
      <c r="E2927">
        <v>471.79827700999999</v>
      </c>
      <c r="F2927">
        <v>482.78559140999999</v>
      </c>
      <c r="G2927">
        <v>471.79827700999999</v>
      </c>
    </row>
    <row r="2928" spans="1:7" x14ac:dyDescent="0.25">
      <c r="A2928" s="2">
        <v>2926</v>
      </c>
      <c r="B2928" t="s">
        <v>155</v>
      </c>
      <c r="C2928" s="1">
        <v>46213</v>
      </c>
      <c r="D2928">
        <v>100.625</v>
      </c>
      <c r="F2928">
        <v>312.21564849999999</v>
      </c>
    </row>
    <row r="2929" spans="1:7" x14ac:dyDescent="0.25">
      <c r="A2929" s="2">
        <v>2927</v>
      </c>
      <c r="B2929" t="s">
        <v>157</v>
      </c>
      <c r="C2929" s="1">
        <v>46213</v>
      </c>
      <c r="D2929">
        <v>100.75</v>
      </c>
    </row>
    <row r="2930" spans="1:7" x14ac:dyDescent="0.25">
      <c r="A2930" s="2">
        <v>2928</v>
      </c>
      <c r="B2930" t="s">
        <v>158</v>
      </c>
      <c r="C2930" s="1">
        <v>46213</v>
      </c>
      <c r="D2930">
        <v>97.3125</v>
      </c>
      <c r="F2930">
        <v>717.84879368999998</v>
      </c>
    </row>
    <row r="2931" spans="1:7" x14ac:dyDescent="0.25">
      <c r="A2931" s="2">
        <v>2929</v>
      </c>
      <c r="B2931" t="s">
        <v>160</v>
      </c>
      <c r="C2931" s="1">
        <v>46213</v>
      </c>
      <c r="D2931">
        <v>88.5</v>
      </c>
    </row>
    <row r="2932" spans="1:7" x14ac:dyDescent="0.25">
      <c r="A2932" s="2">
        <v>2930</v>
      </c>
      <c r="B2932" t="s">
        <v>381</v>
      </c>
      <c r="C2932" s="1">
        <v>46213</v>
      </c>
      <c r="D2932">
        <v>19.81005</v>
      </c>
      <c r="F2932">
        <v>4902.1550306299996</v>
      </c>
    </row>
    <row r="2933" spans="1:7" x14ac:dyDescent="0.25">
      <c r="A2933" s="2">
        <v>2931</v>
      </c>
      <c r="B2933" t="s">
        <v>385</v>
      </c>
      <c r="C2933" s="1">
        <v>46213</v>
      </c>
      <c r="D2933">
        <v>43.03989</v>
      </c>
      <c r="E2933">
        <v>4429.6573963999999</v>
      </c>
      <c r="F2933">
        <v>4432.5410514300002</v>
      </c>
      <c r="G2933">
        <v>4429.6573963999999</v>
      </c>
    </row>
    <row r="2934" spans="1:7" x14ac:dyDescent="0.25">
      <c r="A2934" s="2">
        <v>2932</v>
      </c>
      <c r="B2934" t="s">
        <v>387</v>
      </c>
      <c r="C2934" s="1">
        <v>46213</v>
      </c>
      <c r="D2934">
        <v>61</v>
      </c>
      <c r="F2934">
        <v>2484.5895122900001</v>
      </c>
    </row>
    <row r="2935" spans="1:7" x14ac:dyDescent="0.25">
      <c r="A2935" s="2">
        <v>2933</v>
      </c>
      <c r="B2935" t="s">
        <v>389</v>
      </c>
      <c r="C2935" s="1">
        <v>46213</v>
      </c>
      <c r="D2935">
        <v>102.75</v>
      </c>
      <c r="F2935">
        <v>442.94442241000002</v>
      </c>
    </row>
    <row r="2936" spans="1:7" x14ac:dyDescent="0.25">
      <c r="A2936" s="2">
        <v>2934</v>
      </c>
      <c r="B2936" t="s">
        <v>391</v>
      </c>
      <c r="C2936" s="1">
        <v>46213</v>
      </c>
      <c r="D2936">
        <v>61</v>
      </c>
      <c r="F2936">
        <v>2636.4051123099998</v>
      </c>
    </row>
    <row r="2937" spans="1:7" x14ac:dyDescent="0.25">
      <c r="A2937" s="2">
        <v>2935</v>
      </c>
      <c r="B2937" t="s">
        <v>393</v>
      </c>
      <c r="C2937" s="1">
        <v>46213</v>
      </c>
      <c r="D2937">
        <v>62</v>
      </c>
      <c r="F2937">
        <v>5947.92743152</v>
      </c>
    </row>
    <row r="2938" spans="1:7" x14ac:dyDescent="0.25">
      <c r="A2938" s="2">
        <v>2936</v>
      </c>
      <c r="B2938" t="s">
        <v>395</v>
      </c>
      <c r="C2938" s="1">
        <v>46213</v>
      </c>
      <c r="D2938">
        <v>63</v>
      </c>
      <c r="F2938">
        <v>5810.7672715400004</v>
      </c>
    </row>
    <row r="2939" spans="1:7" x14ac:dyDescent="0.25">
      <c r="A2939" s="2">
        <v>2937</v>
      </c>
      <c r="B2939" t="s">
        <v>3363</v>
      </c>
      <c r="C2939" s="1">
        <v>46213</v>
      </c>
      <c r="D2939">
        <v>55</v>
      </c>
      <c r="F2939">
        <v>3456.3518522999998</v>
      </c>
    </row>
    <row r="2940" spans="1:7" x14ac:dyDescent="0.25">
      <c r="A2940" s="2">
        <v>2938</v>
      </c>
      <c r="B2940" t="s">
        <v>3367</v>
      </c>
      <c r="C2940" s="1">
        <v>46213</v>
      </c>
    </row>
    <row r="2941" spans="1:7" x14ac:dyDescent="0.25">
      <c r="A2941" s="2">
        <v>2939</v>
      </c>
      <c r="B2941" t="s">
        <v>3369</v>
      </c>
      <c r="C2941" s="1">
        <v>46213</v>
      </c>
      <c r="D2941">
        <v>64.5</v>
      </c>
      <c r="F2941">
        <v>2570.3135493300001</v>
      </c>
    </row>
    <row r="2942" spans="1:7" x14ac:dyDescent="0.25">
      <c r="A2942" s="2">
        <v>2940</v>
      </c>
      <c r="B2942" t="s">
        <v>428</v>
      </c>
      <c r="C2942" s="1">
        <v>46213</v>
      </c>
      <c r="D2942">
        <v>83.492739999999998</v>
      </c>
      <c r="E2942">
        <v>1222.3720809599999</v>
      </c>
      <c r="F2942">
        <v>1224.73024635</v>
      </c>
      <c r="G2942">
        <v>1222.3720809599999</v>
      </c>
    </row>
    <row r="2943" spans="1:7" x14ac:dyDescent="0.25">
      <c r="A2943" s="2">
        <v>2941</v>
      </c>
      <c r="B2943" t="s">
        <v>432</v>
      </c>
      <c r="C2943" s="1">
        <v>46213</v>
      </c>
      <c r="D2943">
        <v>78.5</v>
      </c>
    </row>
    <row r="2944" spans="1:7" x14ac:dyDescent="0.25">
      <c r="A2944" s="2">
        <v>2942</v>
      </c>
      <c r="B2944" t="s">
        <v>434</v>
      </c>
      <c r="C2944" s="1">
        <v>46213</v>
      </c>
      <c r="D2944">
        <v>77.5</v>
      </c>
      <c r="F2944">
        <v>1179.10662914</v>
      </c>
    </row>
    <row r="2945" spans="1:7" x14ac:dyDescent="0.25">
      <c r="A2945" s="2">
        <v>2943</v>
      </c>
      <c r="B2945" t="s">
        <v>436</v>
      </c>
      <c r="C2945" s="1">
        <v>46213</v>
      </c>
      <c r="D2945">
        <v>92.810659999999999</v>
      </c>
      <c r="E2945">
        <v>392.01857038000003</v>
      </c>
      <c r="F2945">
        <v>393.84524938999999</v>
      </c>
      <c r="G2945">
        <v>392.01857038000003</v>
      </c>
    </row>
    <row r="2946" spans="1:7" x14ac:dyDescent="0.25">
      <c r="A2946" s="2">
        <v>2944</v>
      </c>
      <c r="B2946" t="s">
        <v>440</v>
      </c>
      <c r="C2946" s="1">
        <v>46213</v>
      </c>
      <c r="D2946">
        <v>87.761939999999996</v>
      </c>
      <c r="E2946">
        <v>184.7976735</v>
      </c>
      <c r="F2946">
        <v>183.13764617000001</v>
      </c>
      <c r="G2946">
        <v>184.7976735</v>
      </c>
    </row>
    <row r="2947" spans="1:7" x14ac:dyDescent="0.25">
      <c r="A2947" s="2">
        <v>2945</v>
      </c>
      <c r="B2947" t="s">
        <v>442</v>
      </c>
      <c r="C2947" s="1">
        <v>46213</v>
      </c>
      <c r="D2947">
        <v>90.312899999999999</v>
      </c>
      <c r="E2947">
        <v>848.57594845000006</v>
      </c>
      <c r="F2947">
        <v>848.46216587000004</v>
      </c>
      <c r="G2947">
        <v>848.57594845000006</v>
      </c>
    </row>
    <row r="2948" spans="1:7" x14ac:dyDescent="0.25">
      <c r="A2948" s="2">
        <v>2946</v>
      </c>
      <c r="B2948" t="s">
        <v>444</v>
      </c>
      <c r="C2948" s="1">
        <v>46213</v>
      </c>
      <c r="D2948">
        <v>112.2942</v>
      </c>
      <c r="E2948">
        <v>-536.02571488000001</v>
      </c>
      <c r="F2948">
        <v>-533.73815449999995</v>
      </c>
      <c r="G2948">
        <v>-536.02571488000001</v>
      </c>
    </row>
    <row r="2949" spans="1:7" x14ac:dyDescent="0.25">
      <c r="A2949" s="2">
        <v>2947</v>
      </c>
      <c r="B2949" t="s">
        <v>446</v>
      </c>
      <c r="C2949" s="1">
        <v>46213</v>
      </c>
      <c r="D2949">
        <v>98.015140000000002</v>
      </c>
      <c r="E2949">
        <v>529.24108920000003</v>
      </c>
      <c r="F2949">
        <v>529.85079289999999</v>
      </c>
      <c r="G2949">
        <v>529.24108920000003</v>
      </c>
    </row>
    <row r="2950" spans="1:7" x14ac:dyDescent="0.25">
      <c r="A2950" s="2">
        <v>2948</v>
      </c>
      <c r="B2950" t="s">
        <v>449</v>
      </c>
      <c r="C2950" s="1">
        <v>46213</v>
      </c>
      <c r="D2950">
        <v>100.0089</v>
      </c>
      <c r="E2950">
        <v>350.53062251</v>
      </c>
      <c r="F2950">
        <v>352.39327319</v>
      </c>
      <c r="G2950">
        <v>350.53062251</v>
      </c>
    </row>
    <row r="2951" spans="1:7" x14ac:dyDescent="0.25">
      <c r="A2951" s="2">
        <v>2949</v>
      </c>
      <c r="B2951" t="s">
        <v>451</v>
      </c>
      <c r="C2951" s="1">
        <v>46213</v>
      </c>
      <c r="D2951">
        <v>94.534750000000003</v>
      </c>
      <c r="E2951">
        <v>146.18584533999999</v>
      </c>
      <c r="F2951">
        <v>146.93314262000001</v>
      </c>
      <c r="G2951">
        <v>146.18584533999999</v>
      </c>
    </row>
    <row r="2952" spans="1:7" x14ac:dyDescent="0.25">
      <c r="A2952" s="2">
        <v>2950</v>
      </c>
      <c r="B2952" t="s">
        <v>453</v>
      </c>
      <c r="C2952" s="1">
        <v>46213</v>
      </c>
      <c r="D2952">
        <v>91.25</v>
      </c>
      <c r="F2952">
        <v>866.33322344999999</v>
      </c>
    </row>
    <row r="2953" spans="1:7" x14ac:dyDescent="0.25">
      <c r="A2953" s="2">
        <v>2951</v>
      </c>
      <c r="B2953" t="s">
        <v>455</v>
      </c>
      <c r="C2953" s="1">
        <v>46213</v>
      </c>
      <c r="D2953">
        <v>90</v>
      </c>
    </row>
    <row r="2954" spans="1:7" x14ac:dyDescent="0.25">
      <c r="A2954" s="2">
        <v>2952</v>
      </c>
      <c r="B2954" t="s">
        <v>502</v>
      </c>
      <c r="C2954" s="1">
        <v>46213</v>
      </c>
      <c r="D2954">
        <v>81.341650000000001</v>
      </c>
    </row>
    <row r="2955" spans="1:7" x14ac:dyDescent="0.25">
      <c r="A2955" s="2">
        <v>2953</v>
      </c>
      <c r="B2955" t="s">
        <v>506</v>
      </c>
      <c r="C2955" s="1">
        <v>46213</v>
      </c>
      <c r="D2955">
        <v>46.231250000000003</v>
      </c>
    </row>
    <row r="2956" spans="1:7" x14ac:dyDescent="0.25">
      <c r="A2956" s="2">
        <v>2954</v>
      </c>
      <c r="B2956" t="s">
        <v>508</v>
      </c>
      <c r="C2956" s="1">
        <v>46213</v>
      </c>
      <c r="D2956">
        <v>88.721630000000005</v>
      </c>
      <c r="F2956">
        <v>692.82237587999998</v>
      </c>
    </row>
    <row r="2957" spans="1:7" x14ac:dyDescent="0.25">
      <c r="A2957" s="2">
        <v>2955</v>
      </c>
      <c r="B2957" t="s">
        <v>510</v>
      </c>
      <c r="C2957" s="1">
        <v>46213</v>
      </c>
      <c r="D2957">
        <v>7.2016280000000004</v>
      </c>
    </row>
    <row r="2958" spans="1:7" x14ac:dyDescent="0.25">
      <c r="A2958" s="2">
        <v>2956</v>
      </c>
      <c r="B2958" t="s">
        <v>512</v>
      </c>
      <c r="C2958" s="1">
        <v>46213</v>
      </c>
      <c r="D2958">
        <v>43.638680000000001</v>
      </c>
    </row>
    <row r="2959" spans="1:7" x14ac:dyDescent="0.25">
      <c r="A2959" s="2">
        <v>2957</v>
      </c>
      <c r="B2959" t="s">
        <v>514</v>
      </c>
      <c r="C2959" s="1">
        <v>46213</v>
      </c>
      <c r="D2959">
        <v>6.6451000000000002</v>
      </c>
    </row>
    <row r="2960" spans="1:7" x14ac:dyDescent="0.25">
      <c r="A2960" s="2">
        <v>2958</v>
      </c>
      <c r="B2960" t="s">
        <v>516</v>
      </c>
      <c r="C2960" s="1">
        <v>46213</v>
      </c>
      <c r="D2960">
        <v>85.75</v>
      </c>
      <c r="F2960">
        <v>897.69232869999996</v>
      </c>
    </row>
    <row r="2961" spans="1:7" x14ac:dyDescent="0.25">
      <c r="A2961" s="2">
        <v>2959</v>
      </c>
      <c r="B2961" t="s">
        <v>518</v>
      </c>
      <c r="C2961" s="1">
        <v>46213</v>
      </c>
      <c r="D2961">
        <v>86</v>
      </c>
      <c r="F2961">
        <v>662.29454318000001</v>
      </c>
    </row>
    <row r="2962" spans="1:7" x14ac:dyDescent="0.25">
      <c r="A2962" s="2">
        <v>2960</v>
      </c>
      <c r="B2962" t="s">
        <v>520</v>
      </c>
      <c r="C2962" s="1">
        <v>46213</v>
      </c>
      <c r="D2962">
        <v>100.875</v>
      </c>
      <c r="F2962">
        <v>375.41789354999997</v>
      </c>
    </row>
    <row r="2963" spans="1:7" x14ac:dyDescent="0.25">
      <c r="A2963" s="2">
        <v>2961</v>
      </c>
      <c r="B2963" t="s">
        <v>523</v>
      </c>
      <c r="C2963" s="1">
        <v>46213</v>
      </c>
      <c r="D2963">
        <v>100.875</v>
      </c>
      <c r="F2963">
        <v>375.41789354999997</v>
      </c>
    </row>
    <row r="2964" spans="1:7" x14ac:dyDescent="0.25">
      <c r="A2964" s="2">
        <v>2962</v>
      </c>
      <c r="B2964" t="s">
        <v>524</v>
      </c>
      <c r="C2964" s="1">
        <v>46213</v>
      </c>
      <c r="D2964">
        <v>45</v>
      </c>
    </row>
    <row r="2965" spans="1:7" x14ac:dyDescent="0.25">
      <c r="A2965" s="2">
        <v>2963</v>
      </c>
      <c r="B2965" t="s">
        <v>526</v>
      </c>
      <c r="C2965" s="1">
        <v>46213</v>
      </c>
      <c r="D2965">
        <v>44</v>
      </c>
    </row>
    <row r="2966" spans="1:7" x14ac:dyDescent="0.25">
      <c r="A2966" s="2">
        <v>2964</v>
      </c>
      <c r="B2966" t="s">
        <v>3725</v>
      </c>
      <c r="C2966" s="1">
        <v>46213</v>
      </c>
    </row>
    <row r="2967" spans="1:7" x14ac:dyDescent="0.25">
      <c r="A2967" s="2">
        <v>2965</v>
      </c>
      <c r="B2967" t="s">
        <v>458</v>
      </c>
      <c r="C2967" s="1">
        <v>46213</v>
      </c>
      <c r="D2967">
        <v>100.911</v>
      </c>
      <c r="E2967">
        <v>467.05807213000003</v>
      </c>
      <c r="F2967">
        <v>469.36107084000002</v>
      </c>
      <c r="G2967">
        <v>467.05807213000003</v>
      </c>
    </row>
    <row r="2968" spans="1:7" x14ac:dyDescent="0.25">
      <c r="A2968" s="2">
        <v>2966</v>
      </c>
      <c r="B2968" t="s">
        <v>463</v>
      </c>
      <c r="C2968" s="1">
        <v>46213</v>
      </c>
      <c r="D2968">
        <v>70.162430000000001</v>
      </c>
      <c r="E2968">
        <v>1535.99812464</v>
      </c>
      <c r="F2968">
        <v>1537.77012702</v>
      </c>
      <c r="G2968">
        <v>1535.99812464</v>
      </c>
    </row>
    <row r="2969" spans="1:7" x14ac:dyDescent="0.25">
      <c r="A2969" s="2">
        <v>2967</v>
      </c>
      <c r="B2969" t="s">
        <v>465</v>
      </c>
      <c r="C2969" s="1">
        <v>46213</v>
      </c>
      <c r="D2969">
        <v>83.5</v>
      </c>
      <c r="F2969">
        <v>913.96814365</v>
      </c>
    </row>
    <row r="2970" spans="1:7" x14ac:dyDescent="0.25">
      <c r="A2970" s="2">
        <v>2968</v>
      </c>
      <c r="B2970" t="s">
        <v>467</v>
      </c>
      <c r="C2970" s="1">
        <v>46213</v>
      </c>
    </row>
    <row r="2971" spans="1:7" x14ac:dyDescent="0.25">
      <c r="A2971" s="2">
        <v>2969</v>
      </c>
      <c r="B2971" t="s">
        <v>470</v>
      </c>
      <c r="C2971" s="1">
        <v>46213</v>
      </c>
      <c r="D2971">
        <v>80.5</v>
      </c>
      <c r="F2971">
        <v>708.56780217000005</v>
      </c>
    </row>
    <row r="2972" spans="1:7" x14ac:dyDescent="0.25">
      <c r="A2972" s="2">
        <v>2970</v>
      </c>
      <c r="B2972" t="s">
        <v>472</v>
      </c>
      <c r="C2972" s="1">
        <v>46213</v>
      </c>
    </row>
    <row r="2973" spans="1:7" x14ac:dyDescent="0.25">
      <c r="A2973" s="2">
        <v>2971</v>
      </c>
      <c r="B2973" t="s">
        <v>474</v>
      </c>
      <c r="C2973" s="1">
        <v>46213</v>
      </c>
    </row>
    <row r="2974" spans="1:7" x14ac:dyDescent="0.25">
      <c r="A2974" s="2">
        <v>2972</v>
      </c>
      <c r="B2974" t="s">
        <v>3371</v>
      </c>
      <c r="C2974" s="1">
        <v>46213</v>
      </c>
      <c r="D2974">
        <v>94</v>
      </c>
      <c r="F2974">
        <v>1007.80928047</v>
      </c>
    </row>
    <row r="2975" spans="1:7" x14ac:dyDescent="0.25">
      <c r="A2975" s="2">
        <v>2973</v>
      </c>
      <c r="B2975" t="s">
        <v>3375</v>
      </c>
      <c r="C2975" s="1">
        <v>46213</v>
      </c>
      <c r="D2975">
        <v>96.25</v>
      </c>
      <c r="F2975">
        <v>467.59078713999997</v>
      </c>
    </row>
    <row r="2976" spans="1:7" x14ac:dyDescent="0.25">
      <c r="A2976" s="2">
        <v>2974</v>
      </c>
      <c r="B2976" t="s">
        <v>3377</v>
      </c>
      <c r="C2976" s="1">
        <v>46213</v>
      </c>
      <c r="D2976">
        <v>90.25</v>
      </c>
      <c r="F2976">
        <v>1134.3021277</v>
      </c>
    </row>
    <row r="2977" spans="1:7" x14ac:dyDescent="0.25">
      <c r="A2977" s="2">
        <v>2975</v>
      </c>
      <c r="B2977" t="s">
        <v>3379</v>
      </c>
      <c r="C2977" s="1">
        <v>46213</v>
      </c>
      <c r="D2977">
        <v>90</v>
      </c>
      <c r="F2977">
        <v>1107.9439406500001</v>
      </c>
    </row>
    <row r="2978" spans="1:7" x14ac:dyDescent="0.25">
      <c r="A2978" s="2">
        <v>2976</v>
      </c>
      <c r="B2978" t="s">
        <v>3381</v>
      </c>
      <c r="C2978" s="1">
        <v>46213</v>
      </c>
      <c r="D2978">
        <v>93.25</v>
      </c>
      <c r="F2978">
        <v>580.64228643000001</v>
      </c>
    </row>
    <row r="2979" spans="1:7" x14ac:dyDescent="0.25">
      <c r="A2979" s="2">
        <v>2977</v>
      </c>
      <c r="B2979" t="s">
        <v>528</v>
      </c>
      <c r="C2979" s="1">
        <v>46213</v>
      </c>
      <c r="D2979">
        <v>77.5</v>
      </c>
      <c r="F2979">
        <v>2001.3404216399999</v>
      </c>
    </row>
    <row r="2980" spans="1:7" x14ac:dyDescent="0.25">
      <c r="A2980" s="2">
        <v>2978</v>
      </c>
      <c r="B2980" t="s">
        <v>532</v>
      </c>
      <c r="C2980" s="1">
        <v>46213</v>
      </c>
      <c r="D2980">
        <v>98.0625</v>
      </c>
      <c r="F2980">
        <v>799.70198640000001</v>
      </c>
    </row>
    <row r="2981" spans="1:7" x14ac:dyDescent="0.25">
      <c r="A2981" s="2">
        <v>2979</v>
      </c>
      <c r="B2981" t="s">
        <v>534</v>
      </c>
      <c r="C2981" s="1">
        <v>46213</v>
      </c>
      <c r="D2981">
        <v>64.5</v>
      </c>
      <c r="F2981">
        <v>2702.18753853</v>
      </c>
    </row>
    <row r="2982" spans="1:7" x14ac:dyDescent="0.25">
      <c r="A2982" s="2">
        <v>2980</v>
      </c>
      <c r="B2982" t="s">
        <v>477</v>
      </c>
      <c r="C2982" s="1">
        <v>46213</v>
      </c>
      <c r="D2982">
        <v>33.97871</v>
      </c>
      <c r="E2982">
        <v>3579.6217134100002</v>
      </c>
      <c r="F2982">
        <v>3581.3147706899999</v>
      </c>
      <c r="G2982">
        <v>3579.6217134100002</v>
      </c>
    </row>
    <row r="2983" spans="1:7" x14ac:dyDescent="0.25">
      <c r="A2983" s="2">
        <v>2981</v>
      </c>
      <c r="B2983" t="s">
        <v>481</v>
      </c>
      <c r="C2983" s="1">
        <v>46213</v>
      </c>
      <c r="D2983">
        <v>44.397640000000003</v>
      </c>
      <c r="E2983">
        <v>3675.7621084299999</v>
      </c>
      <c r="F2983">
        <v>3678.0126150800002</v>
      </c>
      <c r="G2983">
        <v>3675.7621084299999</v>
      </c>
    </row>
    <row r="2984" spans="1:7" x14ac:dyDescent="0.25">
      <c r="A2984" s="2">
        <v>2982</v>
      </c>
      <c r="B2984" t="s">
        <v>483</v>
      </c>
      <c r="C2984" s="1">
        <v>46213</v>
      </c>
      <c r="D2984">
        <v>70.772450000000006</v>
      </c>
      <c r="E2984">
        <v>2032.7202730199999</v>
      </c>
      <c r="F2984">
        <v>2034.8074669499999</v>
      </c>
      <c r="G2984">
        <v>2032.7202730199999</v>
      </c>
    </row>
    <row r="2985" spans="1:7" x14ac:dyDescent="0.25">
      <c r="A2985" s="2">
        <v>2983</v>
      </c>
      <c r="B2985" t="s">
        <v>485</v>
      </c>
      <c r="C2985" s="1">
        <v>46213</v>
      </c>
      <c r="D2985">
        <v>87.829220000000007</v>
      </c>
      <c r="E2985">
        <v>1015.72751983</v>
      </c>
      <c r="F2985">
        <v>1017.7755452500001</v>
      </c>
      <c r="G2985">
        <v>1015.72751983</v>
      </c>
    </row>
    <row r="2986" spans="1:7" x14ac:dyDescent="0.25">
      <c r="A2986" s="2">
        <v>2984</v>
      </c>
      <c r="B2986" t="s">
        <v>487</v>
      </c>
      <c r="C2986" s="1">
        <v>46213</v>
      </c>
      <c r="D2986">
        <v>66.253410000000002</v>
      </c>
      <c r="E2986">
        <v>2826.67</v>
      </c>
      <c r="F2986">
        <v>2793.13</v>
      </c>
      <c r="G2986">
        <v>2826.67</v>
      </c>
    </row>
    <row r="2987" spans="1:7" x14ac:dyDescent="0.25">
      <c r="A2987" s="2">
        <v>2985</v>
      </c>
      <c r="B2987" t="s">
        <v>490</v>
      </c>
      <c r="C2987" s="1">
        <v>46213</v>
      </c>
    </row>
    <row r="2988" spans="1:7" x14ac:dyDescent="0.25">
      <c r="A2988" s="2">
        <v>2986</v>
      </c>
      <c r="B2988" t="s">
        <v>492</v>
      </c>
      <c r="C2988" s="1">
        <v>46213</v>
      </c>
      <c r="D2988">
        <v>34.754620000000003</v>
      </c>
      <c r="E2988">
        <v>1852.0932159900001</v>
      </c>
      <c r="F2988">
        <v>1852.4596027099999</v>
      </c>
      <c r="G2988">
        <v>1852.0932159900001</v>
      </c>
    </row>
    <row r="2989" spans="1:7" x14ac:dyDescent="0.25">
      <c r="A2989" s="2">
        <v>2987</v>
      </c>
      <c r="B2989" t="s">
        <v>494</v>
      </c>
      <c r="C2989" s="1">
        <v>46213</v>
      </c>
      <c r="D2989">
        <v>35.977629999999998</v>
      </c>
      <c r="E2989">
        <v>1755.2894021899999</v>
      </c>
      <c r="F2989">
        <v>1749.0876565999999</v>
      </c>
      <c r="G2989">
        <v>1755.2894021899999</v>
      </c>
    </row>
    <row r="2990" spans="1:7" x14ac:dyDescent="0.25">
      <c r="A2990" s="2">
        <v>2988</v>
      </c>
      <c r="B2990" t="s">
        <v>496</v>
      </c>
      <c r="C2990" s="1">
        <v>46213</v>
      </c>
    </row>
    <row r="2991" spans="1:7" x14ac:dyDescent="0.25">
      <c r="A2991" s="2">
        <v>2989</v>
      </c>
      <c r="B2991" t="s">
        <v>498</v>
      </c>
      <c r="C2991" s="1">
        <v>46213</v>
      </c>
      <c r="D2991">
        <v>58.469279999999998</v>
      </c>
      <c r="E2991">
        <v>3108.1909644399998</v>
      </c>
      <c r="F2991">
        <v>3110.5064006100001</v>
      </c>
      <c r="G2991">
        <v>3108.1909644399998</v>
      </c>
    </row>
    <row r="2992" spans="1:7" x14ac:dyDescent="0.25">
      <c r="A2992" s="2">
        <v>2990</v>
      </c>
      <c r="B2992" t="s">
        <v>500</v>
      </c>
      <c r="C2992" s="1">
        <v>46213</v>
      </c>
      <c r="D2992">
        <v>73.75</v>
      </c>
      <c r="F2992">
        <v>1829.44995586</v>
      </c>
    </row>
    <row r="2993" spans="1:7" x14ac:dyDescent="0.25">
      <c r="A2993" s="2">
        <v>2991</v>
      </c>
      <c r="B2993" t="s">
        <v>210</v>
      </c>
      <c r="C2993" s="1">
        <v>46213</v>
      </c>
      <c r="D2993">
        <v>92.370289999999997</v>
      </c>
      <c r="E2993">
        <v>1304.40050632</v>
      </c>
      <c r="F2993">
        <v>1307.7833232200001</v>
      </c>
      <c r="G2993">
        <v>1304.40050632</v>
      </c>
    </row>
    <row r="2994" spans="1:7" x14ac:dyDescent="0.25">
      <c r="A2994" s="2">
        <v>2992</v>
      </c>
      <c r="B2994" t="s">
        <v>109</v>
      </c>
      <c r="C2994" s="1">
        <v>46213</v>
      </c>
      <c r="D2994">
        <v>72.568399999999997</v>
      </c>
      <c r="E2994">
        <v>1813.8356821699999</v>
      </c>
      <c r="F2994">
        <v>1816.05954625</v>
      </c>
      <c r="G2994">
        <v>1813.8356821699999</v>
      </c>
    </row>
    <row r="2995" spans="1:7" x14ac:dyDescent="0.25">
      <c r="A2995" s="2">
        <v>2993</v>
      </c>
      <c r="B2995" t="s">
        <v>212</v>
      </c>
      <c r="C2995" s="1">
        <v>46213</v>
      </c>
      <c r="D2995">
        <v>92</v>
      </c>
      <c r="F2995">
        <v>700.63299456000004</v>
      </c>
    </row>
    <row r="2996" spans="1:7" x14ac:dyDescent="0.25">
      <c r="A2996" s="2">
        <v>2994</v>
      </c>
      <c r="B2996" t="s">
        <v>214</v>
      </c>
      <c r="C2996" s="1">
        <v>46213</v>
      </c>
      <c r="D2996">
        <v>91.625</v>
      </c>
      <c r="F2996">
        <v>1809.32084859</v>
      </c>
    </row>
    <row r="2997" spans="1:7" x14ac:dyDescent="0.25">
      <c r="A2997" s="2">
        <v>2995</v>
      </c>
      <c r="B2997" t="s">
        <v>552</v>
      </c>
      <c r="C2997" s="1">
        <v>46213</v>
      </c>
      <c r="D2997">
        <v>61.178710000000002</v>
      </c>
      <c r="E2997">
        <v>3030.19197386</v>
      </c>
      <c r="F2997">
        <v>3033.25010449</v>
      </c>
      <c r="G2997">
        <v>3030.19197386</v>
      </c>
    </row>
    <row r="2998" spans="1:7" x14ac:dyDescent="0.25">
      <c r="A2998" s="2">
        <v>2996</v>
      </c>
      <c r="B2998" t="s">
        <v>556</v>
      </c>
      <c r="C2998" s="1">
        <v>46213</v>
      </c>
      <c r="D2998">
        <v>45.507289999999998</v>
      </c>
      <c r="E2998">
        <v>2186.4813904799998</v>
      </c>
      <c r="F2998">
        <v>2188.43395659</v>
      </c>
      <c r="G2998">
        <v>2186.4813904799998</v>
      </c>
    </row>
    <row r="2999" spans="1:7" x14ac:dyDescent="0.25">
      <c r="A2999" s="2">
        <v>2997</v>
      </c>
      <c r="B2999" t="s">
        <v>558</v>
      </c>
      <c r="C2999" s="1">
        <v>46213</v>
      </c>
      <c r="D2999">
        <v>90</v>
      </c>
      <c r="F2999">
        <v>704.20586086000003</v>
      </c>
    </row>
    <row r="3000" spans="1:7" x14ac:dyDescent="0.25">
      <c r="A3000" s="2">
        <v>2998</v>
      </c>
      <c r="B3000" t="s">
        <v>560</v>
      </c>
      <c r="C3000" s="1">
        <v>46213</v>
      </c>
      <c r="D3000">
        <v>90</v>
      </c>
      <c r="F3000">
        <v>698.31338416999995</v>
      </c>
    </row>
    <row r="3001" spans="1:7" x14ac:dyDescent="0.25">
      <c r="A3001" s="2">
        <v>2999</v>
      </c>
      <c r="B3001" t="s">
        <v>562</v>
      </c>
      <c r="C3001" s="1">
        <v>46213</v>
      </c>
      <c r="D3001">
        <v>87.25</v>
      </c>
      <c r="F3001">
        <v>989.88406143999998</v>
      </c>
    </row>
    <row r="3002" spans="1:7" x14ac:dyDescent="0.25">
      <c r="A3002" s="2">
        <v>3000</v>
      </c>
      <c r="B3002" t="s">
        <v>564</v>
      </c>
      <c r="C3002" s="1">
        <v>46213</v>
      </c>
      <c r="D3002">
        <v>86</v>
      </c>
    </row>
    <row r="3003" spans="1:7" x14ac:dyDescent="0.25">
      <c r="A3003" s="2">
        <v>3001</v>
      </c>
      <c r="B3003" t="s">
        <v>586</v>
      </c>
      <c r="C3003" s="1">
        <v>46213</v>
      </c>
      <c r="D3003">
        <v>85.580600000000004</v>
      </c>
      <c r="E3003">
        <v>1.18249107</v>
      </c>
      <c r="F3003">
        <v>23.077806039999999</v>
      </c>
      <c r="G3003">
        <v>1.18249107</v>
      </c>
    </row>
    <row r="3004" spans="1:7" x14ac:dyDescent="0.25">
      <c r="A3004" s="2">
        <v>3002</v>
      </c>
      <c r="B3004" t="s">
        <v>592</v>
      </c>
      <c r="C3004" s="1">
        <v>46213</v>
      </c>
    </row>
    <row r="3005" spans="1:7" x14ac:dyDescent="0.25">
      <c r="A3005" s="2">
        <v>3003</v>
      </c>
      <c r="B3005" t="s">
        <v>594</v>
      </c>
      <c r="C3005" s="1">
        <v>46213</v>
      </c>
      <c r="D3005">
        <v>94.252300000000005</v>
      </c>
      <c r="E3005">
        <v>88.374620919999998</v>
      </c>
      <c r="F3005">
        <v>90.322084899999993</v>
      </c>
      <c r="G3005">
        <v>88.374620919999998</v>
      </c>
    </row>
    <row r="3006" spans="1:7" x14ac:dyDescent="0.25">
      <c r="A3006" s="2">
        <v>3004</v>
      </c>
      <c r="B3006" t="s">
        <v>597</v>
      </c>
      <c r="C3006" s="1">
        <v>46213</v>
      </c>
      <c r="D3006">
        <v>91.822100000000006</v>
      </c>
      <c r="E3006">
        <v>6.9126801499999999</v>
      </c>
      <c r="F3006">
        <v>7.41888272</v>
      </c>
      <c r="G3006">
        <v>6.9126801499999999</v>
      </c>
    </row>
    <row r="3007" spans="1:7" x14ac:dyDescent="0.25">
      <c r="A3007" s="2">
        <v>3005</v>
      </c>
      <c r="B3007" t="s">
        <v>599</v>
      </c>
      <c r="C3007" s="1">
        <v>46213</v>
      </c>
      <c r="D3007">
        <v>68.319820000000007</v>
      </c>
      <c r="E3007">
        <v>177.96106789999999</v>
      </c>
      <c r="F3007">
        <v>179.40725723</v>
      </c>
      <c r="G3007">
        <v>177.96106789999999</v>
      </c>
    </row>
    <row r="3008" spans="1:7" x14ac:dyDescent="0.25">
      <c r="A3008" s="2">
        <v>3006</v>
      </c>
      <c r="B3008" t="s">
        <v>601</v>
      </c>
      <c r="C3008" s="1">
        <v>46213</v>
      </c>
      <c r="D3008">
        <v>89.260949999999994</v>
      </c>
      <c r="E3008">
        <v>97.590734370000007</v>
      </c>
      <c r="F3008">
        <v>99.509529060000006</v>
      </c>
      <c r="G3008">
        <v>97.590734370000007</v>
      </c>
    </row>
    <row r="3009" spans="1:7" x14ac:dyDescent="0.25">
      <c r="A3009" s="2">
        <v>3007</v>
      </c>
      <c r="B3009" t="s">
        <v>603</v>
      </c>
      <c r="C3009" s="1">
        <v>46213</v>
      </c>
      <c r="D3009">
        <v>99.10651</v>
      </c>
      <c r="E3009">
        <v>56.455002819999997</v>
      </c>
      <c r="F3009">
        <v>64.824307399999995</v>
      </c>
      <c r="G3009">
        <v>56.455002819999997</v>
      </c>
    </row>
    <row r="3010" spans="1:7" x14ac:dyDescent="0.25">
      <c r="A3010" s="2">
        <v>3008</v>
      </c>
      <c r="B3010" t="s">
        <v>605</v>
      </c>
      <c r="C3010" s="1">
        <v>46213</v>
      </c>
      <c r="D3010">
        <v>98.623699999999999</v>
      </c>
      <c r="E3010">
        <v>-3.4857539999999999E-2</v>
      </c>
      <c r="F3010">
        <v>8.7644632900000001</v>
      </c>
      <c r="G3010">
        <v>-3.4857539999999999E-2</v>
      </c>
    </row>
    <row r="3011" spans="1:7" x14ac:dyDescent="0.25">
      <c r="A3011" s="2">
        <v>3009</v>
      </c>
      <c r="B3011" t="s">
        <v>607</v>
      </c>
      <c r="C3011" s="1">
        <v>46213</v>
      </c>
      <c r="D3011">
        <v>84.89752</v>
      </c>
      <c r="E3011">
        <v>198.22339020000001</v>
      </c>
      <c r="F3011">
        <v>198.78498217999999</v>
      </c>
      <c r="G3011">
        <v>198.22339020000001</v>
      </c>
    </row>
    <row r="3012" spans="1:7" x14ac:dyDescent="0.25">
      <c r="A3012" s="2">
        <v>3010</v>
      </c>
      <c r="B3012" t="s">
        <v>609</v>
      </c>
      <c r="C3012" s="1">
        <v>46213</v>
      </c>
      <c r="D3012">
        <v>96.441199999999995</v>
      </c>
      <c r="E3012">
        <v>132.99769852</v>
      </c>
      <c r="F3012">
        <v>134.41931414000001</v>
      </c>
      <c r="G3012">
        <v>132.99769852</v>
      </c>
    </row>
    <row r="3013" spans="1:7" x14ac:dyDescent="0.25">
      <c r="A3013" s="2">
        <v>3011</v>
      </c>
      <c r="B3013" t="s">
        <v>611</v>
      </c>
      <c r="C3013" s="1">
        <v>46213</v>
      </c>
      <c r="D3013">
        <v>98.914050000000003</v>
      </c>
      <c r="E3013">
        <v>108.55331669</v>
      </c>
      <c r="F3013">
        <v>110.9793648</v>
      </c>
      <c r="G3013">
        <v>108.55331669</v>
      </c>
    </row>
    <row r="3014" spans="1:7" x14ac:dyDescent="0.25">
      <c r="A3014" s="2">
        <v>3012</v>
      </c>
      <c r="B3014" t="s">
        <v>613</v>
      </c>
      <c r="C3014" s="1">
        <v>46213</v>
      </c>
      <c r="D3014">
        <v>85.108590000000007</v>
      </c>
      <c r="E3014">
        <v>181.25793661</v>
      </c>
      <c r="F3014">
        <v>181.94649620000001</v>
      </c>
      <c r="G3014">
        <v>181.25793661</v>
      </c>
    </row>
    <row r="3015" spans="1:7" x14ac:dyDescent="0.25">
      <c r="A3015" s="2">
        <v>3013</v>
      </c>
      <c r="B3015" t="s">
        <v>615</v>
      </c>
      <c r="C3015" s="1">
        <v>46213</v>
      </c>
      <c r="D3015">
        <v>98.803730000000002</v>
      </c>
      <c r="E3015">
        <v>101.95757168999999</v>
      </c>
      <c r="F3015">
        <v>103.44049454</v>
      </c>
      <c r="G3015">
        <v>101.95757168999999</v>
      </c>
    </row>
    <row r="3016" spans="1:7" x14ac:dyDescent="0.25">
      <c r="A3016" s="2">
        <v>3014</v>
      </c>
      <c r="B3016" t="s">
        <v>617</v>
      </c>
      <c r="C3016" s="1">
        <v>46213</v>
      </c>
      <c r="D3016">
        <v>100.08</v>
      </c>
      <c r="E3016">
        <v>70.555766489999996</v>
      </c>
      <c r="F3016">
        <v>74.489441630000002</v>
      </c>
      <c r="G3016">
        <v>70.555766489999996</v>
      </c>
    </row>
    <row r="3017" spans="1:7" x14ac:dyDescent="0.25">
      <c r="A3017" s="2">
        <v>3015</v>
      </c>
      <c r="B3017" t="s">
        <v>619</v>
      </c>
      <c r="C3017" s="1">
        <v>46213</v>
      </c>
    </row>
    <row r="3018" spans="1:7" x14ac:dyDescent="0.25">
      <c r="A3018" s="2">
        <v>3016</v>
      </c>
      <c r="B3018" t="s">
        <v>621</v>
      </c>
      <c r="C3018" s="1">
        <v>46213</v>
      </c>
      <c r="D3018">
        <v>96.999049999999997</v>
      </c>
      <c r="E3018">
        <v>100.88496127000001</v>
      </c>
      <c r="F3018">
        <v>102.38498235</v>
      </c>
      <c r="G3018">
        <v>100.88496127000001</v>
      </c>
    </row>
    <row r="3019" spans="1:7" x14ac:dyDescent="0.25">
      <c r="A3019" s="2">
        <v>3017</v>
      </c>
      <c r="B3019" t="s">
        <v>623</v>
      </c>
      <c r="C3019" s="1">
        <v>46213</v>
      </c>
      <c r="D3019">
        <v>98.669079999999994</v>
      </c>
      <c r="E3019">
        <v>76.516854890000005</v>
      </c>
      <c r="F3019">
        <v>78.424779290000004</v>
      </c>
      <c r="G3019">
        <v>76.516854890000005</v>
      </c>
    </row>
    <row r="3020" spans="1:7" x14ac:dyDescent="0.25">
      <c r="A3020" s="2">
        <v>3018</v>
      </c>
      <c r="B3020" t="s">
        <v>625</v>
      </c>
      <c r="C3020" s="1">
        <v>46213</v>
      </c>
      <c r="D3020">
        <v>91.912009999999995</v>
      </c>
      <c r="E3020">
        <v>25.94610746</v>
      </c>
      <c r="F3020">
        <v>26.54931887</v>
      </c>
      <c r="G3020">
        <v>25.94610746</v>
      </c>
    </row>
    <row r="3021" spans="1:7" x14ac:dyDescent="0.25">
      <c r="A3021" s="2">
        <v>3019</v>
      </c>
      <c r="B3021" t="s">
        <v>627</v>
      </c>
      <c r="C3021" s="1">
        <v>46213</v>
      </c>
      <c r="D3021">
        <v>95.540099999999995</v>
      </c>
      <c r="E3021">
        <v>17.088517339999999</v>
      </c>
      <c r="F3021">
        <v>17.732784240000001</v>
      </c>
      <c r="G3021">
        <v>17.088517339999999</v>
      </c>
    </row>
    <row r="3022" spans="1:7" x14ac:dyDescent="0.25">
      <c r="A3022" s="2">
        <v>3020</v>
      </c>
      <c r="B3022" t="s">
        <v>629</v>
      </c>
      <c r="C3022" s="1">
        <v>46213</v>
      </c>
      <c r="D3022">
        <v>96.176310000000001</v>
      </c>
      <c r="E3022">
        <v>13.90070794</v>
      </c>
      <c r="F3022">
        <v>14.90166236</v>
      </c>
      <c r="G3022">
        <v>13.90070794</v>
      </c>
    </row>
    <row r="3023" spans="1:7" x14ac:dyDescent="0.25">
      <c r="A3023" s="2">
        <v>3021</v>
      </c>
      <c r="B3023" t="s">
        <v>631</v>
      </c>
      <c r="C3023" s="1">
        <v>46213</v>
      </c>
      <c r="D3023">
        <v>96.639849999999996</v>
      </c>
      <c r="E3023">
        <v>11.0334751</v>
      </c>
      <c r="F3023">
        <v>11.872089000000001</v>
      </c>
      <c r="G3023">
        <v>11.0334751</v>
      </c>
    </row>
    <row r="3024" spans="1:7" x14ac:dyDescent="0.25">
      <c r="A3024" s="2">
        <v>3022</v>
      </c>
      <c r="B3024" t="s">
        <v>633</v>
      </c>
      <c r="C3024" s="1">
        <v>46213</v>
      </c>
      <c r="D3024">
        <v>102.2706</v>
      </c>
      <c r="E3024">
        <v>89.7660932</v>
      </c>
      <c r="F3024">
        <v>92.022743520000006</v>
      </c>
      <c r="G3024">
        <v>89.7660932</v>
      </c>
    </row>
    <row r="3025" spans="1:7" x14ac:dyDescent="0.25">
      <c r="A3025" s="2">
        <v>3023</v>
      </c>
      <c r="B3025" t="s">
        <v>635</v>
      </c>
      <c r="C3025" s="1">
        <v>46213</v>
      </c>
      <c r="D3025">
        <v>106.3762</v>
      </c>
      <c r="E3025">
        <v>114.80593657999999</v>
      </c>
      <c r="F3025">
        <v>116.15658878000001</v>
      </c>
      <c r="G3025">
        <v>114.80593657999999</v>
      </c>
    </row>
    <row r="3026" spans="1:7" x14ac:dyDescent="0.25">
      <c r="A3026" s="2">
        <v>3024</v>
      </c>
      <c r="B3026" t="s">
        <v>637</v>
      </c>
      <c r="C3026" s="1">
        <v>46213</v>
      </c>
    </row>
    <row r="3027" spans="1:7" x14ac:dyDescent="0.25">
      <c r="A3027" s="2">
        <v>3025</v>
      </c>
      <c r="B3027" t="s">
        <v>639</v>
      </c>
      <c r="C3027" s="1">
        <v>46213</v>
      </c>
    </row>
    <row r="3028" spans="1:7" x14ac:dyDescent="0.25">
      <c r="A3028" s="2">
        <v>3026</v>
      </c>
      <c r="B3028" t="s">
        <v>641</v>
      </c>
      <c r="C3028" s="1">
        <v>46213</v>
      </c>
      <c r="D3028">
        <v>87.855140000000006</v>
      </c>
      <c r="E3028">
        <v>199.00407937</v>
      </c>
      <c r="F3028">
        <v>199.56036921</v>
      </c>
      <c r="G3028">
        <v>199.00407937</v>
      </c>
    </row>
    <row r="3029" spans="1:7" x14ac:dyDescent="0.25">
      <c r="A3029" s="2">
        <v>3027</v>
      </c>
      <c r="B3029" t="s">
        <v>643</v>
      </c>
      <c r="C3029" s="1">
        <v>46213</v>
      </c>
      <c r="D3029">
        <v>99.048460000000006</v>
      </c>
      <c r="E3029">
        <v>134.34493592000001</v>
      </c>
      <c r="F3029">
        <v>135.82355622</v>
      </c>
      <c r="G3029">
        <v>134.34493592000001</v>
      </c>
    </row>
    <row r="3030" spans="1:7" x14ac:dyDescent="0.25">
      <c r="A3030" s="2">
        <v>3028</v>
      </c>
      <c r="B3030" t="s">
        <v>645</v>
      </c>
      <c r="C3030" s="1">
        <v>46213</v>
      </c>
      <c r="D3030">
        <v>99.891030000000001</v>
      </c>
      <c r="E3030">
        <v>102.9987629</v>
      </c>
      <c r="F3030">
        <v>105.49937734</v>
      </c>
      <c r="G3030">
        <v>102.9987629</v>
      </c>
    </row>
    <row r="3031" spans="1:7" x14ac:dyDescent="0.25">
      <c r="A3031" s="2">
        <v>3029</v>
      </c>
      <c r="B3031" t="s">
        <v>647</v>
      </c>
      <c r="C3031" s="1">
        <v>46213</v>
      </c>
      <c r="D3031">
        <v>96.108050000000006</v>
      </c>
      <c r="E3031">
        <v>19.036095589999999</v>
      </c>
      <c r="F3031">
        <v>19.40751363</v>
      </c>
      <c r="G3031">
        <v>19.036095589999999</v>
      </c>
    </row>
    <row r="3032" spans="1:7" x14ac:dyDescent="0.25">
      <c r="A3032" s="2">
        <v>3030</v>
      </c>
      <c r="B3032" t="s">
        <v>649</v>
      </c>
      <c r="C3032" s="1">
        <v>46213</v>
      </c>
      <c r="D3032">
        <v>97.305430000000001</v>
      </c>
      <c r="E3032">
        <v>18.754295710000001</v>
      </c>
      <c r="F3032">
        <v>19.096176289999999</v>
      </c>
      <c r="G3032">
        <v>18.754295710000001</v>
      </c>
    </row>
    <row r="3033" spans="1:7" x14ac:dyDescent="0.25">
      <c r="A3033" s="2">
        <v>3031</v>
      </c>
      <c r="B3033" t="s">
        <v>651</v>
      </c>
      <c r="C3033" s="1">
        <v>46213</v>
      </c>
      <c r="D3033">
        <v>95.016469999999998</v>
      </c>
      <c r="E3033">
        <v>180.2268627</v>
      </c>
      <c r="F3033">
        <v>180.80619315000001</v>
      </c>
      <c r="G3033">
        <v>180.2268627</v>
      </c>
    </row>
    <row r="3034" spans="1:7" x14ac:dyDescent="0.25">
      <c r="A3034" s="2">
        <v>3032</v>
      </c>
      <c r="B3034" t="s">
        <v>653</v>
      </c>
      <c r="C3034" s="1">
        <v>46213</v>
      </c>
      <c r="D3034">
        <v>99.269360000000006</v>
      </c>
      <c r="E3034">
        <v>105.08762646</v>
      </c>
      <c r="F3034">
        <v>106.64168263000001</v>
      </c>
      <c r="G3034">
        <v>105.08762646</v>
      </c>
    </row>
    <row r="3035" spans="1:7" x14ac:dyDescent="0.25">
      <c r="A3035" s="2">
        <v>3033</v>
      </c>
      <c r="B3035" t="s">
        <v>655</v>
      </c>
      <c r="C3035" s="1">
        <v>46213</v>
      </c>
      <c r="D3035">
        <v>99.461560000000006</v>
      </c>
      <c r="E3035">
        <v>91.539853969999996</v>
      </c>
      <c r="F3035">
        <v>93.776953829999997</v>
      </c>
      <c r="G3035">
        <v>91.539853969999996</v>
      </c>
    </row>
    <row r="3036" spans="1:7" x14ac:dyDescent="0.25">
      <c r="A3036" s="2">
        <v>3034</v>
      </c>
      <c r="B3036" t="s">
        <v>657</v>
      </c>
      <c r="C3036" s="1">
        <v>46213</v>
      </c>
      <c r="D3036">
        <v>100.0861</v>
      </c>
      <c r="E3036">
        <v>116.27290132</v>
      </c>
      <c r="F3036">
        <v>117.85873286</v>
      </c>
      <c r="G3036">
        <v>116.27290132</v>
      </c>
    </row>
    <row r="3037" spans="1:7" x14ac:dyDescent="0.25">
      <c r="A3037" s="2">
        <v>3035</v>
      </c>
      <c r="B3037" t="s">
        <v>659</v>
      </c>
      <c r="C3037" s="1">
        <v>46213</v>
      </c>
      <c r="D3037">
        <v>100.72150000000001</v>
      </c>
      <c r="E3037">
        <v>11.267689799999999</v>
      </c>
      <c r="F3037">
        <v>11.84914841</v>
      </c>
      <c r="G3037">
        <v>11.267689799999999</v>
      </c>
    </row>
    <row r="3038" spans="1:7" x14ac:dyDescent="0.25">
      <c r="A3038" s="2">
        <v>3036</v>
      </c>
      <c r="B3038" t="s">
        <v>661</v>
      </c>
      <c r="C3038" s="1">
        <v>46213</v>
      </c>
      <c r="D3038">
        <v>101.1497</v>
      </c>
      <c r="E3038">
        <v>21.689363920000002</v>
      </c>
      <c r="F3038">
        <v>21.554831719999999</v>
      </c>
      <c r="G3038">
        <v>21.689363920000002</v>
      </c>
    </row>
    <row r="3039" spans="1:7" x14ac:dyDescent="0.25">
      <c r="A3039" s="2">
        <v>3037</v>
      </c>
      <c r="B3039" t="s">
        <v>663</v>
      </c>
      <c r="C3039" s="1">
        <v>46213</v>
      </c>
      <c r="D3039">
        <v>97.100300000000004</v>
      </c>
      <c r="E3039">
        <v>141.84887445999999</v>
      </c>
      <c r="F3039">
        <v>134.60010399999999</v>
      </c>
      <c r="G3039">
        <v>141.84887445999999</v>
      </c>
    </row>
    <row r="3040" spans="1:7" x14ac:dyDescent="0.25">
      <c r="A3040" s="2">
        <v>3038</v>
      </c>
      <c r="B3040" t="s">
        <v>665</v>
      </c>
      <c r="C3040" s="1">
        <v>46213</v>
      </c>
      <c r="D3040">
        <v>100.48699999999999</v>
      </c>
      <c r="E3040">
        <v>98.57401874</v>
      </c>
      <c r="F3040">
        <v>94.667518419999993</v>
      </c>
      <c r="G3040">
        <v>98.57401874</v>
      </c>
    </row>
    <row r="3041" spans="1:7" x14ac:dyDescent="0.25">
      <c r="A3041" s="2">
        <v>3039</v>
      </c>
      <c r="B3041" t="s">
        <v>667</v>
      </c>
      <c r="C3041" s="1">
        <v>46213</v>
      </c>
      <c r="D3041">
        <v>100.7064</v>
      </c>
      <c r="E3041">
        <v>105.37159538</v>
      </c>
      <c r="F3041">
        <v>106.73252333000001</v>
      </c>
      <c r="G3041">
        <v>105.37159538</v>
      </c>
    </row>
    <row r="3042" spans="1:7" x14ac:dyDescent="0.25">
      <c r="A3042" s="2">
        <v>3040</v>
      </c>
      <c r="B3042" t="s">
        <v>669</v>
      </c>
      <c r="C3042" s="1">
        <v>46213</v>
      </c>
      <c r="D3042">
        <v>101.31</v>
      </c>
      <c r="E3042">
        <v>88.039987049999993</v>
      </c>
      <c r="F3042">
        <v>90.118446779999999</v>
      </c>
      <c r="G3042">
        <v>88.039987049999993</v>
      </c>
    </row>
    <row r="3043" spans="1:7" x14ac:dyDescent="0.25">
      <c r="A3043" s="2">
        <v>3041</v>
      </c>
      <c r="B3043" t="s">
        <v>671</v>
      </c>
      <c r="C3043" s="1">
        <v>46213</v>
      </c>
      <c r="D3043">
        <v>100.5986</v>
      </c>
      <c r="E3043">
        <v>56.391255899999997</v>
      </c>
      <c r="F3043">
        <v>58.743659749999999</v>
      </c>
      <c r="G3043">
        <v>56.391255899999997</v>
      </c>
    </row>
    <row r="3044" spans="1:7" x14ac:dyDescent="0.25">
      <c r="A3044" s="2">
        <v>3042</v>
      </c>
      <c r="B3044" t="s">
        <v>673</v>
      </c>
      <c r="C3044" s="1">
        <v>46213</v>
      </c>
      <c r="D3044">
        <v>99.957650000000001</v>
      </c>
      <c r="E3044">
        <v>26.052709579999998</v>
      </c>
      <c r="F3044">
        <v>-0.89132307</v>
      </c>
      <c r="G3044">
        <v>26.052709579999998</v>
      </c>
    </row>
    <row r="3045" spans="1:7" x14ac:dyDescent="0.25">
      <c r="A3045" s="2">
        <v>3043</v>
      </c>
      <c r="B3045" t="s">
        <v>675</v>
      </c>
      <c r="C3045" s="1">
        <v>46213</v>
      </c>
      <c r="D3045">
        <v>99.655850000000001</v>
      </c>
      <c r="E3045">
        <v>69.437432709999996</v>
      </c>
      <c r="F3045">
        <v>73.131385179999995</v>
      </c>
      <c r="G3045">
        <v>69.437432709999996</v>
      </c>
    </row>
    <row r="3046" spans="1:7" x14ac:dyDescent="0.25">
      <c r="A3046" s="2">
        <v>3044</v>
      </c>
      <c r="B3046" t="s">
        <v>677</v>
      </c>
      <c r="C3046" s="1">
        <v>46213</v>
      </c>
      <c r="D3046">
        <v>101.5112</v>
      </c>
      <c r="E3046">
        <v>133.83965799000001</v>
      </c>
      <c r="F3046">
        <v>135.08495450999999</v>
      </c>
      <c r="G3046">
        <v>133.83965799000001</v>
      </c>
    </row>
    <row r="3047" spans="1:7" x14ac:dyDescent="0.25">
      <c r="A3047" s="2">
        <v>3045</v>
      </c>
      <c r="B3047" t="s">
        <v>679</v>
      </c>
      <c r="C3047" s="1">
        <v>46213</v>
      </c>
      <c r="D3047">
        <v>100.4773</v>
      </c>
      <c r="E3047">
        <v>109.6457963</v>
      </c>
      <c r="F3047">
        <v>111.66543815999999</v>
      </c>
      <c r="G3047">
        <v>109.6457963</v>
      </c>
    </row>
    <row r="3048" spans="1:7" x14ac:dyDescent="0.25">
      <c r="A3048" s="2">
        <v>3046</v>
      </c>
      <c r="B3048" t="s">
        <v>681</v>
      </c>
      <c r="C3048" s="1">
        <v>46213</v>
      </c>
      <c r="D3048">
        <v>103.008</v>
      </c>
      <c r="E3048">
        <v>107.43475964</v>
      </c>
      <c r="F3048">
        <v>108.66324345</v>
      </c>
      <c r="G3048">
        <v>107.43475964</v>
      </c>
    </row>
    <row r="3049" spans="1:7" x14ac:dyDescent="0.25">
      <c r="A3049" s="2">
        <v>3047</v>
      </c>
      <c r="B3049" t="s">
        <v>683</v>
      </c>
      <c r="C3049" s="1">
        <v>46213</v>
      </c>
      <c r="D3049">
        <v>101.595</v>
      </c>
      <c r="E3049">
        <v>98.154061830000003</v>
      </c>
      <c r="F3049">
        <v>100.13167111999999</v>
      </c>
      <c r="G3049">
        <v>98.154061830000003</v>
      </c>
    </row>
    <row r="3050" spans="1:7" x14ac:dyDescent="0.25">
      <c r="A3050" s="2">
        <v>3048</v>
      </c>
      <c r="B3050" t="s">
        <v>685</v>
      </c>
      <c r="C3050" s="1">
        <v>46213</v>
      </c>
      <c r="D3050">
        <v>100.56480000000001</v>
      </c>
      <c r="E3050">
        <v>71.408747129999995</v>
      </c>
      <c r="F3050">
        <v>75.403220660000002</v>
      </c>
      <c r="G3050">
        <v>71.408747129999995</v>
      </c>
    </row>
    <row r="3051" spans="1:7" x14ac:dyDescent="0.25">
      <c r="A3051" s="2">
        <v>3049</v>
      </c>
      <c r="B3051" t="s">
        <v>687</v>
      </c>
      <c r="C3051" s="1">
        <v>46213</v>
      </c>
      <c r="D3051">
        <v>97.498000000000005</v>
      </c>
      <c r="E3051">
        <v>93.613840789999998</v>
      </c>
      <c r="F3051">
        <v>92.464936890000004</v>
      </c>
      <c r="G3051">
        <v>93.613840789999998</v>
      </c>
    </row>
    <row r="3052" spans="1:7" x14ac:dyDescent="0.25">
      <c r="A3052" s="2">
        <v>3050</v>
      </c>
      <c r="B3052" t="s">
        <v>689</v>
      </c>
      <c r="C3052" s="1">
        <v>46213</v>
      </c>
      <c r="D3052">
        <v>98.641000000000005</v>
      </c>
      <c r="E3052">
        <v>69.928120370000002</v>
      </c>
      <c r="F3052">
        <v>69.534432719999998</v>
      </c>
      <c r="G3052">
        <v>69.928120370000002</v>
      </c>
    </row>
    <row r="3053" spans="1:7" x14ac:dyDescent="0.25">
      <c r="A3053" s="2">
        <v>3051</v>
      </c>
      <c r="B3053" t="s">
        <v>691</v>
      </c>
      <c r="C3053" s="1">
        <v>46213</v>
      </c>
      <c r="D3053">
        <v>100.5197</v>
      </c>
      <c r="E3053">
        <v>123.92251650999999</v>
      </c>
      <c r="F3053">
        <v>125.21298301</v>
      </c>
      <c r="G3053">
        <v>123.92251650999999</v>
      </c>
    </row>
    <row r="3054" spans="1:7" x14ac:dyDescent="0.25">
      <c r="A3054" s="2">
        <v>3052</v>
      </c>
      <c r="B3054" t="s">
        <v>693</v>
      </c>
      <c r="C3054" s="1">
        <v>46213</v>
      </c>
      <c r="D3054">
        <v>100.25879999999999</v>
      </c>
      <c r="E3054">
        <v>80.940975769999994</v>
      </c>
      <c r="F3054">
        <v>84.949834120000006</v>
      </c>
      <c r="G3054">
        <v>80.940975769999994</v>
      </c>
    </row>
    <row r="3055" spans="1:7" x14ac:dyDescent="0.25">
      <c r="A3055" s="2">
        <v>3053</v>
      </c>
      <c r="B3055" t="s">
        <v>695</v>
      </c>
      <c r="C3055" s="1">
        <v>46213</v>
      </c>
      <c r="D3055">
        <v>43.5</v>
      </c>
      <c r="E3055">
        <v>2754.3499311999999</v>
      </c>
      <c r="F3055">
        <v>2756.33209012</v>
      </c>
      <c r="G3055">
        <v>2754.3499311999999</v>
      </c>
    </row>
    <row r="3056" spans="1:7" x14ac:dyDescent="0.25">
      <c r="A3056" s="2">
        <v>3054</v>
      </c>
      <c r="B3056" t="s">
        <v>697</v>
      </c>
      <c r="C3056" s="1">
        <v>46213</v>
      </c>
      <c r="D3056">
        <v>100.57</v>
      </c>
      <c r="E3056">
        <v>25.080540840000001</v>
      </c>
      <c r="F3056">
        <v>-6.5282450399999998</v>
      </c>
      <c r="G3056">
        <v>25.080540840000001</v>
      </c>
    </row>
    <row r="3057" spans="1:7" x14ac:dyDescent="0.25">
      <c r="A3057" s="2">
        <v>3055</v>
      </c>
      <c r="B3057" t="s">
        <v>699</v>
      </c>
      <c r="C3057" s="1">
        <v>46213</v>
      </c>
      <c r="D3057">
        <v>99.893529999999998</v>
      </c>
      <c r="E3057">
        <v>29.035161500000001</v>
      </c>
      <c r="F3057">
        <v>20.510107250000001</v>
      </c>
      <c r="G3057">
        <v>29.035161500000001</v>
      </c>
    </row>
    <row r="3058" spans="1:7" x14ac:dyDescent="0.25">
      <c r="A3058" s="2">
        <v>3056</v>
      </c>
      <c r="B3058" t="s">
        <v>701</v>
      </c>
      <c r="C3058" s="1">
        <v>46213</v>
      </c>
      <c r="D3058">
        <v>98.549270000000007</v>
      </c>
      <c r="E3058">
        <v>115.76772017</v>
      </c>
      <c r="F3058">
        <v>117.45063621</v>
      </c>
      <c r="G3058">
        <v>115.76772017</v>
      </c>
    </row>
    <row r="3059" spans="1:7" x14ac:dyDescent="0.25">
      <c r="A3059" s="2">
        <v>3057</v>
      </c>
      <c r="B3059" t="s">
        <v>703</v>
      </c>
      <c r="C3059" s="1">
        <v>46213</v>
      </c>
      <c r="D3059">
        <v>96.925579999999997</v>
      </c>
      <c r="E3059">
        <v>133.63252975</v>
      </c>
      <c r="F3059">
        <v>134.74266402000001</v>
      </c>
      <c r="G3059">
        <v>133.63252975</v>
      </c>
    </row>
    <row r="3060" spans="1:7" x14ac:dyDescent="0.25">
      <c r="A3060" s="2">
        <v>3058</v>
      </c>
      <c r="B3060" t="s">
        <v>705</v>
      </c>
      <c r="C3060" s="1">
        <v>46213</v>
      </c>
      <c r="D3060">
        <v>97.737260000000006</v>
      </c>
      <c r="E3060">
        <v>106.95849887</v>
      </c>
      <c r="F3060">
        <v>108.12997412999999</v>
      </c>
      <c r="G3060">
        <v>106.95849887</v>
      </c>
    </row>
    <row r="3061" spans="1:7" x14ac:dyDescent="0.25">
      <c r="A3061" s="2">
        <v>3059</v>
      </c>
      <c r="B3061" t="s">
        <v>707</v>
      </c>
      <c r="C3061" s="1">
        <v>46213</v>
      </c>
      <c r="D3061">
        <v>97.690989999999999</v>
      </c>
      <c r="E3061">
        <v>86.374018449999994</v>
      </c>
      <c r="F3061">
        <v>88.377329979999999</v>
      </c>
      <c r="G3061">
        <v>86.374018449999994</v>
      </c>
    </row>
    <row r="3062" spans="1:7" x14ac:dyDescent="0.25">
      <c r="A3062" s="2">
        <v>3060</v>
      </c>
      <c r="B3062" t="s">
        <v>709</v>
      </c>
      <c r="C3062" s="1">
        <v>46213</v>
      </c>
      <c r="D3062">
        <v>97.504999999999995</v>
      </c>
      <c r="E3062">
        <v>87.15771685</v>
      </c>
      <c r="F3062">
        <v>86.569849840000003</v>
      </c>
      <c r="G3062">
        <v>87.15771685</v>
      </c>
    </row>
    <row r="3063" spans="1:7" x14ac:dyDescent="0.25">
      <c r="A3063" s="2">
        <v>3061</v>
      </c>
      <c r="B3063" t="s">
        <v>711</v>
      </c>
      <c r="C3063" s="1">
        <v>46213</v>
      </c>
      <c r="D3063">
        <v>98.296999999999997</v>
      </c>
      <c r="E3063">
        <v>71.974259689999997</v>
      </c>
      <c r="F3063">
        <v>71.412902099999997</v>
      </c>
      <c r="G3063">
        <v>71.974259689999997</v>
      </c>
    </row>
    <row r="3064" spans="1:7" x14ac:dyDescent="0.25">
      <c r="A3064" s="2">
        <v>3062</v>
      </c>
      <c r="B3064" t="s">
        <v>713</v>
      </c>
      <c r="C3064" s="1">
        <v>46213</v>
      </c>
      <c r="D3064">
        <v>96.460030000000003</v>
      </c>
      <c r="E3064">
        <v>127.63684429</v>
      </c>
      <c r="F3064">
        <v>128.75916280000001</v>
      </c>
      <c r="G3064">
        <v>127.63684429</v>
      </c>
    </row>
    <row r="3065" spans="1:7" x14ac:dyDescent="0.25">
      <c r="A3065" s="2">
        <v>3063</v>
      </c>
      <c r="B3065" t="s">
        <v>715</v>
      </c>
      <c r="C3065" s="1">
        <v>46213</v>
      </c>
      <c r="D3065">
        <v>98.517229999999998</v>
      </c>
      <c r="E3065">
        <v>92.90804138</v>
      </c>
      <c r="F3065">
        <v>95.047952530000003</v>
      </c>
      <c r="G3065">
        <v>92.90804138</v>
      </c>
    </row>
    <row r="3066" spans="1:7" x14ac:dyDescent="0.25">
      <c r="A3066" s="2">
        <v>3064</v>
      </c>
      <c r="B3066" t="s">
        <v>717</v>
      </c>
      <c r="C3066" s="1">
        <v>46213</v>
      </c>
      <c r="D3066">
        <v>98.266379999999998</v>
      </c>
      <c r="E3066">
        <v>125.84690302</v>
      </c>
      <c r="F3066">
        <v>126.86785978</v>
      </c>
      <c r="G3066">
        <v>125.84690302</v>
      </c>
    </row>
    <row r="3067" spans="1:7" x14ac:dyDescent="0.25">
      <c r="A3067" s="2">
        <v>3065</v>
      </c>
      <c r="B3067" t="s">
        <v>719</v>
      </c>
      <c r="C3067" s="1">
        <v>46213</v>
      </c>
      <c r="D3067">
        <v>100.6738</v>
      </c>
      <c r="E3067">
        <v>15.8261392</v>
      </c>
      <c r="F3067">
        <v>16.046200689999999</v>
      </c>
      <c r="G3067">
        <v>15.8261392</v>
      </c>
    </row>
    <row r="3068" spans="1:7" x14ac:dyDescent="0.25">
      <c r="A3068" s="2">
        <v>3066</v>
      </c>
      <c r="B3068" t="s">
        <v>721</v>
      </c>
      <c r="C3068" s="1">
        <v>46213</v>
      </c>
      <c r="D3068">
        <v>81.943020000000004</v>
      </c>
      <c r="E3068">
        <v>170.42330573999999</v>
      </c>
      <c r="F3068">
        <v>171.06057121000001</v>
      </c>
      <c r="G3068">
        <v>170.42330573999999</v>
      </c>
    </row>
    <row r="3069" spans="1:7" x14ac:dyDescent="0.25">
      <c r="A3069" s="2">
        <v>3067</v>
      </c>
      <c r="B3069" t="s">
        <v>723</v>
      </c>
      <c r="C3069" s="1">
        <v>46213</v>
      </c>
      <c r="D3069">
        <v>99.705380000000005</v>
      </c>
      <c r="E3069">
        <v>69.924427660000006</v>
      </c>
      <c r="F3069">
        <v>75.887507549999995</v>
      </c>
      <c r="G3069">
        <v>69.924427660000006</v>
      </c>
    </row>
    <row r="3070" spans="1:7" x14ac:dyDescent="0.25">
      <c r="A3070" s="2">
        <v>3068</v>
      </c>
      <c r="B3070" t="s">
        <v>3668</v>
      </c>
      <c r="C3070" s="1">
        <v>46213</v>
      </c>
      <c r="D3070">
        <v>99.217839999999995</v>
      </c>
      <c r="E3070">
        <v>134.44895453999999</v>
      </c>
      <c r="F3070">
        <v>135.28622569000001</v>
      </c>
      <c r="G3070">
        <v>134.44895453999999</v>
      </c>
    </row>
    <row r="3071" spans="1:7" x14ac:dyDescent="0.25">
      <c r="A3071" s="2">
        <v>3069</v>
      </c>
      <c r="B3071" t="s">
        <v>3670</v>
      </c>
      <c r="C3071" s="1">
        <v>46213</v>
      </c>
      <c r="D3071">
        <v>99.143389999999997</v>
      </c>
      <c r="E3071">
        <v>117.01986761000001</v>
      </c>
      <c r="F3071">
        <v>118.80406278</v>
      </c>
      <c r="G3071">
        <v>117.01986761000001</v>
      </c>
    </row>
    <row r="3072" spans="1:7" x14ac:dyDescent="0.25">
      <c r="A3072" s="2">
        <v>3070</v>
      </c>
      <c r="B3072" t="s">
        <v>3164</v>
      </c>
      <c r="C3072" s="1">
        <v>46213</v>
      </c>
      <c r="D3072">
        <v>100.3571</v>
      </c>
      <c r="E3072">
        <v>140.38751873999999</v>
      </c>
      <c r="F3072">
        <v>142.04337067</v>
      </c>
      <c r="G3072">
        <v>140.38751873999999</v>
      </c>
    </row>
    <row r="3073" spans="1:7" x14ac:dyDescent="0.25">
      <c r="A3073" s="2">
        <v>3071</v>
      </c>
      <c r="B3073" t="s">
        <v>725</v>
      </c>
      <c r="C3073" s="1">
        <v>46213</v>
      </c>
      <c r="D3073">
        <v>98.344220000000007</v>
      </c>
      <c r="E3073">
        <v>205.76462785000001</v>
      </c>
      <c r="F3073">
        <v>206.50502263000001</v>
      </c>
      <c r="G3073">
        <v>205.76462785000001</v>
      </c>
    </row>
    <row r="3074" spans="1:7" x14ac:dyDescent="0.25">
      <c r="A3074" s="2">
        <v>3072</v>
      </c>
      <c r="B3074" t="s">
        <v>727</v>
      </c>
      <c r="C3074" s="1">
        <v>46213</v>
      </c>
      <c r="D3074">
        <v>99.542249999999996</v>
      </c>
      <c r="E3074">
        <v>105.39479283999999</v>
      </c>
      <c r="F3074">
        <v>107.3511001</v>
      </c>
      <c r="G3074">
        <v>105.39479283999999</v>
      </c>
    </row>
    <row r="3075" spans="1:7" x14ac:dyDescent="0.25">
      <c r="A3075" s="2">
        <v>3073</v>
      </c>
      <c r="B3075" t="s">
        <v>729</v>
      </c>
      <c r="C3075" s="1">
        <v>46213</v>
      </c>
      <c r="D3075">
        <v>99.457130000000006</v>
      </c>
      <c r="E3075">
        <v>128.81958470999999</v>
      </c>
      <c r="F3075">
        <v>130.29460897000001</v>
      </c>
      <c r="G3075">
        <v>128.81958470999999</v>
      </c>
    </row>
    <row r="3076" spans="1:7" x14ac:dyDescent="0.25">
      <c r="A3076" s="2">
        <v>3074</v>
      </c>
      <c r="B3076" t="s">
        <v>731</v>
      </c>
      <c r="C3076" s="1">
        <v>46213</v>
      </c>
      <c r="D3076">
        <v>95.660650000000004</v>
      </c>
      <c r="E3076">
        <v>187.21343992000001</v>
      </c>
      <c r="F3076">
        <v>188.0061297</v>
      </c>
      <c r="G3076">
        <v>187.21343992000001</v>
      </c>
    </row>
    <row r="3077" spans="1:7" x14ac:dyDescent="0.25">
      <c r="A3077" s="2">
        <v>3075</v>
      </c>
      <c r="B3077" t="s">
        <v>733</v>
      </c>
      <c r="C3077" s="1">
        <v>46213</v>
      </c>
      <c r="D3077">
        <v>97.541049999999998</v>
      </c>
      <c r="E3077">
        <v>107.03450402999999</v>
      </c>
      <c r="F3077">
        <v>108.18197748</v>
      </c>
      <c r="G3077">
        <v>107.03450402999999</v>
      </c>
    </row>
    <row r="3078" spans="1:7" x14ac:dyDescent="0.25">
      <c r="A3078" s="2">
        <v>3076</v>
      </c>
      <c r="B3078" t="s">
        <v>735</v>
      </c>
      <c r="C3078" s="1">
        <v>46213</v>
      </c>
      <c r="D3078">
        <v>97.735039999999998</v>
      </c>
      <c r="E3078">
        <v>92.930175300000002</v>
      </c>
      <c r="F3078">
        <v>94.873948889999994</v>
      </c>
      <c r="G3078">
        <v>92.930175300000002</v>
      </c>
    </row>
    <row r="3079" spans="1:7" x14ac:dyDescent="0.25">
      <c r="A3079" s="2">
        <v>3077</v>
      </c>
      <c r="B3079" t="s">
        <v>737</v>
      </c>
      <c r="C3079" s="1">
        <v>46213</v>
      </c>
      <c r="D3079">
        <v>98.290869999999998</v>
      </c>
      <c r="E3079">
        <v>81.223407609999995</v>
      </c>
      <c r="F3079">
        <v>83.858224410000005</v>
      </c>
      <c r="G3079">
        <v>81.223407609999995</v>
      </c>
    </row>
    <row r="3080" spans="1:7" x14ac:dyDescent="0.25">
      <c r="A3080" s="2">
        <v>3078</v>
      </c>
      <c r="B3080" t="s">
        <v>739</v>
      </c>
      <c r="C3080" s="1">
        <v>46213</v>
      </c>
      <c r="D3080">
        <v>51.75</v>
      </c>
      <c r="E3080">
        <v>2398.2832186199998</v>
      </c>
      <c r="F3080">
        <v>2400.64980272</v>
      </c>
      <c r="G3080">
        <v>2398.2832186199998</v>
      </c>
    </row>
    <row r="3081" spans="1:7" x14ac:dyDescent="0.25">
      <c r="A3081" s="2">
        <v>3079</v>
      </c>
      <c r="B3081" t="s">
        <v>741</v>
      </c>
      <c r="C3081" s="1">
        <v>46213</v>
      </c>
      <c r="D3081">
        <v>97.407330000000002</v>
      </c>
      <c r="E3081">
        <v>142.17094341999999</v>
      </c>
      <c r="F3081">
        <v>144.12476803000001</v>
      </c>
      <c r="G3081">
        <v>142.17094341999999</v>
      </c>
    </row>
    <row r="3082" spans="1:7" x14ac:dyDescent="0.25">
      <c r="A3082" s="2">
        <v>3080</v>
      </c>
      <c r="B3082" t="s">
        <v>743</v>
      </c>
      <c r="C3082" s="1">
        <v>46213</v>
      </c>
      <c r="D3082">
        <v>102.2212</v>
      </c>
      <c r="E3082">
        <v>103.63796819</v>
      </c>
      <c r="F3082">
        <v>105.2804264</v>
      </c>
      <c r="G3082">
        <v>103.63796819</v>
      </c>
    </row>
    <row r="3083" spans="1:7" x14ac:dyDescent="0.25">
      <c r="A3083" s="2">
        <v>3081</v>
      </c>
      <c r="B3083" t="s">
        <v>745</v>
      </c>
      <c r="C3083" s="1">
        <v>46213</v>
      </c>
      <c r="D3083">
        <v>101.1367</v>
      </c>
      <c r="E3083">
        <v>74.416652589999998</v>
      </c>
      <c r="F3083">
        <v>76.680544010000006</v>
      </c>
      <c r="G3083">
        <v>74.416652589999998</v>
      </c>
    </row>
    <row r="3084" spans="1:7" x14ac:dyDescent="0.25">
      <c r="A3084" s="2">
        <v>3082</v>
      </c>
      <c r="B3084" t="s">
        <v>747</v>
      </c>
      <c r="C3084" s="1">
        <v>46213</v>
      </c>
      <c r="D3084">
        <v>82.920199999999994</v>
      </c>
      <c r="E3084">
        <v>242.65369717999999</v>
      </c>
      <c r="F3084">
        <v>244.34404617000001</v>
      </c>
      <c r="G3084">
        <v>242.65369717999999</v>
      </c>
    </row>
    <row r="3085" spans="1:7" x14ac:dyDescent="0.25">
      <c r="A3085" s="2">
        <v>3083</v>
      </c>
      <c r="B3085" t="s">
        <v>749</v>
      </c>
      <c r="C3085" s="1">
        <v>46213</v>
      </c>
      <c r="D3085">
        <v>99.814109999999999</v>
      </c>
      <c r="E3085">
        <v>126.93363646</v>
      </c>
      <c r="F3085">
        <v>128.62768444</v>
      </c>
      <c r="G3085">
        <v>126.93363646</v>
      </c>
    </row>
    <row r="3086" spans="1:7" x14ac:dyDescent="0.25">
      <c r="A3086" s="2">
        <v>3084</v>
      </c>
      <c r="B3086" t="s">
        <v>751</v>
      </c>
      <c r="C3086" s="1">
        <v>46213</v>
      </c>
      <c r="D3086">
        <v>100.2238</v>
      </c>
      <c r="E3086">
        <v>85.102527100000003</v>
      </c>
      <c r="F3086">
        <v>88.752431360000003</v>
      </c>
      <c r="G3086">
        <v>85.102527100000003</v>
      </c>
    </row>
    <row r="3087" spans="1:7" x14ac:dyDescent="0.25">
      <c r="A3087" s="2">
        <v>3085</v>
      </c>
      <c r="B3087" t="s">
        <v>753</v>
      </c>
      <c r="C3087" s="1">
        <v>46213</v>
      </c>
    </row>
    <row r="3088" spans="1:7" x14ac:dyDescent="0.25">
      <c r="A3088" s="2">
        <v>3086</v>
      </c>
      <c r="B3088" t="s">
        <v>755</v>
      </c>
      <c r="C3088" s="1">
        <v>46213</v>
      </c>
      <c r="D3088">
        <v>92.923000000000002</v>
      </c>
      <c r="E3088">
        <v>26.222262539999999</v>
      </c>
      <c r="F3088">
        <v>26.265189339999999</v>
      </c>
      <c r="G3088">
        <v>26.222262539999999</v>
      </c>
    </row>
    <row r="3089" spans="1:7" x14ac:dyDescent="0.25">
      <c r="A3089" s="2">
        <v>3087</v>
      </c>
      <c r="B3089" t="s">
        <v>757</v>
      </c>
      <c r="C3089" s="1">
        <v>46213</v>
      </c>
      <c r="D3089">
        <v>95.620090000000005</v>
      </c>
      <c r="E3089">
        <v>10.52710106</v>
      </c>
      <c r="F3089">
        <v>11.311369040000001</v>
      </c>
      <c r="G3089">
        <v>10.52710106</v>
      </c>
    </row>
    <row r="3090" spans="1:7" x14ac:dyDescent="0.25">
      <c r="A3090" s="2">
        <v>3088</v>
      </c>
      <c r="B3090" t="s">
        <v>759</v>
      </c>
      <c r="C3090" s="1">
        <v>46213</v>
      </c>
    </row>
    <row r="3091" spans="1:7" x14ac:dyDescent="0.25">
      <c r="A3091" s="2">
        <v>3089</v>
      </c>
      <c r="B3091" t="s">
        <v>761</v>
      </c>
      <c r="C3091" s="1">
        <v>46213</v>
      </c>
      <c r="D3091">
        <v>98.346540000000005</v>
      </c>
      <c r="E3091">
        <v>6.2805990600000001</v>
      </c>
      <c r="F3091">
        <v>9.64579363</v>
      </c>
      <c r="G3091">
        <v>6.2805990600000001</v>
      </c>
    </row>
    <row r="3092" spans="1:7" x14ac:dyDescent="0.25">
      <c r="A3092" s="2">
        <v>3090</v>
      </c>
      <c r="B3092" t="s">
        <v>763</v>
      </c>
      <c r="C3092" s="1">
        <v>46213</v>
      </c>
      <c r="D3092">
        <v>94.212999999999994</v>
      </c>
      <c r="E3092">
        <v>4.35705323</v>
      </c>
      <c r="F3092">
        <v>5.0256872299999999</v>
      </c>
      <c r="G3092">
        <v>4.35705323</v>
      </c>
    </row>
    <row r="3093" spans="1:7" x14ac:dyDescent="0.25">
      <c r="A3093" s="2">
        <v>3091</v>
      </c>
      <c r="B3093" t="s">
        <v>765</v>
      </c>
      <c r="C3093" s="1">
        <v>46213</v>
      </c>
      <c r="D3093">
        <v>88.995890000000003</v>
      </c>
      <c r="E3093">
        <v>19.08642622</v>
      </c>
      <c r="F3093">
        <v>20.13810758</v>
      </c>
      <c r="G3093">
        <v>19.08642622</v>
      </c>
    </row>
    <row r="3094" spans="1:7" x14ac:dyDescent="0.25">
      <c r="A3094" s="2">
        <v>3092</v>
      </c>
      <c r="B3094" t="s">
        <v>767</v>
      </c>
      <c r="C3094" s="1">
        <v>46213</v>
      </c>
      <c r="D3094">
        <v>82.723299999999995</v>
      </c>
      <c r="E3094">
        <v>21.679558449999998</v>
      </c>
      <c r="F3094">
        <v>22.61394932</v>
      </c>
      <c r="G3094">
        <v>21.679558449999998</v>
      </c>
    </row>
    <row r="3095" spans="1:7" x14ac:dyDescent="0.25">
      <c r="A3095" s="2">
        <v>3093</v>
      </c>
      <c r="B3095" t="s">
        <v>769</v>
      </c>
      <c r="C3095" s="1">
        <v>46213</v>
      </c>
      <c r="D3095">
        <v>85.650180000000006</v>
      </c>
      <c r="E3095">
        <v>22.395995259999999</v>
      </c>
      <c r="F3095">
        <v>23.1911138</v>
      </c>
      <c r="G3095">
        <v>22.395995259999999</v>
      </c>
    </row>
    <row r="3096" spans="1:7" x14ac:dyDescent="0.25">
      <c r="A3096" s="2">
        <v>3094</v>
      </c>
      <c r="B3096" t="s">
        <v>771</v>
      </c>
      <c r="C3096" s="1">
        <v>46213</v>
      </c>
      <c r="D3096">
        <v>92.402770000000004</v>
      </c>
      <c r="E3096">
        <v>7.3778881700000003</v>
      </c>
      <c r="F3096">
        <v>8.5502870400000006</v>
      </c>
      <c r="G3096">
        <v>7.3778881700000003</v>
      </c>
    </row>
    <row r="3097" spans="1:7" x14ac:dyDescent="0.25">
      <c r="A3097" s="2">
        <v>3095</v>
      </c>
      <c r="B3097" t="s">
        <v>773</v>
      </c>
      <c r="C3097" s="1">
        <v>46213</v>
      </c>
    </row>
    <row r="3098" spans="1:7" x14ac:dyDescent="0.25">
      <c r="A3098" s="2">
        <v>3096</v>
      </c>
      <c r="B3098" t="s">
        <v>775</v>
      </c>
      <c r="C3098" s="1">
        <v>46213</v>
      </c>
      <c r="D3098">
        <v>96.527420000000006</v>
      </c>
      <c r="E3098">
        <v>608.18113659999995</v>
      </c>
      <c r="F3098">
        <v>611.41194214999996</v>
      </c>
      <c r="G3098">
        <v>608.18113659999995</v>
      </c>
    </row>
    <row r="3099" spans="1:7" x14ac:dyDescent="0.25">
      <c r="A3099" s="2">
        <v>3097</v>
      </c>
      <c r="B3099" t="s">
        <v>777</v>
      </c>
      <c r="C3099" s="1">
        <v>46213</v>
      </c>
      <c r="D3099">
        <v>64.041340000000005</v>
      </c>
      <c r="E3099">
        <v>170.33589907000001</v>
      </c>
      <c r="F3099">
        <v>172.08381900000001</v>
      </c>
      <c r="G3099">
        <v>170.33589907000001</v>
      </c>
    </row>
    <row r="3100" spans="1:7" x14ac:dyDescent="0.25">
      <c r="A3100" s="2">
        <v>3098</v>
      </c>
      <c r="B3100" t="s">
        <v>779</v>
      </c>
      <c r="C3100" s="1">
        <v>46213</v>
      </c>
      <c r="D3100">
        <v>88.410520000000005</v>
      </c>
      <c r="E3100">
        <v>98.533905939999997</v>
      </c>
      <c r="F3100">
        <v>100.0811346</v>
      </c>
      <c r="G3100">
        <v>98.533905939999997</v>
      </c>
    </row>
    <row r="3101" spans="1:7" x14ac:dyDescent="0.25">
      <c r="A3101" s="2">
        <v>3099</v>
      </c>
      <c r="B3101" t="s">
        <v>781</v>
      </c>
      <c r="C3101" s="1">
        <v>46213</v>
      </c>
      <c r="D3101">
        <v>85.037800000000004</v>
      </c>
      <c r="E3101">
        <v>18.2365116</v>
      </c>
      <c r="F3101">
        <v>19.24225165</v>
      </c>
      <c r="G3101">
        <v>18.2365116</v>
      </c>
    </row>
    <row r="3102" spans="1:7" x14ac:dyDescent="0.25">
      <c r="A3102" s="2">
        <v>3100</v>
      </c>
      <c r="B3102" t="s">
        <v>783</v>
      </c>
      <c r="C3102" s="1">
        <v>46213</v>
      </c>
      <c r="D3102">
        <v>86.905410000000003</v>
      </c>
      <c r="E3102">
        <v>21.895444319999999</v>
      </c>
      <c r="F3102">
        <v>22.830420889999999</v>
      </c>
      <c r="G3102">
        <v>21.895444319999999</v>
      </c>
    </row>
    <row r="3103" spans="1:7" x14ac:dyDescent="0.25">
      <c r="A3103" s="2">
        <v>3101</v>
      </c>
      <c r="B3103" t="s">
        <v>785</v>
      </c>
      <c r="C3103" s="1">
        <v>46213</v>
      </c>
      <c r="D3103">
        <v>89.414829999999995</v>
      </c>
      <c r="E3103">
        <v>17.950769309999998</v>
      </c>
      <c r="F3103">
        <v>19.21676867</v>
      </c>
      <c r="G3103">
        <v>17.950769309999998</v>
      </c>
    </row>
    <row r="3104" spans="1:7" x14ac:dyDescent="0.25">
      <c r="A3104" s="2">
        <v>3102</v>
      </c>
      <c r="B3104" t="s">
        <v>787</v>
      </c>
      <c r="C3104" s="1">
        <v>46213</v>
      </c>
      <c r="D3104">
        <v>94.380480000000006</v>
      </c>
      <c r="E3104">
        <v>0.10933182</v>
      </c>
      <c r="F3104">
        <v>1.98393562</v>
      </c>
      <c r="G3104">
        <v>0.10933182</v>
      </c>
    </row>
    <row r="3105" spans="1:7" x14ac:dyDescent="0.25">
      <c r="A3105" s="2">
        <v>3103</v>
      </c>
      <c r="B3105" t="s">
        <v>789</v>
      </c>
      <c r="C3105" s="1">
        <v>46213</v>
      </c>
      <c r="D3105">
        <v>92.366690000000006</v>
      </c>
      <c r="E3105">
        <v>5.5234062499999999</v>
      </c>
      <c r="F3105">
        <v>6.5132926900000001</v>
      </c>
      <c r="G3105">
        <v>5.5234062499999999</v>
      </c>
    </row>
    <row r="3106" spans="1:7" x14ac:dyDescent="0.25">
      <c r="A3106" s="2">
        <v>3104</v>
      </c>
      <c r="B3106" t="s">
        <v>791</v>
      </c>
      <c r="C3106" s="1">
        <v>46213</v>
      </c>
      <c r="D3106">
        <v>82.499539999999996</v>
      </c>
      <c r="E3106">
        <v>20.843369190000001</v>
      </c>
      <c r="F3106">
        <v>21.933487159999999</v>
      </c>
      <c r="G3106">
        <v>20.843369190000001</v>
      </c>
    </row>
    <row r="3107" spans="1:7" x14ac:dyDescent="0.25">
      <c r="A3107" s="2">
        <v>3105</v>
      </c>
      <c r="B3107" t="s">
        <v>793</v>
      </c>
      <c r="C3107" s="1">
        <v>46213</v>
      </c>
      <c r="D3107">
        <v>88.521320000000003</v>
      </c>
      <c r="E3107">
        <v>12.623102340000001</v>
      </c>
      <c r="F3107">
        <v>13.56181121</v>
      </c>
      <c r="G3107">
        <v>12.623102340000001</v>
      </c>
    </row>
    <row r="3108" spans="1:7" x14ac:dyDescent="0.25">
      <c r="A3108" s="2">
        <v>3106</v>
      </c>
      <c r="B3108" t="s">
        <v>795</v>
      </c>
      <c r="C3108" s="1">
        <v>46213</v>
      </c>
      <c r="D3108">
        <v>89.959810000000004</v>
      </c>
      <c r="E3108">
        <v>12.643372080000001</v>
      </c>
      <c r="F3108">
        <v>13.38684754</v>
      </c>
      <c r="G3108">
        <v>12.643372080000001</v>
      </c>
    </row>
    <row r="3109" spans="1:7" x14ac:dyDescent="0.25">
      <c r="A3109" s="2">
        <v>3107</v>
      </c>
      <c r="B3109" t="s">
        <v>797</v>
      </c>
      <c r="C3109" s="1">
        <v>46213</v>
      </c>
    </row>
    <row r="3110" spans="1:7" x14ac:dyDescent="0.25">
      <c r="A3110" s="2">
        <v>3108</v>
      </c>
      <c r="B3110" t="s">
        <v>799</v>
      </c>
      <c r="C3110" s="1">
        <v>46213</v>
      </c>
    </row>
    <row r="3111" spans="1:7" x14ac:dyDescent="0.25">
      <c r="A3111" s="2">
        <v>3109</v>
      </c>
      <c r="B3111" t="s">
        <v>801</v>
      </c>
      <c r="C3111" s="1">
        <v>46213</v>
      </c>
      <c r="D3111">
        <v>91.28</v>
      </c>
      <c r="E3111">
        <v>38.26854865</v>
      </c>
      <c r="F3111">
        <v>38.175767749999999</v>
      </c>
      <c r="G3111">
        <v>38.26854865</v>
      </c>
    </row>
    <row r="3112" spans="1:7" x14ac:dyDescent="0.25">
      <c r="A3112" s="2">
        <v>3110</v>
      </c>
      <c r="B3112" t="s">
        <v>803</v>
      </c>
      <c r="C3112" s="1">
        <v>46213</v>
      </c>
      <c r="D3112">
        <v>61.976759999999999</v>
      </c>
      <c r="E3112">
        <v>184.35854626</v>
      </c>
      <c r="F3112">
        <v>186.66230242</v>
      </c>
      <c r="G3112">
        <v>184.35854626</v>
      </c>
    </row>
    <row r="3113" spans="1:7" x14ac:dyDescent="0.25">
      <c r="A3113" s="2">
        <v>3111</v>
      </c>
      <c r="B3113" t="s">
        <v>805</v>
      </c>
      <c r="C3113" s="1">
        <v>46213</v>
      </c>
      <c r="D3113">
        <v>84.669839999999994</v>
      </c>
      <c r="E3113">
        <v>101.30009346</v>
      </c>
      <c r="F3113">
        <v>103.3437192</v>
      </c>
      <c r="G3113">
        <v>101.30009346</v>
      </c>
    </row>
    <row r="3114" spans="1:7" x14ac:dyDescent="0.25">
      <c r="A3114" s="2">
        <v>3112</v>
      </c>
      <c r="B3114" t="s">
        <v>807</v>
      </c>
      <c r="C3114" s="1">
        <v>46213</v>
      </c>
      <c r="D3114">
        <v>84.737189999999998</v>
      </c>
      <c r="E3114">
        <v>17.713098110000001</v>
      </c>
      <c r="F3114">
        <v>19.162001289999999</v>
      </c>
      <c r="G3114">
        <v>17.713098110000001</v>
      </c>
    </row>
    <row r="3115" spans="1:7" x14ac:dyDescent="0.25">
      <c r="A3115" s="2">
        <v>3113</v>
      </c>
      <c r="B3115" t="s">
        <v>809</v>
      </c>
      <c r="C3115" s="1">
        <v>46213</v>
      </c>
      <c r="D3115">
        <v>95.514049999999997</v>
      </c>
      <c r="E3115">
        <v>0.38730276000000002</v>
      </c>
      <c r="F3115">
        <v>2.47899402</v>
      </c>
      <c r="G3115">
        <v>0.38730276000000002</v>
      </c>
    </row>
    <row r="3116" spans="1:7" x14ac:dyDescent="0.25">
      <c r="A3116" s="2">
        <v>3114</v>
      </c>
      <c r="B3116" t="s">
        <v>811</v>
      </c>
      <c r="C3116" s="1">
        <v>46213</v>
      </c>
      <c r="D3116">
        <v>83.133129999999994</v>
      </c>
      <c r="E3116">
        <v>25.262599720000001</v>
      </c>
      <c r="F3116">
        <v>25.559772469999999</v>
      </c>
      <c r="G3116">
        <v>25.262599720000001</v>
      </c>
    </row>
    <row r="3117" spans="1:7" x14ac:dyDescent="0.25">
      <c r="A3117" s="2">
        <v>3115</v>
      </c>
      <c r="B3117" t="s">
        <v>813</v>
      </c>
      <c r="C3117" s="1">
        <v>46213</v>
      </c>
      <c r="D3117">
        <v>87.518680000000003</v>
      </c>
      <c r="E3117">
        <v>18.13664065</v>
      </c>
      <c r="F3117">
        <v>19.24556407</v>
      </c>
      <c r="G3117">
        <v>18.13664065</v>
      </c>
    </row>
    <row r="3118" spans="1:7" x14ac:dyDescent="0.25">
      <c r="A3118" s="2">
        <v>3116</v>
      </c>
      <c r="B3118" t="s">
        <v>815</v>
      </c>
      <c r="C3118" s="1">
        <v>46213</v>
      </c>
      <c r="D3118">
        <v>94.556569999999994</v>
      </c>
      <c r="E3118">
        <v>5.4377075899999996</v>
      </c>
      <c r="F3118">
        <v>6.5802335699999999</v>
      </c>
      <c r="G3118">
        <v>5.4377075899999996</v>
      </c>
    </row>
    <row r="3119" spans="1:7" x14ac:dyDescent="0.25">
      <c r="A3119" s="2">
        <v>3117</v>
      </c>
      <c r="B3119" t="s">
        <v>817</v>
      </c>
      <c r="C3119" s="1">
        <v>46213</v>
      </c>
      <c r="D3119">
        <v>96.71181</v>
      </c>
      <c r="E3119">
        <v>0.79443353000000005</v>
      </c>
      <c r="F3119">
        <v>1.0500452199999999</v>
      </c>
      <c r="G3119">
        <v>0.79443353000000005</v>
      </c>
    </row>
    <row r="3120" spans="1:7" x14ac:dyDescent="0.25">
      <c r="A3120" s="2">
        <v>3118</v>
      </c>
      <c r="B3120" t="s">
        <v>819</v>
      </c>
      <c r="C3120" s="1">
        <v>46213</v>
      </c>
      <c r="D3120">
        <v>93.737480000000005</v>
      </c>
      <c r="E3120">
        <v>88.711113400000002</v>
      </c>
      <c r="F3120">
        <v>90.448326499999993</v>
      </c>
      <c r="G3120">
        <v>88.711113400000002</v>
      </c>
    </row>
    <row r="3121" spans="1:7" x14ac:dyDescent="0.25">
      <c r="A3121" s="2">
        <v>3119</v>
      </c>
      <c r="B3121" t="s">
        <v>821</v>
      </c>
      <c r="C3121" s="1">
        <v>46213</v>
      </c>
      <c r="D3121">
        <v>76.992840000000001</v>
      </c>
      <c r="E3121">
        <v>184.62717495999999</v>
      </c>
      <c r="F3121">
        <v>187.06309109</v>
      </c>
      <c r="G3121">
        <v>184.62717495999999</v>
      </c>
    </row>
    <row r="3122" spans="1:7" x14ac:dyDescent="0.25">
      <c r="A3122" s="2">
        <v>3120</v>
      </c>
      <c r="B3122" t="s">
        <v>823</v>
      </c>
      <c r="C3122" s="1">
        <v>46213</v>
      </c>
      <c r="D3122">
        <v>73.424149999999997</v>
      </c>
      <c r="E3122">
        <v>-1.22345072</v>
      </c>
      <c r="F3122">
        <v>24.358863240000002</v>
      </c>
      <c r="G3122">
        <v>-1.22345072</v>
      </c>
    </row>
    <row r="3123" spans="1:7" x14ac:dyDescent="0.25">
      <c r="A3123" s="2">
        <v>3121</v>
      </c>
      <c r="B3123" t="s">
        <v>825</v>
      </c>
      <c r="C3123" s="1">
        <v>46213</v>
      </c>
      <c r="D3123">
        <v>83.300250000000005</v>
      </c>
      <c r="E3123">
        <v>20.569401200000001</v>
      </c>
      <c r="F3123">
        <v>21.142766460000001</v>
      </c>
      <c r="G3123">
        <v>20.569401200000001</v>
      </c>
    </row>
    <row r="3124" spans="1:7" x14ac:dyDescent="0.25">
      <c r="A3124" s="2">
        <v>3122</v>
      </c>
      <c r="B3124" t="s">
        <v>827</v>
      </c>
      <c r="C3124" s="1">
        <v>46213</v>
      </c>
      <c r="D3124">
        <v>77.962000000000003</v>
      </c>
      <c r="E3124">
        <v>104.21082172</v>
      </c>
      <c r="F3124">
        <v>104.96451190000001</v>
      </c>
      <c r="G3124">
        <v>104.21082172</v>
      </c>
    </row>
    <row r="3125" spans="1:7" x14ac:dyDescent="0.25">
      <c r="A3125" s="2">
        <v>3123</v>
      </c>
      <c r="B3125" t="s">
        <v>829</v>
      </c>
      <c r="C3125" s="1">
        <v>46213</v>
      </c>
      <c r="D3125">
        <v>97.855999999999995</v>
      </c>
      <c r="E3125">
        <v>29.776187199999999</v>
      </c>
      <c r="F3125">
        <v>28.971553190000002</v>
      </c>
      <c r="G3125">
        <v>29.776187199999999</v>
      </c>
    </row>
    <row r="3126" spans="1:7" x14ac:dyDescent="0.25">
      <c r="A3126" s="2">
        <v>3124</v>
      </c>
      <c r="B3126" t="s">
        <v>831</v>
      </c>
      <c r="C3126" s="1">
        <v>46213</v>
      </c>
      <c r="D3126">
        <v>91.184489999999997</v>
      </c>
      <c r="E3126">
        <v>23.177056440000001</v>
      </c>
      <c r="F3126">
        <v>23.287413569999998</v>
      </c>
      <c r="G3126">
        <v>23.177056440000001</v>
      </c>
    </row>
    <row r="3127" spans="1:7" x14ac:dyDescent="0.25">
      <c r="A3127" s="2">
        <v>3125</v>
      </c>
      <c r="B3127" t="s">
        <v>833</v>
      </c>
      <c r="C3127" s="1">
        <v>46213</v>
      </c>
      <c r="D3127">
        <v>95.476799999999997</v>
      </c>
      <c r="E3127">
        <v>8.9642752800000007</v>
      </c>
      <c r="F3127">
        <v>10.30264202</v>
      </c>
      <c r="G3127">
        <v>8.9642752800000007</v>
      </c>
    </row>
    <row r="3128" spans="1:7" x14ac:dyDescent="0.25">
      <c r="A3128" s="2">
        <v>3126</v>
      </c>
      <c r="B3128" t="s">
        <v>835</v>
      </c>
      <c r="C3128" s="1">
        <v>46213</v>
      </c>
      <c r="D3128">
        <v>97.254080000000002</v>
      </c>
      <c r="E3128">
        <v>1.6565003199999999</v>
      </c>
      <c r="F3128">
        <v>3.2855197999999999</v>
      </c>
      <c r="G3128">
        <v>1.6565003199999999</v>
      </c>
    </row>
    <row r="3129" spans="1:7" x14ac:dyDescent="0.25">
      <c r="A3129" s="2">
        <v>3127</v>
      </c>
      <c r="B3129" t="s">
        <v>837</v>
      </c>
      <c r="C3129" s="1">
        <v>46213</v>
      </c>
      <c r="D3129">
        <v>98.80753</v>
      </c>
      <c r="E3129">
        <v>83.424362830000007</v>
      </c>
      <c r="F3129">
        <v>85.487116479999997</v>
      </c>
      <c r="G3129">
        <v>83.424362830000007</v>
      </c>
    </row>
    <row r="3130" spans="1:7" x14ac:dyDescent="0.25">
      <c r="A3130" s="2">
        <v>3128</v>
      </c>
      <c r="B3130" t="s">
        <v>839</v>
      </c>
      <c r="C3130" s="1">
        <v>46213</v>
      </c>
      <c r="D3130">
        <v>90.276079999999993</v>
      </c>
      <c r="E3130">
        <v>167.76685828000001</v>
      </c>
      <c r="F3130">
        <v>168.1454459</v>
      </c>
      <c r="G3130">
        <v>167.76685828000001</v>
      </c>
    </row>
    <row r="3131" spans="1:7" x14ac:dyDescent="0.25">
      <c r="A3131" s="2">
        <v>3129</v>
      </c>
      <c r="B3131" t="s">
        <v>841</v>
      </c>
      <c r="C3131" s="1">
        <v>46213</v>
      </c>
      <c r="D3131">
        <v>97.707340000000002</v>
      </c>
      <c r="E3131">
        <v>4.23478917</v>
      </c>
      <c r="F3131">
        <v>5.6830795099999998</v>
      </c>
      <c r="G3131">
        <v>4.23478917</v>
      </c>
    </row>
    <row r="3132" spans="1:7" x14ac:dyDescent="0.25">
      <c r="A3132" s="2">
        <v>3130</v>
      </c>
      <c r="B3132" t="s">
        <v>843</v>
      </c>
      <c r="C3132" s="1">
        <v>46213</v>
      </c>
      <c r="D3132">
        <v>98.759370000000004</v>
      </c>
      <c r="E3132">
        <v>81.49306095</v>
      </c>
      <c r="F3132">
        <v>84.073127749999998</v>
      </c>
      <c r="G3132">
        <v>81.49306095</v>
      </c>
    </row>
    <row r="3133" spans="1:7" x14ac:dyDescent="0.25">
      <c r="A3133" s="2">
        <v>3131</v>
      </c>
      <c r="B3133" t="s">
        <v>845</v>
      </c>
      <c r="C3133" s="1">
        <v>46213</v>
      </c>
      <c r="D3133">
        <v>97.49606</v>
      </c>
      <c r="E3133">
        <v>4.7866327599999998</v>
      </c>
      <c r="F3133">
        <v>5.9042224299999999</v>
      </c>
      <c r="G3133">
        <v>4.7866327599999998</v>
      </c>
    </row>
    <row r="3134" spans="1:7" x14ac:dyDescent="0.25">
      <c r="A3134" s="2">
        <v>3132</v>
      </c>
      <c r="B3134" t="s">
        <v>847</v>
      </c>
      <c r="C3134" s="1">
        <v>46213</v>
      </c>
      <c r="D3134">
        <v>97.778369999999995</v>
      </c>
      <c r="E3134">
        <v>3.1917837100000002</v>
      </c>
      <c r="F3134">
        <v>4.7811207199999997</v>
      </c>
      <c r="G3134">
        <v>3.1917837100000002</v>
      </c>
    </row>
    <row r="3135" spans="1:7" x14ac:dyDescent="0.25">
      <c r="A3135" s="2">
        <v>3133</v>
      </c>
      <c r="B3135" t="s">
        <v>849</v>
      </c>
      <c r="C3135" s="1">
        <v>46213</v>
      </c>
      <c r="D3135">
        <v>86.341459999999998</v>
      </c>
      <c r="E3135">
        <v>177.54197678</v>
      </c>
      <c r="F3135">
        <v>178.08257037999999</v>
      </c>
      <c r="G3135">
        <v>177.54197678</v>
      </c>
    </row>
    <row r="3136" spans="1:7" x14ac:dyDescent="0.25">
      <c r="A3136" s="2">
        <v>3134</v>
      </c>
      <c r="B3136" t="s">
        <v>851</v>
      </c>
      <c r="C3136" s="1">
        <v>46213</v>
      </c>
      <c r="D3136">
        <v>98.706569999999999</v>
      </c>
      <c r="E3136">
        <v>86.858459319999994</v>
      </c>
      <c r="F3136">
        <v>88.729624509999994</v>
      </c>
      <c r="G3136">
        <v>86.858459319999994</v>
      </c>
    </row>
    <row r="3137" spans="1:7" x14ac:dyDescent="0.25">
      <c r="A3137" s="2">
        <v>3135</v>
      </c>
      <c r="B3137" t="s">
        <v>853</v>
      </c>
      <c r="C3137" s="1">
        <v>46213</v>
      </c>
      <c r="D3137">
        <v>100.0042</v>
      </c>
      <c r="E3137">
        <v>12.38566896</v>
      </c>
      <c r="F3137">
        <v>24.406259339999998</v>
      </c>
      <c r="G3137">
        <v>12.38566896</v>
      </c>
    </row>
    <row r="3138" spans="1:7" x14ac:dyDescent="0.25">
      <c r="A3138" s="2">
        <v>3136</v>
      </c>
      <c r="B3138" t="s">
        <v>855</v>
      </c>
      <c r="C3138" s="1">
        <v>46213</v>
      </c>
      <c r="D3138">
        <v>99.979470000000006</v>
      </c>
      <c r="E3138">
        <v>11.96316682</v>
      </c>
      <c r="F3138">
        <v>21.25084592</v>
      </c>
      <c r="G3138">
        <v>11.96316682</v>
      </c>
    </row>
    <row r="3139" spans="1:7" x14ac:dyDescent="0.25">
      <c r="A3139" s="2">
        <v>3137</v>
      </c>
      <c r="B3139" t="s">
        <v>857</v>
      </c>
      <c r="C3139" s="1">
        <v>46213</v>
      </c>
      <c r="D3139">
        <v>100.0177</v>
      </c>
      <c r="E3139">
        <v>12.38774684</v>
      </c>
      <c r="F3139">
        <v>-12.51044549</v>
      </c>
      <c r="G3139">
        <v>12.38774684</v>
      </c>
    </row>
    <row r="3140" spans="1:7" x14ac:dyDescent="0.25">
      <c r="A3140" s="2">
        <v>3138</v>
      </c>
      <c r="B3140" t="s">
        <v>859</v>
      </c>
      <c r="C3140" s="1">
        <v>46213</v>
      </c>
      <c r="D3140">
        <v>99.979470000000006</v>
      </c>
      <c r="E3140">
        <v>11.96316682</v>
      </c>
      <c r="F3140">
        <v>21.25084592</v>
      </c>
      <c r="G3140">
        <v>11.96316682</v>
      </c>
    </row>
    <row r="3141" spans="1:7" x14ac:dyDescent="0.25">
      <c r="A3141" s="2">
        <v>3139</v>
      </c>
      <c r="B3141" t="s">
        <v>861</v>
      </c>
      <c r="C3141" s="1">
        <v>46213</v>
      </c>
      <c r="D3141">
        <v>99.967569999999995</v>
      </c>
      <c r="E3141">
        <v>12.112761730000001</v>
      </c>
      <c r="F3141">
        <v>4.9592315500000002</v>
      </c>
      <c r="G3141">
        <v>12.112761730000001</v>
      </c>
    </row>
    <row r="3142" spans="1:7" x14ac:dyDescent="0.25">
      <c r="A3142" s="2">
        <v>3140</v>
      </c>
      <c r="B3142" t="s">
        <v>863</v>
      </c>
      <c r="C3142" s="1">
        <v>46213</v>
      </c>
      <c r="D3142">
        <v>98.246849999999995</v>
      </c>
      <c r="E3142">
        <v>2.7553334999999999</v>
      </c>
      <c r="F3142">
        <v>4.7601093099999998</v>
      </c>
      <c r="G3142">
        <v>2.7553334999999999</v>
      </c>
    </row>
    <row r="3143" spans="1:7" x14ac:dyDescent="0.25">
      <c r="A3143" s="2">
        <v>3141</v>
      </c>
      <c r="B3143" t="s">
        <v>865</v>
      </c>
      <c r="C3143" s="1">
        <v>46213</v>
      </c>
      <c r="D3143">
        <v>98.304270000000002</v>
      </c>
      <c r="E3143">
        <v>4.6064564399999997</v>
      </c>
      <c r="F3143">
        <v>5.8751071100000001</v>
      </c>
      <c r="G3143">
        <v>4.6064564399999997</v>
      </c>
    </row>
    <row r="3144" spans="1:7" x14ac:dyDescent="0.25">
      <c r="A3144" s="2">
        <v>3142</v>
      </c>
      <c r="B3144" t="s">
        <v>867</v>
      </c>
      <c r="C3144" s="1">
        <v>46213</v>
      </c>
      <c r="D3144">
        <v>82.836749999999995</v>
      </c>
      <c r="E3144">
        <v>172.03534199000001</v>
      </c>
      <c r="F3144">
        <v>172.87297663999999</v>
      </c>
      <c r="G3144">
        <v>172.03534199000001</v>
      </c>
    </row>
    <row r="3145" spans="1:7" x14ac:dyDescent="0.25">
      <c r="A3145" s="2">
        <v>3143</v>
      </c>
      <c r="B3145" t="s">
        <v>869</v>
      </c>
      <c r="C3145" s="1">
        <v>46213</v>
      </c>
      <c r="D3145">
        <v>98.272959999999998</v>
      </c>
      <c r="E3145">
        <v>72.042308820000002</v>
      </c>
      <c r="F3145">
        <v>75.297390649999997</v>
      </c>
      <c r="G3145">
        <v>72.042308820000002</v>
      </c>
    </row>
    <row r="3146" spans="1:7" x14ac:dyDescent="0.25">
      <c r="A3146" s="2">
        <v>3144</v>
      </c>
      <c r="B3146" t="s">
        <v>871</v>
      </c>
      <c r="C3146" s="1">
        <v>46213</v>
      </c>
      <c r="D3146">
        <v>98.171459999999996</v>
      </c>
      <c r="E3146">
        <v>2.7085367800000002</v>
      </c>
      <c r="F3146">
        <v>4.5228264600000001</v>
      </c>
      <c r="G3146">
        <v>2.7085367800000002</v>
      </c>
    </row>
    <row r="3147" spans="1:7" x14ac:dyDescent="0.25">
      <c r="A3147" s="2">
        <v>3145</v>
      </c>
      <c r="B3147" t="s">
        <v>873</v>
      </c>
      <c r="C3147" s="1">
        <v>46213</v>
      </c>
      <c r="D3147">
        <v>98.402609999999996</v>
      </c>
      <c r="E3147">
        <v>1.7288826100000001</v>
      </c>
      <c r="F3147">
        <v>2.8349145</v>
      </c>
      <c r="G3147">
        <v>1.7288826100000001</v>
      </c>
    </row>
    <row r="3148" spans="1:7" x14ac:dyDescent="0.25">
      <c r="A3148" s="2">
        <v>3146</v>
      </c>
      <c r="B3148" t="s">
        <v>875</v>
      </c>
      <c r="C3148" s="1">
        <v>46213</v>
      </c>
      <c r="D3148">
        <v>98.576899999999995</v>
      </c>
      <c r="E3148">
        <v>-7.13040406</v>
      </c>
      <c r="F3148">
        <v>-6.8711802200000003</v>
      </c>
      <c r="G3148">
        <v>-7.13040406</v>
      </c>
    </row>
    <row r="3149" spans="1:7" x14ac:dyDescent="0.25">
      <c r="A3149" s="2">
        <v>3147</v>
      </c>
      <c r="B3149" t="s">
        <v>877</v>
      </c>
      <c r="C3149" s="1">
        <v>46213</v>
      </c>
      <c r="D3149">
        <v>99.356819999999999</v>
      </c>
      <c r="E3149">
        <v>64.711298830000004</v>
      </c>
      <c r="F3149">
        <v>67.622348799999997</v>
      </c>
      <c r="G3149">
        <v>64.711298830000004</v>
      </c>
    </row>
    <row r="3150" spans="1:7" x14ac:dyDescent="0.25">
      <c r="A3150" s="2">
        <v>3148</v>
      </c>
      <c r="B3150" t="s">
        <v>879</v>
      </c>
      <c r="C3150" s="1">
        <v>46213</v>
      </c>
    </row>
    <row r="3151" spans="1:7" x14ac:dyDescent="0.25">
      <c r="A3151" s="2">
        <v>3149</v>
      </c>
      <c r="B3151" t="s">
        <v>882</v>
      </c>
      <c r="C3151" s="1">
        <v>46213</v>
      </c>
    </row>
    <row r="3152" spans="1:7" x14ac:dyDescent="0.25">
      <c r="A3152" s="2">
        <v>3150</v>
      </c>
      <c r="B3152" t="s">
        <v>883</v>
      </c>
      <c r="C3152" s="1">
        <v>46213</v>
      </c>
      <c r="D3152">
        <v>96.6875</v>
      </c>
      <c r="F3152">
        <v>449.63133458999999</v>
      </c>
    </row>
    <row r="3153" spans="1:7" x14ac:dyDescent="0.25">
      <c r="A3153" s="2">
        <v>3151</v>
      </c>
      <c r="B3153" t="s">
        <v>885</v>
      </c>
      <c r="C3153" s="1">
        <v>46213</v>
      </c>
    </row>
    <row r="3154" spans="1:7" x14ac:dyDescent="0.25">
      <c r="A3154" s="2">
        <v>3152</v>
      </c>
      <c r="B3154" t="s">
        <v>887</v>
      </c>
      <c r="C3154" s="1">
        <v>46213</v>
      </c>
    </row>
    <row r="3155" spans="1:7" x14ac:dyDescent="0.25">
      <c r="A3155" s="2">
        <v>3153</v>
      </c>
      <c r="B3155" t="s">
        <v>889</v>
      </c>
      <c r="C3155" s="1">
        <v>46213</v>
      </c>
    </row>
    <row r="3156" spans="1:7" x14ac:dyDescent="0.25">
      <c r="A3156" s="2">
        <v>3154</v>
      </c>
      <c r="B3156" t="s">
        <v>891</v>
      </c>
      <c r="C3156" s="1">
        <v>46213</v>
      </c>
      <c r="D3156">
        <v>99.25</v>
      </c>
    </row>
    <row r="3157" spans="1:7" x14ac:dyDescent="0.25">
      <c r="A3157" s="2">
        <v>3155</v>
      </c>
      <c r="B3157" t="s">
        <v>893</v>
      </c>
      <c r="C3157" s="1">
        <v>46213</v>
      </c>
    </row>
    <row r="3158" spans="1:7" x14ac:dyDescent="0.25">
      <c r="A3158" s="2">
        <v>3156</v>
      </c>
      <c r="B3158" t="s">
        <v>895</v>
      </c>
      <c r="C3158" s="1">
        <v>46213</v>
      </c>
    </row>
    <row r="3159" spans="1:7" x14ac:dyDescent="0.25">
      <c r="A3159" s="2">
        <v>3157</v>
      </c>
      <c r="B3159" t="s">
        <v>897</v>
      </c>
      <c r="C3159" s="1">
        <v>46213</v>
      </c>
      <c r="D3159">
        <v>99.125</v>
      </c>
    </row>
    <row r="3160" spans="1:7" x14ac:dyDescent="0.25">
      <c r="A3160" s="2">
        <v>3158</v>
      </c>
      <c r="B3160" t="s">
        <v>898</v>
      </c>
      <c r="C3160" s="1">
        <v>46213</v>
      </c>
    </row>
    <row r="3161" spans="1:7" x14ac:dyDescent="0.25">
      <c r="A3161" s="2">
        <v>3159</v>
      </c>
      <c r="B3161" t="s">
        <v>900</v>
      </c>
      <c r="C3161" s="1">
        <v>46213</v>
      </c>
    </row>
    <row r="3162" spans="1:7" x14ac:dyDescent="0.25">
      <c r="A3162" s="2">
        <v>3160</v>
      </c>
      <c r="B3162" t="s">
        <v>902</v>
      </c>
      <c r="C3162" s="1">
        <v>46213</v>
      </c>
    </row>
    <row r="3163" spans="1:7" x14ac:dyDescent="0.25">
      <c r="A3163" s="2">
        <v>3161</v>
      </c>
      <c r="B3163" t="s">
        <v>904</v>
      </c>
      <c r="C3163" s="1">
        <v>46213</v>
      </c>
    </row>
    <row r="3164" spans="1:7" x14ac:dyDescent="0.25">
      <c r="A3164" s="2">
        <v>3162</v>
      </c>
      <c r="B3164" t="s">
        <v>907</v>
      </c>
      <c r="C3164" s="1">
        <v>46213</v>
      </c>
    </row>
    <row r="3165" spans="1:7" x14ac:dyDescent="0.25">
      <c r="A3165" s="2">
        <v>3163</v>
      </c>
      <c r="B3165" t="s">
        <v>909</v>
      </c>
      <c r="C3165" s="1">
        <v>46213</v>
      </c>
    </row>
    <row r="3166" spans="1:7" x14ac:dyDescent="0.25">
      <c r="A3166" s="2">
        <v>3164</v>
      </c>
      <c r="B3166" t="s">
        <v>911</v>
      </c>
      <c r="C3166" s="1">
        <v>46213</v>
      </c>
    </row>
    <row r="3167" spans="1:7" x14ac:dyDescent="0.25">
      <c r="A3167" s="2">
        <v>3165</v>
      </c>
      <c r="B3167" t="s">
        <v>913</v>
      </c>
      <c r="C3167" s="1">
        <v>46213</v>
      </c>
    </row>
    <row r="3168" spans="1:7" x14ac:dyDescent="0.25">
      <c r="A3168" s="2">
        <v>3166</v>
      </c>
      <c r="B3168" t="s">
        <v>915</v>
      </c>
      <c r="C3168" s="1">
        <v>46213</v>
      </c>
      <c r="D3168">
        <v>91.65307</v>
      </c>
      <c r="E3168">
        <v>664.86731339999994</v>
      </c>
      <c r="F3168">
        <v>666.55166990999999</v>
      </c>
      <c r="G3168">
        <v>664.86731339999994</v>
      </c>
    </row>
    <row r="3169" spans="1:7" x14ac:dyDescent="0.25">
      <c r="A3169" s="2">
        <v>3167</v>
      </c>
      <c r="B3169" t="s">
        <v>919</v>
      </c>
      <c r="C3169" s="1">
        <v>46213</v>
      </c>
      <c r="D3169">
        <v>87.25</v>
      </c>
      <c r="F3169">
        <v>742.33655479000004</v>
      </c>
    </row>
    <row r="3170" spans="1:7" x14ac:dyDescent="0.25">
      <c r="A3170" s="2">
        <v>3168</v>
      </c>
      <c r="B3170" t="s">
        <v>921</v>
      </c>
      <c r="C3170" s="1">
        <v>46213</v>
      </c>
      <c r="D3170">
        <v>101.4182</v>
      </c>
      <c r="E3170">
        <v>-1520.8229864899999</v>
      </c>
      <c r="F3170">
        <v>-1528.9228138599999</v>
      </c>
      <c r="G3170">
        <v>-1520.8229864899999</v>
      </c>
    </row>
    <row r="3171" spans="1:7" x14ac:dyDescent="0.25">
      <c r="A3171" s="2">
        <v>3169</v>
      </c>
      <c r="B3171" t="s">
        <v>925</v>
      </c>
      <c r="C3171" s="1">
        <v>46213</v>
      </c>
      <c r="D3171">
        <v>95.709090000000003</v>
      </c>
      <c r="E3171">
        <v>832.73129472999995</v>
      </c>
      <c r="F3171">
        <v>835.07468507999999</v>
      </c>
      <c r="G3171">
        <v>832.73129472999995</v>
      </c>
    </row>
    <row r="3172" spans="1:7" x14ac:dyDescent="0.25">
      <c r="A3172" s="2">
        <v>3170</v>
      </c>
      <c r="B3172" t="s">
        <v>927</v>
      </c>
      <c r="C3172" s="1">
        <v>46213</v>
      </c>
      <c r="D3172">
        <v>95.299220000000005</v>
      </c>
      <c r="E3172">
        <v>877.17140198000004</v>
      </c>
      <c r="F3172">
        <v>879.31843094999999</v>
      </c>
      <c r="G3172">
        <v>877.17140198000004</v>
      </c>
    </row>
    <row r="3173" spans="1:7" x14ac:dyDescent="0.25">
      <c r="A3173" s="2">
        <v>3171</v>
      </c>
      <c r="B3173" t="s">
        <v>929</v>
      </c>
      <c r="C3173" s="1">
        <v>46213</v>
      </c>
      <c r="D3173">
        <v>120.9473</v>
      </c>
      <c r="E3173">
        <v>-148.57882171</v>
      </c>
      <c r="F3173">
        <v>-146.8879336</v>
      </c>
      <c r="G3173">
        <v>-148.57882171</v>
      </c>
    </row>
    <row r="3174" spans="1:7" x14ac:dyDescent="0.25">
      <c r="A3174" s="2">
        <v>3172</v>
      </c>
      <c r="B3174" t="s">
        <v>931</v>
      </c>
      <c r="C3174" s="1">
        <v>46213</v>
      </c>
      <c r="D3174">
        <v>95.281859999999995</v>
      </c>
      <c r="E3174">
        <v>831.58525072999998</v>
      </c>
      <c r="F3174">
        <v>833.48580487000004</v>
      </c>
      <c r="G3174">
        <v>831.58525072999998</v>
      </c>
    </row>
    <row r="3175" spans="1:7" x14ac:dyDescent="0.25">
      <c r="A3175" s="2">
        <v>3173</v>
      </c>
      <c r="B3175" t="s">
        <v>933</v>
      </c>
      <c r="C3175" s="1">
        <v>46213</v>
      </c>
      <c r="D3175">
        <v>104.8802</v>
      </c>
      <c r="E3175">
        <v>416.91675150999998</v>
      </c>
      <c r="F3175">
        <v>419.28816066000002</v>
      </c>
      <c r="G3175">
        <v>416.91675150999998</v>
      </c>
    </row>
    <row r="3176" spans="1:7" x14ac:dyDescent="0.25">
      <c r="A3176" s="2">
        <v>3174</v>
      </c>
      <c r="B3176" t="s">
        <v>935</v>
      </c>
      <c r="C3176" s="1">
        <v>46213</v>
      </c>
      <c r="D3176">
        <v>89.75</v>
      </c>
      <c r="F3176">
        <v>1023.1783431699999</v>
      </c>
    </row>
    <row r="3177" spans="1:7" x14ac:dyDescent="0.25">
      <c r="A3177" s="2">
        <v>3175</v>
      </c>
      <c r="B3177" t="s">
        <v>937</v>
      </c>
      <c r="C3177" s="1">
        <v>46213</v>
      </c>
      <c r="D3177">
        <v>89.75</v>
      </c>
      <c r="F3177">
        <v>1027.1393391300001</v>
      </c>
    </row>
    <row r="3178" spans="1:7" x14ac:dyDescent="0.25">
      <c r="A3178" s="2">
        <v>3176</v>
      </c>
      <c r="B3178" t="s">
        <v>939</v>
      </c>
      <c r="C3178" s="1">
        <v>46213</v>
      </c>
      <c r="D3178">
        <v>89.5</v>
      </c>
    </row>
    <row r="3179" spans="1:7" x14ac:dyDescent="0.25">
      <c r="A3179" s="2">
        <v>3177</v>
      </c>
      <c r="B3179" t="s">
        <v>940</v>
      </c>
      <c r="C3179" s="1">
        <v>46213</v>
      </c>
      <c r="D3179">
        <v>88.75</v>
      </c>
      <c r="F3179">
        <v>959.15599119000001</v>
      </c>
    </row>
    <row r="3180" spans="1:7" x14ac:dyDescent="0.25">
      <c r="A3180" s="2">
        <v>3178</v>
      </c>
      <c r="B3180" t="s">
        <v>941</v>
      </c>
      <c r="C3180" s="1">
        <v>46213</v>
      </c>
    </row>
    <row r="3181" spans="1:7" x14ac:dyDescent="0.25">
      <c r="A3181" s="2">
        <v>3179</v>
      </c>
      <c r="B3181" t="s">
        <v>943</v>
      </c>
      <c r="C3181" s="1">
        <v>46213</v>
      </c>
    </row>
    <row r="3182" spans="1:7" x14ac:dyDescent="0.25">
      <c r="A3182" s="2">
        <v>3180</v>
      </c>
      <c r="B3182" t="s">
        <v>946</v>
      </c>
      <c r="C3182" s="1">
        <v>46213</v>
      </c>
      <c r="D3182">
        <v>91.375</v>
      </c>
      <c r="F3182">
        <v>863.84199120000005</v>
      </c>
    </row>
    <row r="3183" spans="1:7" x14ac:dyDescent="0.25">
      <c r="A3183" s="2">
        <v>3181</v>
      </c>
      <c r="B3183" t="s">
        <v>950</v>
      </c>
      <c r="C3183" s="1">
        <v>46213</v>
      </c>
      <c r="D3183">
        <v>84.5</v>
      </c>
      <c r="F3183">
        <v>755.54134586999999</v>
      </c>
    </row>
    <row r="3184" spans="1:7" x14ac:dyDescent="0.25">
      <c r="A3184" s="2">
        <v>3182</v>
      </c>
      <c r="B3184" t="s">
        <v>952</v>
      </c>
      <c r="C3184" s="1">
        <v>46213</v>
      </c>
      <c r="D3184">
        <v>50.472180000000002</v>
      </c>
      <c r="E3184">
        <v>3018.4251764400001</v>
      </c>
      <c r="F3184">
        <v>3020.5542545399999</v>
      </c>
      <c r="G3184">
        <v>3018.4251764400001</v>
      </c>
    </row>
    <row r="3185" spans="1:7" x14ac:dyDescent="0.25">
      <c r="A3185" s="2">
        <v>3183</v>
      </c>
      <c r="B3185" t="s">
        <v>956</v>
      </c>
      <c r="C3185" s="1">
        <v>46213</v>
      </c>
      <c r="D3185">
        <v>66.5</v>
      </c>
      <c r="F3185">
        <v>2224.7320738499998</v>
      </c>
    </row>
    <row r="3186" spans="1:7" x14ac:dyDescent="0.25">
      <c r="A3186" s="2">
        <v>3184</v>
      </c>
      <c r="B3186" t="s">
        <v>984</v>
      </c>
      <c r="C3186" s="1">
        <v>46213</v>
      </c>
      <c r="D3186">
        <v>93.957920000000001</v>
      </c>
      <c r="E3186">
        <v>770.61842672</v>
      </c>
      <c r="F3186">
        <v>772.70443525999997</v>
      </c>
      <c r="G3186">
        <v>770.61842672</v>
      </c>
    </row>
    <row r="3187" spans="1:7" x14ac:dyDescent="0.25">
      <c r="A3187" s="2">
        <v>3185</v>
      </c>
      <c r="B3187" t="s">
        <v>988</v>
      </c>
      <c r="C3187" s="1">
        <v>46213</v>
      </c>
      <c r="D3187">
        <v>75.103759999999994</v>
      </c>
      <c r="F3187">
        <v>1753.9876740100001</v>
      </c>
    </row>
    <row r="3188" spans="1:7" x14ac:dyDescent="0.25">
      <c r="A3188" s="2">
        <v>3186</v>
      </c>
      <c r="B3188" t="s">
        <v>990</v>
      </c>
      <c r="C3188" s="1">
        <v>46213</v>
      </c>
      <c r="D3188">
        <v>94.804339999999996</v>
      </c>
      <c r="E3188">
        <v>914.40356553000004</v>
      </c>
      <c r="F3188">
        <v>916.81414655000003</v>
      </c>
      <c r="G3188">
        <v>914.40356553000004</v>
      </c>
    </row>
    <row r="3189" spans="1:7" x14ac:dyDescent="0.25">
      <c r="A3189" s="2">
        <v>3187</v>
      </c>
      <c r="B3189" t="s">
        <v>992</v>
      </c>
      <c r="C3189" s="1">
        <v>46213</v>
      </c>
      <c r="D3189">
        <v>89.5</v>
      </c>
      <c r="F3189">
        <v>854.69829158000005</v>
      </c>
    </row>
    <row r="3190" spans="1:7" x14ac:dyDescent="0.25">
      <c r="A3190" s="2">
        <v>3188</v>
      </c>
      <c r="B3190" t="s">
        <v>958</v>
      </c>
      <c r="C3190" s="1">
        <v>46213</v>
      </c>
      <c r="D3190">
        <v>87.602810000000005</v>
      </c>
      <c r="E3190">
        <v>760.37119706999999</v>
      </c>
      <c r="F3190">
        <v>761.91604027000005</v>
      </c>
      <c r="G3190">
        <v>760.37119706999999</v>
      </c>
    </row>
    <row r="3191" spans="1:7" x14ac:dyDescent="0.25">
      <c r="A3191" s="2">
        <v>3189</v>
      </c>
      <c r="B3191" t="s">
        <v>962</v>
      </c>
      <c r="C3191" s="1">
        <v>46213</v>
      </c>
      <c r="D3191">
        <v>101.169</v>
      </c>
      <c r="E3191">
        <v>386.86537748000001</v>
      </c>
      <c r="F3191">
        <v>384.98016648999999</v>
      </c>
      <c r="G3191">
        <v>386.86537748000001</v>
      </c>
    </row>
    <row r="3192" spans="1:7" x14ac:dyDescent="0.25">
      <c r="A3192" s="2">
        <v>3190</v>
      </c>
      <c r="B3192" t="s">
        <v>964</v>
      </c>
      <c r="C3192" s="1">
        <v>46213</v>
      </c>
      <c r="D3192">
        <v>102.8334</v>
      </c>
      <c r="E3192">
        <v>353.0058171</v>
      </c>
      <c r="F3192">
        <v>355.52024854000001</v>
      </c>
      <c r="G3192">
        <v>353.0058171</v>
      </c>
    </row>
    <row r="3193" spans="1:7" x14ac:dyDescent="0.25">
      <c r="A3193" s="2">
        <v>3191</v>
      </c>
      <c r="B3193" t="s">
        <v>966</v>
      </c>
      <c r="C3193" s="1">
        <v>46213</v>
      </c>
      <c r="D3193">
        <v>98.421999999999997</v>
      </c>
      <c r="E3193">
        <v>472.34296191999999</v>
      </c>
      <c r="F3193">
        <v>440.51092626000002</v>
      </c>
      <c r="G3193">
        <v>472.34296191999999</v>
      </c>
    </row>
    <row r="3194" spans="1:7" x14ac:dyDescent="0.25">
      <c r="A3194" s="2">
        <v>3192</v>
      </c>
      <c r="B3194" t="s">
        <v>968</v>
      </c>
      <c r="C3194" s="1">
        <v>46213</v>
      </c>
      <c r="D3194">
        <v>73.912959999999998</v>
      </c>
      <c r="E3194">
        <v>838.03827135999995</v>
      </c>
      <c r="F3194">
        <v>838.14598833000002</v>
      </c>
      <c r="G3194">
        <v>838.03827135999995</v>
      </c>
    </row>
    <row r="3195" spans="1:7" x14ac:dyDescent="0.25">
      <c r="A3195" s="2">
        <v>3193</v>
      </c>
      <c r="B3195" t="s">
        <v>970</v>
      </c>
      <c r="C3195" s="1">
        <v>46213</v>
      </c>
      <c r="D3195">
        <v>69.696849999999998</v>
      </c>
      <c r="E3195">
        <v>816.31705540999997</v>
      </c>
      <c r="F3195">
        <v>817.80186395999999</v>
      </c>
      <c r="G3195">
        <v>816.31705540999997</v>
      </c>
    </row>
    <row r="3196" spans="1:7" x14ac:dyDescent="0.25">
      <c r="A3196" s="2">
        <v>3194</v>
      </c>
      <c r="B3196" t="s">
        <v>972</v>
      </c>
      <c r="C3196" s="1">
        <v>46213</v>
      </c>
      <c r="D3196">
        <v>81.648899999999998</v>
      </c>
      <c r="E3196">
        <v>790.73241144999997</v>
      </c>
      <c r="F3196">
        <v>792.99314756000001</v>
      </c>
      <c r="G3196">
        <v>790.73241144999997</v>
      </c>
    </row>
    <row r="3197" spans="1:7" x14ac:dyDescent="0.25">
      <c r="A3197" s="2">
        <v>3195</v>
      </c>
      <c r="B3197" t="s">
        <v>974</v>
      </c>
      <c r="C3197" s="1">
        <v>46213</v>
      </c>
      <c r="D3197">
        <v>97.377920000000003</v>
      </c>
      <c r="E3197">
        <v>314.09455692</v>
      </c>
      <c r="F3197">
        <v>317.48763724999998</v>
      </c>
      <c r="G3197">
        <v>314.09455692</v>
      </c>
    </row>
    <row r="3198" spans="1:7" x14ac:dyDescent="0.25">
      <c r="A3198" s="2">
        <v>3196</v>
      </c>
      <c r="B3198" t="s">
        <v>976</v>
      </c>
      <c r="C3198" s="1">
        <v>46213</v>
      </c>
    </row>
    <row r="3199" spans="1:7" x14ac:dyDescent="0.25">
      <c r="A3199" s="2">
        <v>3197</v>
      </c>
      <c r="B3199" t="s">
        <v>978</v>
      </c>
      <c r="C3199" s="1">
        <v>46213</v>
      </c>
    </row>
    <row r="3200" spans="1:7" x14ac:dyDescent="0.25">
      <c r="A3200" s="2">
        <v>3198</v>
      </c>
      <c r="B3200" t="s">
        <v>980</v>
      </c>
      <c r="C3200" s="1">
        <v>46213</v>
      </c>
    </row>
    <row r="3201" spans="1:7" x14ac:dyDescent="0.25">
      <c r="A3201" s="2">
        <v>3199</v>
      </c>
      <c r="B3201" t="s">
        <v>982</v>
      </c>
      <c r="C3201" s="1">
        <v>46213</v>
      </c>
      <c r="D3201">
        <v>96.375</v>
      </c>
    </row>
    <row r="3202" spans="1:7" x14ac:dyDescent="0.25">
      <c r="A3202" s="2">
        <v>3200</v>
      </c>
      <c r="B3202" t="s">
        <v>3385</v>
      </c>
      <c r="C3202" s="1">
        <v>46213</v>
      </c>
      <c r="D3202">
        <v>95.5</v>
      </c>
    </row>
    <row r="3203" spans="1:7" x14ac:dyDescent="0.25">
      <c r="A3203" s="2">
        <v>3201</v>
      </c>
      <c r="B3203" t="s">
        <v>3387</v>
      </c>
      <c r="C3203" s="1">
        <v>46213</v>
      </c>
      <c r="D3203">
        <v>71.25</v>
      </c>
      <c r="F3203">
        <v>1856.59313851</v>
      </c>
    </row>
    <row r="3204" spans="1:7" x14ac:dyDescent="0.25">
      <c r="A3204" s="2">
        <v>3202</v>
      </c>
      <c r="B3204" t="s">
        <v>3390</v>
      </c>
      <c r="C3204" s="1">
        <v>46213</v>
      </c>
      <c r="D3204">
        <v>87.25</v>
      </c>
      <c r="F3204">
        <v>1067.0399969800001</v>
      </c>
    </row>
    <row r="3205" spans="1:7" x14ac:dyDescent="0.25">
      <c r="A3205" s="2">
        <v>3203</v>
      </c>
      <c r="B3205" t="s">
        <v>995</v>
      </c>
      <c r="C3205" s="1">
        <v>46213</v>
      </c>
      <c r="D3205">
        <v>95.982680000000002</v>
      </c>
      <c r="E3205">
        <v>653.35254391000001</v>
      </c>
      <c r="F3205">
        <v>654.61309711000001</v>
      </c>
      <c r="G3205">
        <v>653.35254391000001</v>
      </c>
    </row>
    <row r="3206" spans="1:7" x14ac:dyDescent="0.25">
      <c r="A3206" s="2">
        <v>3204</v>
      </c>
      <c r="B3206" t="s">
        <v>999</v>
      </c>
      <c r="C3206" s="1">
        <v>46213</v>
      </c>
      <c r="D3206">
        <v>93.5</v>
      </c>
    </row>
    <row r="3207" spans="1:7" x14ac:dyDescent="0.25">
      <c r="A3207" s="2">
        <v>3205</v>
      </c>
      <c r="B3207" t="s">
        <v>1001</v>
      </c>
      <c r="C3207" s="1">
        <v>46213</v>
      </c>
      <c r="D3207">
        <v>92.625</v>
      </c>
      <c r="F3207">
        <v>690.30064614000003</v>
      </c>
    </row>
    <row r="3208" spans="1:7" x14ac:dyDescent="0.25">
      <c r="A3208" s="2">
        <v>3206</v>
      </c>
      <c r="B3208" t="s">
        <v>1003</v>
      </c>
      <c r="C3208" s="1">
        <v>46213</v>
      </c>
      <c r="D3208">
        <v>90.5</v>
      </c>
      <c r="F3208">
        <v>1068.0523954099999</v>
      </c>
    </row>
    <row r="3209" spans="1:7" x14ac:dyDescent="0.25">
      <c r="A3209" s="2">
        <v>3207</v>
      </c>
      <c r="B3209" t="s">
        <v>1057</v>
      </c>
      <c r="C3209" s="1">
        <v>46213</v>
      </c>
      <c r="D3209">
        <v>94.98948</v>
      </c>
      <c r="E3209">
        <v>311.36037593999998</v>
      </c>
      <c r="F3209">
        <v>307.43959653000002</v>
      </c>
      <c r="G3209">
        <v>311.36037593999998</v>
      </c>
    </row>
    <row r="3210" spans="1:7" x14ac:dyDescent="0.25">
      <c r="A3210" s="2">
        <v>3208</v>
      </c>
      <c r="B3210" t="s">
        <v>1061</v>
      </c>
      <c r="C3210" s="1">
        <v>46213</v>
      </c>
      <c r="D3210">
        <v>93.882289999999998</v>
      </c>
      <c r="E3210">
        <v>396.61639710999998</v>
      </c>
      <c r="F3210">
        <v>398.53789098999999</v>
      </c>
      <c r="G3210">
        <v>396.61639710999998</v>
      </c>
    </row>
    <row r="3211" spans="1:7" x14ac:dyDescent="0.25">
      <c r="A3211" s="2">
        <v>3209</v>
      </c>
      <c r="B3211" t="s">
        <v>1063</v>
      </c>
      <c r="C3211" s="1">
        <v>46213</v>
      </c>
      <c r="D3211">
        <v>88.606890000000007</v>
      </c>
      <c r="E3211">
        <v>403.44456528000001</v>
      </c>
      <c r="F3211">
        <v>399.74670486999997</v>
      </c>
      <c r="G3211">
        <v>403.44456528000001</v>
      </c>
    </row>
    <row r="3212" spans="1:7" x14ac:dyDescent="0.25">
      <c r="A3212" s="2">
        <v>3210</v>
      </c>
      <c r="B3212" t="s">
        <v>1065</v>
      </c>
      <c r="C3212" s="1">
        <v>46213</v>
      </c>
      <c r="D3212">
        <v>83.321460000000002</v>
      </c>
      <c r="E3212">
        <v>475.31086544999999</v>
      </c>
      <c r="F3212">
        <v>477.39762359999997</v>
      </c>
      <c r="G3212">
        <v>475.31086544999999</v>
      </c>
    </row>
    <row r="3213" spans="1:7" x14ac:dyDescent="0.25">
      <c r="A3213" s="2">
        <v>3211</v>
      </c>
      <c r="B3213" t="s">
        <v>1067</v>
      </c>
      <c r="C3213" s="1">
        <v>46213</v>
      </c>
      <c r="D3213">
        <v>88.462999999999994</v>
      </c>
      <c r="E3213">
        <v>341.50023358999999</v>
      </c>
      <c r="F3213">
        <v>339.45135404000001</v>
      </c>
      <c r="G3213">
        <v>341.50023358999999</v>
      </c>
    </row>
    <row r="3214" spans="1:7" x14ac:dyDescent="0.25">
      <c r="A3214" s="2">
        <v>3212</v>
      </c>
      <c r="B3214" t="s">
        <v>1069</v>
      </c>
      <c r="C3214" s="1">
        <v>46213</v>
      </c>
      <c r="D3214">
        <v>94.107339999999994</v>
      </c>
      <c r="E3214">
        <v>243.64926557999999</v>
      </c>
      <c r="F3214">
        <v>240.92811019000001</v>
      </c>
      <c r="G3214">
        <v>243.64926557999999</v>
      </c>
    </row>
    <row r="3215" spans="1:7" x14ac:dyDescent="0.25">
      <c r="A3215" s="2">
        <v>3213</v>
      </c>
      <c r="B3215" t="s">
        <v>1071</v>
      </c>
      <c r="C3215" s="1">
        <v>46213</v>
      </c>
      <c r="D3215">
        <v>90.251630000000006</v>
      </c>
      <c r="E3215">
        <v>601.75826715999995</v>
      </c>
      <c r="F3215">
        <v>603.45122565999998</v>
      </c>
      <c r="G3215">
        <v>601.75826715999995</v>
      </c>
    </row>
    <row r="3216" spans="1:7" x14ac:dyDescent="0.25">
      <c r="A3216" s="2">
        <v>3214</v>
      </c>
      <c r="B3216" t="s">
        <v>1073</v>
      </c>
      <c r="C3216" s="1">
        <v>46213</v>
      </c>
      <c r="D3216">
        <v>89.578000000000003</v>
      </c>
      <c r="E3216">
        <v>503.56386221000002</v>
      </c>
      <c r="F3216">
        <v>500.62516068999997</v>
      </c>
      <c r="G3216">
        <v>503.56386221000002</v>
      </c>
    </row>
    <row r="3217" spans="1:7" x14ac:dyDescent="0.25">
      <c r="A3217" s="2">
        <v>3215</v>
      </c>
      <c r="B3217" t="s">
        <v>1075</v>
      </c>
      <c r="C3217" s="1">
        <v>46213</v>
      </c>
      <c r="D3217">
        <v>81.706130000000002</v>
      </c>
      <c r="E3217">
        <v>838.07363738000004</v>
      </c>
      <c r="F3217">
        <v>832.63240446999998</v>
      </c>
      <c r="G3217">
        <v>838.07363738000004</v>
      </c>
    </row>
    <row r="3218" spans="1:7" x14ac:dyDescent="0.25">
      <c r="A3218" s="2">
        <v>3216</v>
      </c>
      <c r="B3218" t="s">
        <v>1078</v>
      </c>
      <c r="C3218" s="1">
        <v>46213</v>
      </c>
      <c r="D3218">
        <v>84.723089999999999</v>
      </c>
      <c r="E3218">
        <v>595.27008607000005</v>
      </c>
      <c r="F3218">
        <v>596.88741556000002</v>
      </c>
      <c r="G3218">
        <v>595.27008607000005</v>
      </c>
    </row>
    <row r="3219" spans="1:7" x14ac:dyDescent="0.25">
      <c r="A3219" s="2">
        <v>3217</v>
      </c>
      <c r="B3219" t="s">
        <v>1080</v>
      </c>
      <c r="C3219" s="1">
        <v>46213</v>
      </c>
      <c r="D3219">
        <v>80.926090000000002</v>
      </c>
      <c r="E3219">
        <v>910.09886317999997</v>
      </c>
      <c r="F3219">
        <v>903.29265879000002</v>
      </c>
      <c r="G3219">
        <v>910.09886317999997</v>
      </c>
    </row>
    <row r="3220" spans="1:7" x14ac:dyDescent="0.25">
      <c r="A3220" s="2">
        <v>3218</v>
      </c>
      <c r="B3220" t="s">
        <v>1082</v>
      </c>
      <c r="C3220" s="1">
        <v>46213</v>
      </c>
      <c r="D3220">
        <v>81.778999999999996</v>
      </c>
      <c r="E3220">
        <v>844.73711333999995</v>
      </c>
      <c r="F3220">
        <v>840.74877111000001</v>
      </c>
      <c r="G3220">
        <v>844.73711333999995</v>
      </c>
    </row>
    <row r="3221" spans="1:7" x14ac:dyDescent="0.25">
      <c r="A3221" s="2">
        <v>3219</v>
      </c>
      <c r="B3221" t="s">
        <v>1084</v>
      </c>
      <c r="C3221" s="1">
        <v>46213</v>
      </c>
      <c r="D3221">
        <v>78.597790000000003</v>
      </c>
      <c r="E3221">
        <v>934.24695221000002</v>
      </c>
      <c r="F3221">
        <v>935.45860233999997</v>
      </c>
      <c r="G3221">
        <v>934.24695221000002</v>
      </c>
    </row>
    <row r="3222" spans="1:7" x14ac:dyDescent="0.25">
      <c r="A3222" s="2">
        <v>3220</v>
      </c>
      <c r="B3222" t="s">
        <v>1086</v>
      </c>
      <c r="C3222" s="1">
        <v>46213</v>
      </c>
      <c r="D3222">
        <v>83.812950000000001</v>
      </c>
      <c r="E3222">
        <v>446.36109492999998</v>
      </c>
      <c r="F3222">
        <v>441.89482656000001</v>
      </c>
      <c r="G3222">
        <v>446.36109492999998</v>
      </c>
    </row>
    <row r="3223" spans="1:7" x14ac:dyDescent="0.25">
      <c r="A3223" s="2">
        <v>3221</v>
      </c>
      <c r="B3223" t="s">
        <v>1088</v>
      </c>
      <c r="C3223" s="1">
        <v>46213</v>
      </c>
      <c r="D3223">
        <v>83.68835</v>
      </c>
      <c r="E3223">
        <v>484.55620474</v>
      </c>
      <c r="F3223">
        <v>486.23527653000002</v>
      </c>
      <c r="G3223">
        <v>484.55620474</v>
      </c>
    </row>
    <row r="3224" spans="1:7" x14ac:dyDescent="0.25">
      <c r="A3224" s="2">
        <v>3222</v>
      </c>
      <c r="B3224" t="s">
        <v>1090</v>
      </c>
      <c r="C3224" s="1">
        <v>46213</v>
      </c>
      <c r="D3224">
        <v>86.025180000000006</v>
      </c>
      <c r="E3224">
        <v>463.01058458</v>
      </c>
      <c r="F3224">
        <v>464.94051019</v>
      </c>
      <c r="G3224">
        <v>463.01058458</v>
      </c>
    </row>
    <row r="3225" spans="1:7" x14ac:dyDescent="0.25">
      <c r="A3225" s="2">
        <v>3223</v>
      </c>
      <c r="B3225" t="s">
        <v>1092</v>
      </c>
      <c r="C3225" s="1">
        <v>46213</v>
      </c>
      <c r="D3225">
        <v>86.281199999999998</v>
      </c>
      <c r="E3225">
        <v>417.17637567999998</v>
      </c>
      <c r="F3225">
        <v>413.15954158</v>
      </c>
      <c r="G3225">
        <v>417.17637567999998</v>
      </c>
    </row>
    <row r="3226" spans="1:7" x14ac:dyDescent="0.25">
      <c r="A3226" s="2">
        <v>3224</v>
      </c>
      <c r="B3226" t="s">
        <v>1094</v>
      </c>
      <c r="C3226" s="1">
        <v>46213</v>
      </c>
      <c r="D3226">
        <v>80.486999999999995</v>
      </c>
      <c r="E3226">
        <v>686.47605438999994</v>
      </c>
      <c r="F3226">
        <v>684.13388278000002</v>
      </c>
      <c r="G3226">
        <v>686.47605438999994</v>
      </c>
    </row>
    <row r="3227" spans="1:7" x14ac:dyDescent="0.25">
      <c r="A3227" s="2">
        <v>3225</v>
      </c>
      <c r="B3227" t="s">
        <v>1096</v>
      </c>
      <c r="C3227" s="1">
        <v>46213</v>
      </c>
      <c r="D3227">
        <v>76.207750000000004</v>
      </c>
      <c r="E3227">
        <v>861.27556342000003</v>
      </c>
      <c r="F3227">
        <v>863.15550622000001</v>
      </c>
      <c r="G3227">
        <v>861.27556342000003</v>
      </c>
    </row>
    <row r="3228" spans="1:7" x14ac:dyDescent="0.25">
      <c r="A3228" s="2">
        <v>3226</v>
      </c>
      <c r="B3228" t="s">
        <v>1098</v>
      </c>
      <c r="C3228" s="1">
        <v>46213</v>
      </c>
    </row>
    <row r="3229" spans="1:7" x14ac:dyDescent="0.25">
      <c r="A3229" s="2">
        <v>3227</v>
      </c>
      <c r="B3229" t="s">
        <v>1100</v>
      </c>
      <c r="C3229" s="1">
        <v>46213</v>
      </c>
    </row>
    <row r="3230" spans="1:7" x14ac:dyDescent="0.25">
      <c r="A3230" s="2">
        <v>3228</v>
      </c>
      <c r="B3230" t="s">
        <v>1102</v>
      </c>
      <c r="C3230" s="1">
        <v>46213</v>
      </c>
    </row>
    <row r="3231" spans="1:7" x14ac:dyDescent="0.25">
      <c r="A3231" s="2">
        <v>3229</v>
      </c>
      <c r="B3231" t="s">
        <v>1104</v>
      </c>
      <c r="C3231" s="1">
        <v>46213</v>
      </c>
    </row>
    <row r="3232" spans="1:7" x14ac:dyDescent="0.25">
      <c r="A3232" s="2">
        <v>3230</v>
      </c>
      <c r="B3232" t="s">
        <v>1106</v>
      </c>
      <c r="C3232" s="1">
        <v>46213</v>
      </c>
    </row>
    <row r="3233" spans="1:7" x14ac:dyDescent="0.25">
      <c r="A3233" s="2">
        <v>3231</v>
      </c>
      <c r="B3233" t="s">
        <v>1108</v>
      </c>
      <c r="C3233" s="1">
        <v>46213</v>
      </c>
    </row>
    <row r="3234" spans="1:7" x14ac:dyDescent="0.25">
      <c r="A3234" s="2">
        <v>3232</v>
      </c>
      <c r="B3234" t="s">
        <v>1110</v>
      </c>
      <c r="C3234" s="1">
        <v>46213</v>
      </c>
    </row>
    <row r="3235" spans="1:7" x14ac:dyDescent="0.25">
      <c r="A3235" s="2">
        <v>3233</v>
      </c>
      <c r="B3235" t="s">
        <v>1112</v>
      </c>
      <c r="C3235" s="1">
        <v>46213</v>
      </c>
      <c r="D3235">
        <v>92</v>
      </c>
      <c r="F3235">
        <v>458.31119168999999</v>
      </c>
    </row>
    <row r="3236" spans="1:7" x14ac:dyDescent="0.25">
      <c r="A3236" s="2">
        <v>3234</v>
      </c>
      <c r="B3236" t="s">
        <v>1114</v>
      </c>
      <c r="C3236" s="1">
        <v>46213</v>
      </c>
      <c r="D3236">
        <v>90.5</v>
      </c>
    </row>
    <row r="3237" spans="1:7" x14ac:dyDescent="0.25">
      <c r="A3237" s="2">
        <v>3235</v>
      </c>
      <c r="B3237" t="s">
        <v>1116</v>
      </c>
      <c r="C3237" s="1">
        <v>46213</v>
      </c>
      <c r="D3237">
        <v>100</v>
      </c>
      <c r="F3237">
        <v>302.68521561</v>
      </c>
    </row>
    <row r="3238" spans="1:7" x14ac:dyDescent="0.25">
      <c r="A3238" s="2">
        <v>3236</v>
      </c>
      <c r="B3238" t="s">
        <v>1118</v>
      </c>
      <c r="C3238" s="1">
        <v>46213</v>
      </c>
      <c r="D3238">
        <v>91</v>
      </c>
      <c r="F3238">
        <v>462.86886762</v>
      </c>
    </row>
    <row r="3239" spans="1:7" x14ac:dyDescent="0.25">
      <c r="A3239" s="2">
        <v>3237</v>
      </c>
      <c r="B3239" t="s">
        <v>1120</v>
      </c>
      <c r="C3239" s="1">
        <v>46213</v>
      </c>
    </row>
    <row r="3240" spans="1:7" x14ac:dyDescent="0.25">
      <c r="A3240" s="2">
        <v>3238</v>
      </c>
      <c r="B3240" t="s">
        <v>1122</v>
      </c>
      <c r="C3240" s="1">
        <v>46213</v>
      </c>
    </row>
    <row r="3241" spans="1:7" x14ac:dyDescent="0.25">
      <c r="A3241" s="2">
        <v>3239</v>
      </c>
      <c r="B3241" t="s">
        <v>1123</v>
      </c>
      <c r="C3241" s="1">
        <v>46213</v>
      </c>
      <c r="D3241">
        <v>88.25</v>
      </c>
      <c r="F3241">
        <v>623.72333332000005</v>
      </c>
    </row>
    <row r="3242" spans="1:7" x14ac:dyDescent="0.25">
      <c r="A3242" s="2">
        <v>3240</v>
      </c>
      <c r="B3242" t="s">
        <v>1125</v>
      </c>
      <c r="C3242" s="1">
        <v>46213</v>
      </c>
      <c r="D3242">
        <v>95.375</v>
      </c>
      <c r="F3242">
        <v>484.44215939999998</v>
      </c>
    </row>
    <row r="3243" spans="1:7" x14ac:dyDescent="0.25">
      <c r="A3243" s="2">
        <v>3241</v>
      </c>
      <c r="B3243" t="s">
        <v>1127</v>
      </c>
      <c r="C3243" s="1">
        <v>46213</v>
      </c>
      <c r="D3243">
        <v>94.875</v>
      </c>
      <c r="F3243">
        <v>812.79233757999998</v>
      </c>
    </row>
    <row r="3244" spans="1:7" x14ac:dyDescent="0.25">
      <c r="A3244" s="2">
        <v>3242</v>
      </c>
      <c r="B3244" t="s">
        <v>1131</v>
      </c>
      <c r="C3244" s="1">
        <v>46213</v>
      </c>
      <c r="D3244">
        <v>97.373019999999997</v>
      </c>
      <c r="E3244">
        <v>708.81077558000004</v>
      </c>
      <c r="F3244">
        <v>711.06624591000002</v>
      </c>
      <c r="G3244">
        <v>708.81077558000004</v>
      </c>
    </row>
    <row r="3245" spans="1:7" x14ac:dyDescent="0.25">
      <c r="A3245" s="2">
        <v>3243</v>
      </c>
      <c r="B3245" t="s">
        <v>1135</v>
      </c>
      <c r="C3245" s="1">
        <v>46213</v>
      </c>
      <c r="D3245">
        <v>95.993790000000004</v>
      </c>
      <c r="E3245">
        <v>359.06491948000001</v>
      </c>
      <c r="F3245">
        <v>362.95500419000001</v>
      </c>
      <c r="G3245">
        <v>359.06491948000001</v>
      </c>
    </row>
    <row r="3246" spans="1:7" x14ac:dyDescent="0.25">
      <c r="A3246" s="2">
        <v>3244</v>
      </c>
      <c r="B3246" t="s">
        <v>1137</v>
      </c>
      <c r="C3246" s="1">
        <v>46213</v>
      </c>
      <c r="D3246">
        <v>87.433449999999993</v>
      </c>
      <c r="E3246">
        <v>660.14126983999995</v>
      </c>
      <c r="F3246">
        <v>662.17211844999997</v>
      </c>
      <c r="G3246">
        <v>660.14126983999995</v>
      </c>
    </row>
    <row r="3247" spans="1:7" x14ac:dyDescent="0.25">
      <c r="A3247" s="2">
        <v>3245</v>
      </c>
      <c r="B3247" t="s">
        <v>1139</v>
      </c>
      <c r="C3247" s="1">
        <v>46213</v>
      </c>
      <c r="D3247">
        <v>92.980530000000002</v>
      </c>
      <c r="E3247">
        <v>584.55708383000001</v>
      </c>
      <c r="F3247">
        <v>586.64548739999998</v>
      </c>
      <c r="G3247">
        <v>584.55708383000001</v>
      </c>
    </row>
    <row r="3248" spans="1:7" x14ac:dyDescent="0.25">
      <c r="A3248" s="2">
        <v>3246</v>
      </c>
      <c r="B3248" t="s">
        <v>1141</v>
      </c>
      <c r="C3248" s="1">
        <v>46213</v>
      </c>
      <c r="D3248">
        <v>96.751080000000002</v>
      </c>
      <c r="E3248">
        <v>646.06743777999998</v>
      </c>
      <c r="F3248">
        <v>648.21232629999997</v>
      </c>
      <c r="G3248">
        <v>646.06743777999998</v>
      </c>
    </row>
    <row r="3249" spans="1:7" x14ac:dyDescent="0.25">
      <c r="A3249" s="2">
        <v>3247</v>
      </c>
      <c r="B3249" t="s">
        <v>1143</v>
      </c>
      <c r="C3249" s="1">
        <v>46213</v>
      </c>
      <c r="D3249">
        <v>85</v>
      </c>
      <c r="E3249">
        <v>1227.0461647</v>
      </c>
      <c r="F3249">
        <v>1229.16810794</v>
      </c>
      <c r="G3249">
        <v>1227.0461647</v>
      </c>
    </row>
    <row r="3250" spans="1:7" x14ac:dyDescent="0.25">
      <c r="A3250" s="2">
        <v>3248</v>
      </c>
      <c r="B3250" t="s">
        <v>1145</v>
      </c>
      <c r="C3250" s="1">
        <v>46213</v>
      </c>
      <c r="D3250">
        <v>95.859039999999993</v>
      </c>
      <c r="E3250">
        <v>686.04149170999995</v>
      </c>
      <c r="F3250">
        <v>688.62724283</v>
      </c>
      <c r="G3250">
        <v>686.04149170999995</v>
      </c>
    </row>
    <row r="3251" spans="1:7" x14ac:dyDescent="0.25">
      <c r="A3251" s="2">
        <v>3249</v>
      </c>
      <c r="B3251" t="s">
        <v>1147</v>
      </c>
      <c r="C3251" s="1">
        <v>46213</v>
      </c>
    </row>
    <row r="3252" spans="1:7" x14ac:dyDescent="0.25">
      <c r="A3252" s="2">
        <v>3250</v>
      </c>
      <c r="B3252" t="s">
        <v>1151</v>
      </c>
      <c r="C3252" s="1">
        <v>46213</v>
      </c>
      <c r="D3252">
        <v>95</v>
      </c>
      <c r="F3252">
        <v>752.46640531000003</v>
      </c>
    </row>
    <row r="3253" spans="1:7" x14ac:dyDescent="0.25">
      <c r="A3253" s="2">
        <v>3251</v>
      </c>
      <c r="B3253" t="s">
        <v>1152</v>
      </c>
      <c r="C3253" s="1">
        <v>46213</v>
      </c>
    </row>
    <row r="3254" spans="1:7" x14ac:dyDescent="0.25">
      <c r="A3254" s="2">
        <v>3252</v>
      </c>
      <c r="B3254" t="s">
        <v>412</v>
      </c>
      <c r="C3254" s="1">
        <v>46213</v>
      </c>
      <c r="D3254">
        <v>74.12576</v>
      </c>
      <c r="E3254">
        <v>881.47907211999996</v>
      </c>
      <c r="F3254">
        <v>883.31326875000002</v>
      </c>
      <c r="G3254">
        <v>881.47907211999996</v>
      </c>
    </row>
    <row r="3255" spans="1:7" x14ac:dyDescent="0.25">
      <c r="A3255" s="2">
        <v>3253</v>
      </c>
      <c r="B3255" t="s">
        <v>416</v>
      </c>
      <c r="C3255" s="1">
        <v>46213</v>
      </c>
      <c r="D3255">
        <v>105.46040000000001</v>
      </c>
      <c r="E3255">
        <v>-685.73757669999998</v>
      </c>
      <c r="F3255">
        <v>-682.44830017000004</v>
      </c>
      <c r="G3255">
        <v>-685.73757669999998</v>
      </c>
    </row>
    <row r="3256" spans="1:7" x14ac:dyDescent="0.25">
      <c r="A3256" s="2">
        <v>3254</v>
      </c>
      <c r="B3256" t="s">
        <v>418</v>
      </c>
      <c r="C3256" s="1">
        <v>46213</v>
      </c>
      <c r="D3256">
        <v>97.997889999999998</v>
      </c>
      <c r="E3256">
        <v>355.68793398000003</v>
      </c>
      <c r="F3256">
        <v>357.05399008000001</v>
      </c>
      <c r="G3256">
        <v>355.68793398000003</v>
      </c>
    </row>
    <row r="3257" spans="1:7" x14ac:dyDescent="0.25">
      <c r="A3257" s="2">
        <v>3255</v>
      </c>
      <c r="B3257" t="s">
        <v>420</v>
      </c>
      <c r="C3257" s="1">
        <v>46213</v>
      </c>
      <c r="D3257">
        <v>98.194479999999999</v>
      </c>
      <c r="E3257">
        <v>598.41843754000001</v>
      </c>
      <c r="F3257">
        <v>600.03465486000005</v>
      </c>
      <c r="G3257">
        <v>598.41843754000001</v>
      </c>
    </row>
    <row r="3258" spans="1:7" x14ac:dyDescent="0.25">
      <c r="A3258" s="2">
        <v>3256</v>
      </c>
      <c r="B3258" t="s">
        <v>422</v>
      </c>
      <c r="C3258" s="1">
        <v>46213</v>
      </c>
      <c r="D3258">
        <v>68.534120000000001</v>
      </c>
      <c r="E3258">
        <v>992.95579803999999</v>
      </c>
      <c r="F3258">
        <v>994.73807590000001</v>
      </c>
      <c r="G3258">
        <v>992.95579803999999</v>
      </c>
    </row>
    <row r="3259" spans="1:7" x14ac:dyDescent="0.25">
      <c r="A3259" s="2">
        <v>3257</v>
      </c>
      <c r="B3259" t="s">
        <v>424</v>
      </c>
      <c r="C3259" s="1">
        <v>46213</v>
      </c>
      <c r="D3259">
        <v>100.25</v>
      </c>
      <c r="F3259">
        <v>264.98488887000002</v>
      </c>
    </row>
    <row r="3260" spans="1:7" x14ac:dyDescent="0.25">
      <c r="A3260" s="2">
        <v>3258</v>
      </c>
      <c r="B3260" t="s">
        <v>426</v>
      </c>
      <c r="C3260" s="1">
        <v>46213</v>
      </c>
    </row>
    <row r="3261" spans="1:7" x14ac:dyDescent="0.25">
      <c r="A3261" s="2">
        <v>3259</v>
      </c>
      <c r="B3261" t="s">
        <v>1154</v>
      </c>
      <c r="C3261" s="1">
        <v>46213</v>
      </c>
      <c r="D3261">
        <v>85.5</v>
      </c>
      <c r="F3261">
        <v>988.13147905000005</v>
      </c>
    </row>
    <row r="3262" spans="1:7" x14ac:dyDescent="0.25">
      <c r="A3262" s="2">
        <v>3260</v>
      </c>
      <c r="B3262" t="s">
        <v>566</v>
      </c>
      <c r="C3262" s="1">
        <v>46213</v>
      </c>
      <c r="D3262">
        <v>101.35720000000001</v>
      </c>
      <c r="E3262">
        <v>3446.1818184200001</v>
      </c>
      <c r="F3262">
        <v>3448.2760616</v>
      </c>
      <c r="G3262">
        <v>3446.1818184200001</v>
      </c>
    </row>
    <row r="3263" spans="1:7" x14ac:dyDescent="0.25">
      <c r="A3263" s="2">
        <v>3261</v>
      </c>
      <c r="B3263" t="s">
        <v>570</v>
      </c>
      <c r="C3263" s="1">
        <v>46213</v>
      </c>
    </row>
    <row r="3264" spans="1:7" x14ac:dyDescent="0.25">
      <c r="A3264" s="2">
        <v>3262</v>
      </c>
      <c r="B3264" t="s">
        <v>572</v>
      </c>
      <c r="C3264" s="1">
        <v>46213</v>
      </c>
    </row>
    <row r="3265" spans="1:7" x14ac:dyDescent="0.25">
      <c r="A3265" s="2">
        <v>3263</v>
      </c>
      <c r="B3265" t="s">
        <v>573</v>
      </c>
      <c r="C3265" s="1">
        <v>46213</v>
      </c>
      <c r="D3265">
        <v>53.97692</v>
      </c>
      <c r="E3265">
        <v>3873.77035381</v>
      </c>
      <c r="F3265">
        <v>3876.9371979699999</v>
      </c>
      <c r="G3265">
        <v>3873.77035381</v>
      </c>
    </row>
    <row r="3266" spans="1:7" x14ac:dyDescent="0.25">
      <c r="A3266" s="2">
        <v>3264</v>
      </c>
      <c r="B3266" t="s">
        <v>574</v>
      </c>
      <c r="C3266" s="1">
        <v>46213</v>
      </c>
      <c r="D3266">
        <v>86.624650000000003</v>
      </c>
      <c r="E3266">
        <v>1404.31966887</v>
      </c>
      <c r="F3266">
        <v>1406.68076778</v>
      </c>
      <c r="G3266">
        <v>1404.31966887</v>
      </c>
    </row>
    <row r="3267" spans="1:7" x14ac:dyDescent="0.25">
      <c r="A3267" s="2">
        <v>3265</v>
      </c>
      <c r="B3267" t="s">
        <v>575</v>
      </c>
      <c r="C3267" s="1">
        <v>46213</v>
      </c>
      <c r="D3267">
        <v>99.324169999999995</v>
      </c>
      <c r="E3267">
        <v>2574.5805425200001</v>
      </c>
      <c r="F3267">
        <v>2577.3635385799998</v>
      </c>
      <c r="G3267">
        <v>2574.5805425200001</v>
      </c>
    </row>
    <row r="3268" spans="1:7" x14ac:dyDescent="0.25">
      <c r="A3268" s="2">
        <v>3266</v>
      </c>
      <c r="B3268" t="s">
        <v>577</v>
      </c>
      <c r="C3268" s="1">
        <v>46213</v>
      </c>
    </row>
    <row r="3269" spans="1:7" x14ac:dyDescent="0.25">
      <c r="A3269" s="2">
        <v>3267</v>
      </c>
      <c r="B3269" t="s">
        <v>579</v>
      </c>
      <c r="C3269" s="1">
        <v>46213</v>
      </c>
      <c r="D3269">
        <v>80.5</v>
      </c>
      <c r="F3269">
        <v>1313.8776124200001</v>
      </c>
    </row>
    <row r="3270" spans="1:7" x14ac:dyDescent="0.25">
      <c r="A3270" s="2">
        <v>3268</v>
      </c>
      <c r="B3270" t="s">
        <v>581</v>
      </c>
      <c r="C3270" s="1">
        <v>46213</v>
      </c>
      <c r="D3270">
        <v>80.375</v>
      </c>
      <c r="F3270">
        <v>1270.1101029399999</v>
      </c>
    </row>
    <row r="3271" spans="1:7" x14ac:dyDescent="0.25">
      <c r="A3271" s="2">
        <v>3269</v>
      </c>
      <c r="B3271" t="s">
        <v>582</v>
      </c>
      <c r="C3271" s="1">
        <v>46213</v>
      </c>
      <c r="D3271">
        <v>43</v>
      </c>
      <c r="F3271">
        <v>4198.2390171699999</v>
      </c>
    </row>
    <row r="3272" spans="1:7" x14ac:dyDescent="0.25">
      <c r="A3272" s="2">
        <v>3270</v>
      </c>
      <c r="B3272" t="s">
        <v>584</v>
      </c>
      <c r="C3272" s="1">
        <v>46213</v>
      </c>
    </row>
    <row r="3273" spans="1:7" x14ac:dyDescent="0.25">
      <c r="A3273" s="2">
        <v>3271</v>
      </c>
      <c r="B3273" t="s">
        <v>2670</v>
      </c>
      <c r="C3273" s="1">
        <v>46213</v>
      </c>
    </row>
    <row r="3274" spans="1:7" x14ac:dyDescent="0.25">
      <c r="A3274" s="2">
        <v>3272</v>
      </c>
      <c r="B3274" t="s">
        <v>2672</v>
      </c>
      <c r="C3274" s="1">
        <v>46213</v>
      </c>
    </row>
    <row r="3275" spans="1:7" x14ac:dyDescent="0.25">
      <c r="A3275" s="2">
        <v>3273</v>
      </c>
      <c r="B3275" t="s">
        <v>2674</v>
      </c>
      <c r="C3275" s="1">
        <v>46213</v>
      </c>
    </row>
    <row r="3276" spans="1:7" x14ac:dyDescent="0.25">
      <c r="A3276" s="2">
        <v>3274</v>
      </c>
      <c r="B3276" t="s">
        <v>3392</v>
      </c>
      <c r="C3276" s="1">
        <v>46213</v>
      </c>
      <c r="D3276">
        <v>90.5</v>
      </c>
      <c r="F3276">
        <v>625.87069876999999</v>
      </c>
    </row>
    <row r="3277" spans="1:7" x14ac:dyDescent="0.25">
      <c r="A3277" s="2">
        <v>3275</v>
      </c>
      <c r="B3277" t="s">
        <v>3397</v>
      </c>
      <c r="C3277" s="1">
        <v>46213</v>
      </c>
      <c r="D3277">
        <v>97.75</v>
      </c>
      <c r="F3277">
        <v>540.04282816</v>
      </c>
    </row>
    <row r="3278" spans="1:7" x14ac:dyDescent="0.25">
      <c r="A3278" s="2">
        <v>3276</v>
      </c>
      <c r="B3278" t="s">
        <v>3399</v>
      </c>
      <c r="C3278" s="1">
        <v>46213</v>
      </c>
    </row>
    <row r="3279" spans="1:7" x14ac:dyDescent="0.25">
      <c r="A3279" s="2">
        <v>3277</v>
      </c>
      <c r="B3279" t="s">
        <v>3401</v>
      </c>
      <c r="C3279" s="1">
        <v>46213</v>
      </c>
      <c r="D3279">
        <v>96</v>
      </c>
      <c r="F3279">
        <v>844.36289009999996</v>
      </c>
    </row>
    <row r="3280" spans="1:7" x14ac:dyDescent="0.25">
      <c r="A3280" s="2">
        <v>3278</v>
      </c>
      <c r="B3280" t="s">
        <v>1195</v>
      </c>
      <c r="C3280" s="1">
        <v>46213</v>
      </c>
    </row>
    <row r="3281" spans="1:7" x14ac:dyDescent="0.25">
      <c r="A3281" s="2">
        <v>3279</v>
      </c>
      <c r="B3281" t="s">
        <v>1198</v>
      </c>
      <c r="C3281" s="1">
        <v>46213</v>
      </c>
      <c r="D3281">
        <v>84.75</v>
      </c>
      <c r="F3281">
        <v>1130.28495759</v>
      </c>
    </row>
    <row r="3282" spans="1:7" x14ac:dyDescent="0.25">
      <c r="A3282" s="2">
        <v>3280</v>
      </c>
      <c r="B3282" t="s">
        <v>1200</v>
      </c>
      <c r="C3282" s="1">
        <v>46213</v>
      </c>
      <c r="D3282">
        <v>88.25</v>
      </c>
      <c r="F3282">
        <v>1134.08556275</v>
      </c>
    </row>
    <row r="3283" spans="1:7" x14ac:dyDescent="0.25">
      <c r="A3283" s="2">
        <v>3281</v>
      </c>
      <c r="B3283" t="s">
        <v>1203</v>
      </c>
      <c r="C3283" s="1">
        <v>46213</v>
      </c>
    </row>
    <row r="3284" spans="1:7" x14ac:dyDescent="0.25">
      <c r="A3284" s="2">
        <v>3282</v>
      </c>
      <c r="B3284" t="s">
        <v>1225</v>
      </c>
      <c r="C3284" s="1">
        <v>46213</v>
      </c>
      <c r="D3284">
        <v>31.629660000000001</v>
      </c>
      <c r="E3284">
        <v>4096.5394387699998</v>
      </c>
      <c r="F3284">
        <v>4099.9223538599999</v>
      </c>
      <c r="G3284">
        <v>4096.5394387699998</v>
      </c>
    </row>
    <row r="3285" spans="1:7" x14ac:dyDescent="0.25">
      <c r="A3285" s="2">
        <v>3283</v>
      </c>
      <c r="B3285" t="s">
        <v>1229</v>
      </c>
      <c r="C3285" s="1">
        <v>46213</v>
      </c>
      <c r="D3285">
        <v>70.994709999999998</v>
      </c>
      <c r="E3285">
        <v>1361.02100769</v>
      </c>
      <c r="F3285">
        <v>1362.9779923599999</v>
      </c>
      <c r="G3285">
        <v>1361.02100769</v>
      </c>
    </row>
    <row r="3286" spans="1:7" x14ac:dyDescent="0.25">
      <c r="A3286" s="2">
        <v>3284</v>
      </c>
      <c r="B3286" t="s">
        <v>1231</v>
      </c>
      <c r="C3286" s="1">
        <v>46213</v>
      </c>
      <c r="D3286">
        <v>69</v>
      </c>
      <c r="F3286">
        <v>1339.84761991</v>
      </c>
    </row>
    <row r="3287" spans="1:7" x14ac:dyDescent="0.25">
      <c r="A3287" s="2">
        <v>3285</v>
      </c>
      <c r="B3287" t="s">
        <v>1233</v>
      </c>
      <c r="C3287" s="1">
        <v>46213</v>
      </c>
    </row>
    <row r="3288" spans="1:7" x14ac:dyDescent="0.25">
      <c r="A3288" s="2">
        <v>3286</v>
      </c>
      <c r="B3288" t="s">
        <v>3403</v>
      </c>
      <c r="C3288" s="1">
        <v>46213</v>
      </c>
      <c r="D3288">
        <v>103</v>
      </c>
      <c r="F3288">
        <v>406.25524493</v>
      </c>
    </row>
    <row r="3289" spans="1:7" x14ac:dyDescent="0.25">
      <c r="A3289" s="2">
        <v>3287</v>
      </c>
      <c r="B3289" t="s">
        <v>3407</v>
      </c>
      <c r="C3289" s="1">
        <v>46213</v>
      </c>
      <c r="D3289">
        <v>75</v>
      </c>
      <c r="F3289">
        <v>1200.9002759699999</v>
      </c>
    </row>
    <row r="3290" spans="1:7" x14ac:dyDescent="0.25">
      <c r="A3290" s="2">
        <v>3288</v>
      </c>
      <c r="B3290" t="s">
        <v>1235</v>
      </c>
      <c r="C3290" s="1">
        <v>46213</v>
      </c>
      <c r="D3290">
        <v>95.31</v>
      </c>
      <c r="E3290">
        <v>569.91288039999995</v>
      </c>
      <c r="F3290">
        <v>565.59262702000001</v>
      </c>
      <c r="G3290">
        <v>569.91288039999995</v>
      </c>
    </row>
    <row r="3291" spans="1:7" x14ac:dyDescent="0.25">
      <c r="A3291" s="2">
        <v>3289</v>
      </c>
      <c r="B3291" t="s">
        <v>1239</v>
      </c>
      <c r="C3291" s="1">
        <v>46213</v>
      </c>
      <c r="D3291">
        <v>95.619230000000002</v>
      </c>
      <c r="E3291">
        <v>632.32015220999995</v>
      </c>
      <c r="F3291">
        <v>636.20786456999997</v>
      </c>
      <c r="G3291">
        <v>632.32015220999995</v>
      </c>
    </row>
    <row r="3292" spans="1:7" x14ac:dyDescent="0.25">
      <c r="A3292" s="2">
        <v>3290</v>
      </c>
      <c r="B3292" t="s">
        <v>1241</v>
      </c>
      <c r="C3292" s="1">
        <v>46213</v>
      </c>
      <c r="D3292">
        <v>84.962000000000003</v>
      </c>
      <c r="E3292">
        <v>952.41043524999998</v>
      </c>
      <c r="F3292">
        <v>949.88329640999996</v>
      </c>
      <c r="G3292">
        <v>952.41043524999998</v>
      </c>
    </row>
    <row r="3293" spans="1:7" x14ac:dyDescent="0.25">
      <c r="A3293" s="2">
        <v>3291</v>
      </c>
      <c r="B3293" t="s">
        <v>1243</v>
      </c>
      <c r="C3293" s="1">
        <v>46213</v>
      </c>
      <c r="D3293">
        <v>83.104699999999994</v>
      </c>
      <c r="E3293">
        <v>829.64166065999996</v>
      </c>
      <c r="F3293">
        <v>831.84687417999999</v>
      </c>
      <c r="G3293">
        <v>829.64166065999996</v>
      </c>
    </row>
    <row r="3294" spans="1:7" x14ac:dyDescent="0.25">
      <c r="A3294" s="2">
        <v>3292</v>
      </c>
      <c r="B3294" t="s">
        <v>1245</v>
      </c>
      <c r="C3294" s="1">
        <v>46213</v>
      </c>
      <c r="D3294">
        <v>83.269980000000004</v>
      </c>
      <c r="E3294">
        <v>861.09065639999994</v>
      </c>
      <c r="F3294">
        <v>862.93800161000001</v>
      </c>
      <c r="G3294">
        <v>861.09065639999994</v>
      </c>
    </row>
    <row r="3295" spans="1:7" x14ac:dyDescent="0.25">
      <c r="A3295" s="2">
        <v>3293</v>
      </c>
      <c r="B3295" t="s">
        <v>1247</v>
      </c>
      <c r="C3295" s="1">
        <v>46213</v>
      </c>
      <c r="D3295">
        <v>84.875</v>
      </c>
      <c r="F3295">
        <v>879.91564603999996</v>
      </c>
    </row>
    <row r="3296" spans="1:7" x14ac:dyDescent="0.25">
      <c r="A3296" s="2">
        <v>3294</v>
      </c>
      <c r="B3296" t="s">
        <v>1249</v>
      </c>
      <c r="C3296" s="1">
        <v>46213</v>
      </c>
      <c r="D3296">
        <v>85.75</v>
      </c>
      <c r="F3296">
        <v>858.10132013999998</v>
      </c>
    </row>
    <row r="3297" spans="1:7" x14ac:dyDescent="0.25">
      <c r="A3297" s="2">
        <v>3295</v>
      </c>
      <c r="B3297" t="s">
        <v>1251</v>
      </c>
      <c r="C3297" s="1">
        <v>46213</v>
      </c>
      <c r="D3297">
        <v>100.1875</v>
      </c>
      <c r="F3297">
        <v>300.05556188000003</v>
      </c>
    </row>
    <row r="3298" spans="1:7" x14ac:dyDescent="0.25">
      <c r="A3298" s="2">
        <v>3296</v>
      </c>
      <c r="B3298" t="s">
        <v>1252</v>
      </c>
      <c r="C3298" s="1">
        <v>46213</v>
      </c>
      <c r="D3298">
        <v>74.5</v>
      </c>
      <c r="F3298">
        <v>2261.6439857599999</v>
      </c>
    </row>
    <row r="3299" spans="1:7" x14ac:dyDescent="0.25">
      <c r="A3299" s="2">
        <v>3297</v>
      </c>
      <c r="B3299" t="s">
        <v>1256</v>
      </c>
      <c r="C3299" s="1">
        <v>46213</v>
      </c>
      <c r="D3299">
        <v>86.306989999999999</v>
      </c>
      <c r="E3299">
        <v>1093.98203564</v>
      </c>
      <c r="F3299">
        <v>1062.13854773</v>
      </c>
      <c r="G3299">
        <v>1093.98203564</v>
      </c>
    </row>
    <row r="3300" spans="1:7" x14ac:dyDescent="0.25">
      <c r="A3300" s="2">
        <v>3298</v>
      </c>
      <c r="B3300" t="s">
        <v>1260</v>
      </c>
      <c r="C3300" s="1">
        <v>46213</v>
      </c>
    </row>
    <row r="3301" spans="1:7" x14ac:dyDescent="0.25">
      <c r="A3301" s="2">
        <v>3299</v>
      </c>
      <c r="B3301" t="s">
        <v>1262</v>
      </c>
      <c r="C3301" s="1">
        <v>46213</v>
      </c>
      <c r="D3301">
        <v>19.5</v>
      </c>
      <c r="F3301">
        <v>6901.0153727400002</v>
      </c>
    </row>
    <row r="3302" spans="1:7" x14ac:dyDescent="0.25">
      <c r="A3302" s="2">
        <v>3300</v>
      </c>
      <c r="B3302" t="s">
        <v>1264</v>
      </c>
      <c r="C3302" s="1">
        <v>46213</v>
      </c>
      <c r="D3302">
        <v>31.5</v>
      </c>
      <c r="F3302">
        <v>6163.1500250500003</v>
      </c>
    </row>
    <row r="3303" spans="1:7" x14ac:dyDescent="0.25">
      <c r="A3303" s="2">
        <v>3301</v>
      </c>
      <c r="B3303" t="s">
        <v>1266</v>
      </c>
      <c r="C3303" s="1">
        <v>46213</v>
      </c>
      <c r="D3303">
        <v>34.75</v>
      </c>
    </row>
    <row r="3304" spans="1:7" x14ac:dyDescent="0.25">
      <c r="A3304" s="2">
        <v>3302</v>
      </c>
      <c r="B3304" t="s">
        <v>1268</v>
      </c>
      <c r="C3304" s="1">
        <v>46213</v>
      </c>
      <c r="D3304">
        <v>35</v>
      </c>
      <c r="F3304">
        <v>6610.1144444399997</v>
      </c>
    </row>
    <row r="3305" spans="1:7" x14ac:dyDescent="0.25">
      <c r="A3305" s="2">
        <v>3303</v>
      </c>
      <c r="B3305" t="s">
        <v>1270</v>
      </c>
      <c r="C3305" s="1">
        <v>46213</v>
      </c>
      <c r="D3305">
        <v>40.25</v>
      </c>
    </row>
    <row r="3306" spans="1:7" x14ac:dyDescent="0.25">
      <c r="A3306" s="2">
        <v>3304</v>
      </c>
      <c r="B3306" t="s">
        <v>1271</v>
      </c>
      <c r="C3306" s="1">
        <v>46213</v>
      </c>
      <c r="D3306">
        <v>61.25</v>
      </c>
      <c r="F3306">
        <v>2687.9113084599999</v>
      </c>
    </row>
    <row r="3307" spans="1:7" x14ac:dyDescent="0.25">
      <c r="A3307" s="2">
        <v>3305</v>
      </c>
      <c r="B3307" t="s">
        <v>1272</v>
      </c>
      <c r="C3307" s="1">
        <v>46213</v>
      </c>
      <c r="D3307">
        <v>96</v>
      </c>
      <c r="F3307">
        <v>711.89251704000003</v>
      </c>
    </row>
    <row r="3308" spans="1:7" x14ac:dyDescent="0.25">
      <c r="A3308" s="2">
        <v>3306</v>
      </c>
      <c r="B3308" t="s">
        <v>3408</v>
      </c>
      <c r="C3308" s="1">
        <v>46213</v>
      </c>
      <c r="D3308">
        <v>17.5</v>
      </c>
      <c r="F3308">
        <v>10834.2914198</v>
      </c>
    </row>
    <row r="3309" spans="1:7" x14ac:dyDescent="0.25">
      <c r="A3309" s="2">
        <v>3307</v>
      </c>
      <c r="B3309" t="s">
        <v>3412</v>
      </c>
      <c r="C3309" s="1">
        <v>46213</v>
      </c>
      <c r="D3309">
        <v>44.5</v>
      </c>
      <c r="F3309">
        <v>3951.5181731900002</v>
      </c>
    </row>
    <row r="3310" spans="1:7" x14ac:dyDescent="0.25">
      <c r="A3310" s="2">
        <v>3308</v>
      </c>
      <c r="B3310" t="s">
        <v>3414</v>
      </c>
      <c r="C3310" s="1">
        <v>46213</v>
      </c>
      <c r="D3310">
        <v>98.4375</v>
      </c>
      <c r="F3310">
        <v>943.18022367000003</v>
      </c>
    </row>
    <row r="3311" spans="1:7" x14ac:dyDescent="0.25">
      <c r="A3311" s="2">
        <v>3309</v>
      </c>
      <c r="B3311" t="s">
        <v>1273</v>
      </c>
      <c r="C3311" s="1">
        <v>46213</v>
      </c>
      <c r="D3311">
        <v>94.39246</v>
      </c>
      <c r="E3311">
        <v>685.94314870999995</v>
      </c>
      <c r="F3311">
        <v>687.70880505000002</v>
      </c>
      <c r="G3311">
        <v>685.94314870999995</v>
      </c>
    </row>
    <row r="3312" spans="1:7" x14ac:dyDescent="0.25">
      <c r="A3312" s="2">
        <v>3310</v>
      </c>
      <c r="B3312" t="s">
        <v>1277</v>
      </c>
      <c r="C3312" s="1">
        <v>46213</v>
      </c>
    </row>
    <row r="3313" spans="1:7" x14ac:dyDescent="0.25">
      <c r="A3313" s="2">
        <v>3311</v>
      </c>
      <c r="B3313" t="s">
        <v>1279</v>
      </c>
      <c r="C3313" s="1">
        <v>46213</v>
      </c>
      <c r="D3313">
        <v>93.75</v>
      </c>
      <c r="F3313">
        <v>585.52042047999998</v>
      </c>
    </row>
    <row r="3314" spans="1:7" x14ac:dyDescent="0.25">
      <c r="A3314" s="2">
        <v>3312</v>
      </c>
      <c r="B3314" t="s">
        <v>1281</v>
      </c>
      <c r="C3314" s="1">
        <v>46213</v>
      </c>
      <c r="D3314">
        <v>83.843490000000003</v>
      </c>
      <c r="E3314">
        <v>690.06866596999998</v>
      </c>
      <c r="F3314">
        <v>691.66076456999997</v>
      </c>
      <c r="G3314">
        <v>690.06866596999998</v>
      </c>
    </row>
    <row r="3315" spans="1:7" x14ac:dyDescent="0.25">
      <c r="A3315" s="2">
        <v>3313</v>
      </c>
      <c r="B3315" t="s">
        <v>1285</v>
      </c>
      <c r="C3315" s="1">
        <v>46213</v>
      </c>
      <c r="D3315">
        <v>87</v>
      </c>
      <c r="F3315">
        <v>576.17828183999995</v>
      </c>
    </row>
    <row r="3316" spans="1:7" x14ac:dyDescent="0.25">
      <c r="A3316" s="2">
        <v>3314</v>
      </c>
      <c r="B3316" t="s">
        <v>1287</v>
      </c>
      <c r="C3316" s="1">
        <v>46213</v>
      </c>
    </row>
    <row r="3317" spans="1:7" x14ac:dyDescent="0.25">
      <c r="A3317" s="2">
        <v>3315</v>
      </c>
      <c r="B3317" t="s">
        <v>1289</v>
      </c>
      <c r="C3317" s="1">
        <v>46213</v>
      </c>
    </row>
    <row r="3318" spans="1:7" x14ac:dyDescent="0.25">
      <c r="A3318" s="2">
        <v>3316</v>
      </c>
      <c r="B3318" t="s">
        <v>3416</v>
      </c>
      <c r="C3318" s="1">
        <v>46213</v>
      </c>
      <c r="D3318">
        <v>104.6057</v>
      </c>
      <c r="E3318">
        <v>144.44617298</v>
      </c>
      <c r="F3318">
        <v>142.85598314000001</v>
      </c>
      <c r="G3318">
        <v>144.44617298</v>
      </c>
    </row>
    <row r="3319" spans="1:7" x14ac:dyDescent="0.25">
      <c r="A3319" s="2">
        <v>3317</v>
      </c>
      <c r="B3319" t="s">
        <v>3420</v>
      </c>
      <c r="C3319" s="1">
        <v>46213</v>
      </c>
      <c r="D3319">
        <v>102.876</v>
      </c>
      <c r="E3319">
        <v>163.35074023999999</v>
      </c>
      <c r="F3319">
        <v>161.26585015000001</v>
      </c>
      <c r="G3319">
        <v>163.35074023999999</v>
      </c>
    </row>
    <row r="3320" spans="1:7" x14ac:dyDescent="0.25">
      <c r="A3320" s="2">
        <v>3318</v>
      </c>
      <c r="B3320" t="s">
        <v>3422</v>
      </c>
      <c r="C3320" s="1">
        <v>46213</v>
      </c>
      <c r="D3320">
        <v>100.09099999999999</v>
      </c>
      <c r="E3320">
        <v>157.48434151000001</v>
      </c>
      <c r="F3320">
        <v>155.57517067000001</v>
      </c>
      <c r="G3320">
        <v>157.48434151000001</v>
      </c>
    </row>
    <row r="3321" spans="1:7" x14ac:dyDescent="0.25">
      <c r="A3321" s="2">
        <v>3319</v>
      </c>
      <c r="B3321" t="s">
        <v>3424</v>
      </c>
      <c r="C3321" s="1">
        <v>46213</v>
      </c>
      <c r="D3321">
        <v>95.330190000000002</v>
      </c>
      <c r="E3321">
        <v>110.6804161</v>
      </c>
      <c r="F3321">
        <v>110.55583316000001</v>
      </c>
      <c r="G3321">
        <v>110.6804161</v>
      </c>
    </row>
    <row r="3322" spans="1:7" x14ac:dyDescent="0.25">
      <c r="A3322" s="2">
        <v>3320</v>
      </c>
      <c r="B3322" t="s">
        <v>3426</v>
      </c>
      <c r="C3322" s="1">
        <v>46213</v>
      </c>
    </row>
    <row r="3323" spans="1:7" x14ac:dyDescent="0.25">
      <c r="A3323" s="2">
        <v>3321</v>
      </c>
      <c r="B3323" t="s">
        <v>3428</v>
      </c>
      <c r="C3323" s="1">
        <v>46213</v>
      </c>
    </row>
    <row r="3324" spans="1:7" x14ac:dyDescent="0.25">
      <c r="A3324" s="2">
        <v>3322</v>
      </c>
      <c r="B3324" t="s">
        <v>3430</v>
      </c>
      <c r="C3324" s="1">
        <v>46213</v>
      </c>
      <c r="D3324">
        <v>90.5</v>
      </c>
      <c r="F3324">
        <v>591.42249600000002</v>
      </c>
    </row>
    <row r="3325" spans="1:7" x14ac:dyDescent="0.25">
      <c r="A3325" s="2">
        <v>3323</v>
      </c>
      <c r="B3325" t="s">
        <v>3432</v>
      </c>
      <c r="C3325" s="1">
        <v>46213</v>
      </c>
      <c r="D3325">
        <v>95.5</v>
      </c>
      <c r="F3325">
        <v>476.98466330999997</v>
      </c>
    </row>
    <row r="3326" spans="1:7" x14ac:dyDescent="0.25">
      <c r="A3326" s="2">
        <v>3324</v>
      </c>
      <c r="B3326" t="s">
        <v>3434</v>
      </c>
      <c r="C3326" s="1">
        <v>46213</v>
      </c>
    </row>
    <row r="3327" spans="1:7" x14ac:dyDescent="0.25">
      <c r="A3327" s="2">
        <v>3325</v>
      </c>
      <c r="B3327" t="s">
        <v>3437</v>
      </c>
      <c r="C3327" s="1">
        <v>46213</v>
      </c>
    </row>
    <row r="3328" spans="1:7" x14ac:dyDescent="0.25">
      <c r="A3328" s="2">
        <v>3326</v>
      </c>
      <c r="B3328" t="s">
        <v>1303</v>
      </c>
      <c r="C3328" s="1">
        <v>46213</v>
      </c>
      <c r="D3328">
        <v>99.593379999999996</v>
      </c>
      <c r="E3328">
        <v>111.19926827</v>
      </c>
      <c r="F3328">
        <v>117.99445204</v>
      </c>
      <c r="G3328">
        <v>111.19926827</v>
      </c>
    </row>
    <row r="3329" spans="1:7" x14ac:dyDescent="0.25">
      <c r="A3329" s="2">
        <v>3327</v>
      </c>
      <c r="B3329" t="s">
        <v>1307</v>
      </c>
      <c r="C3329" s="1">
        <v>46213</v>
      </c>
      <c r="D3329">
        <v>99.039919999999995</v>
      </c>
      <c r="E3329">
        <v>100.16047229</v>
      </c>
      <c r="F3329">
        <v>107.63048827999999</v>
      </c>
      <c r="G3329">
        <v>100.16047229</v>
      </c>
    </row>
    <row r="3330" spans="1:7" x14ac:dyDescent="0.25">
      <c r="A3330" s="2">
        <v>3328</v>
      </c>
      <c r="B3330" t="s">
        <v>1309</v>
      </c>
      <c r="C3330" s="1">
        <v>46213</v>
      </c>
      <c r="D3330">
        <v>63.026859999999999</v>
      </c>
      <c r="E3330">
        <v>430.21217282999999</v>
      </c>
      <c r="F3330">
        <v>429.69557795999998</v>
      </c>
      <c r="G3330">
        <v>430.21217282999999</v>
      </c>
    </row>
    <row r="3331" spans="1:7" x14ac:dyDescent="0.25">
      <c r="A3331" s="2">
        <v>3329</v>
      </c>
      <c r="B3331" t="s">
        <v>1311</v>
      </c>
      <c r="C3331" s="1">
        <v>46213</v>
      </c>
      <c r="D3331">
        <v>77.653310000000005</v>
      </c>
      <c r="E3331">
        <v>469.27210472000002</v>
      </c>
      <c r="F3331">
        <v>470.44058560000002</v>
      </c>
      <c r="G3331">
        <v>469.27210472000002</v>
      </c>
    </row>
    <row r="3332" spans="1:7" x14ac:dyDescent="0.25">
      <c r="A3332" s="2">
        <v>3330</v>
      </c>
      <c r="B3332" t="s">
        <v>1313</v>
      </c>
      <c r="C3332" s="1">
        <v>46213</v>
      </c>
      <c r="D3332">
        <v>64.756249999999994</v>
      </c>
      <c r="E3332">
        <v>454.55933219000002</v>
      </c>
      <c r="F3332">
        <v>453.80498634000003</v>
      </c>
      <c r="G3332">
        <v>454.55933219000002</v>
      </c>
    </row>
    <row r="3333" spans="1:7" x14ac:dyDescent="0.25">
      <c r="A3333" s="2">
        <v>3331</v>
      </c>
      <c r="B3333" t="s">
        <v>1315</v>
      </c>
      <c r="C3333" s="1">
        <v>46213</v>
      </c>
      <c r="D3333">
        <v>67.177250000000001</v>
      </c>
      <c r="E3333">
        <v>467.41461167</v>
      </c>
      <c r="F3333">
        <v>466.34298180000002</v>
      </c>
      <c r="G3333">
        <v>467.41461167</v>
      </c>
    </row>
    <row r="3334" spans="1:7" x14ac:dyDescent="0.25">
      <c r="A3334" s="2">
        <v>3332</v>
      </c>
      <c r="B3334" t="s">
        <v>1317</v>
      </c>
      <c r="C3334" s="1">
        <v>46213</v>
      </c>
      <c r="D3334">
        <v>73.756619999999998</v>
      </c>
      <c r="E3334">
        <v>457.72765941</v>
      </c>
      <c r="F3334">
        <v>456.34801954</v>
      </c>
      <c r="G3334">
        <v>457.72765941</v>
      </c>
    </row>
    <row r="3335" spans="1:7" x14ac:dyDescent="0.25">
      <c r="A3335" s="2">
        <v>3333</v>
      </c>
      <c r="B3335" t="s">
        <v>1319</v>
      </c>
      <c r="C3335" s="1">
        <v>46213</v>
      </c>
      <c r="D3335">
        <v>63.731000000000002</v>
      </c>
      <c r="E3335">
        <v>420.43617914999999</v>
      </c>
      <c r="F3335">
        <v>420.72863766</v>
      </c>
      <c r="G3335">
        <v>420.43617914999999</v>
      </c>
    </row>
    <row r="3336" spans="1:7" x14ac:dyDescent="0.25">
      <c r="A3336" s="2">
        <v>3334</v>
      </c>
      <c r="B3336" t="s">
        <v>1321</v>
      </c>
      <c r="C3336" s="1">
        <v>46213</v>
      </c>
      <c r="D3336">
        <v>63.541130000000003</v>
      </c>
      <c r="E3336">
        <v>488.41951659</v>
      </c>
      <c r="F3336">
        <v>487.82846109000002</v>
      </c>
      <c r="G3336">
        <v>488.41951659</v>
      </c>
    </row>
    <row r="3337" spans="1:7" x14ac:dyDescent="0.25">
      <c r="A3337" s="2">
        <v>3335</v>
      </c>
      <c r="B3337" t="s">
        <v>1323</v>
      </c>
      <c r="C3337" s="1">
        <v>46213</v>
      </c>
      <c r="D3337">
        <v>66.593270000000004</v>
      </c>
      <c r="E3337">
        <v>448.78428871</v>
      </c>
      <c r="F3337">
        <v>448.44768400999999</v>
      </c>
      <c r="G3337">
        <v>448.78428871</v>
      </c>
    </row>
    <row r="3338" spans="1:7" x14ac:dyDescent="0.25">
      <c r="A3338" s="2">
        <v>3336</v>
      </c>
      <c r="B3338" t="s">
        <v>1325</v>
      </c>
      <c r="C3338" s="1">
        <v>46213</v>
      </c>
      <c r="D3338">
        <v>60.577359999999999</v>
      </c>
      <c r="E3338">
        <v>512.84991017000004</v>
      </c>
      <c r="F3338">
        <v>512.58843217000003</v>
      </c>
      <c r="G3338">
        <v>512.84991017000004</v>
      </c>
    </row>
    <row r="3339" spans="1:7" x14ac:dyDescent="0.25">
      <c r="A3339" s="2">
        <v>3337</v>
      </c>
      <c r="B3339" t="s">
        <v>1327</v>
      </c>
      <c r="C3339" s="1">
        <v>46213</v>
      </c>
      <c r="D3339">
        <v>76.607730000000004</v>
      </c>
      <c r="E3339">
        <v>456.14677138000002</v>
      </c>
      <c r="F3339">
        <v>454.84415138999998</v>
      </c>
      <c r="G3339">
        <v>456.14677138000002</v>
      </c>
    </row>
    <row r="3340" spans="1:7" x14ac:dyDescent="0.25">
      <c r="A3340" s="2">
        <v>3338</v>
      </c>
      <c r="B3340" t="s">
        <v>1329</v>
      </c>
      <c r="C3340" s="1">
        <v>46213</v>
      </c>
      <c r="D3340">
        <v>86.350110000000001</v>
      </c>
      <c r="E3340">
        <v>442.76038248999998</v>
      </c>
      <c r="F3340">
        <v>442.31537936000001</v>
      </c>
      <c r="G3340">
        <v>442.76038248999998</v>
      </c>
    </row>
    <row r="3341" spans="1:7" x14ac:dyDescent="0.25">
      <c r="A3341" s="2">
        <v>3339</v>
      </c>
      <c r="B3341" t="s">
        <v>1331</v>
      </c>
      <c r="C3341" s="1">
        <v>46213</v>
      </c>
      <c r="D3341">
        <v>92.849100000000007</v>
      </c>
      <c r="E3341">
        <v>386.49187825000001</v>
      </c>
      <c r="F3341">
        <v>386.70720260000002</v>
      </c>
      <c r="G3341">
        <v>386.49187825000001</v>
      </c>
    </row>
    <row r="3342" spans="1:7" x14ac:dyDescent="0.25">
      <c r="A3342" s="2">
        <v>3340</v>
      </c>
      <c r="B3342" t="s">
        <v>1333</v>
      </c>
      <c r="C3342" s="1">
        <v>46213</v>
      </c>
      <c r="D3342">
        <v>88.747559999999993</v>
      </c>
      <c r="E3342">
        <v>357.65792839</v>
      </c>
      <c r="F3342">
        <v>359.07931387000002</v>
      </c>
      <c r="G3342">
        <v>357.65792839</v>
      </c>
    </row>
    <row r="3343" spans="1:7" x14ac:dyDescent="0.25">
      <c r="A3343" s="2">
        <v>3341</v>
      </c>
      <c r="B3343" t="s">
        <v>1335</v>
      </c>
      <c r="C3343" s="1">
        <v>46213</v>
      </c>
      <c r="D3343">
        <v>104.8579</v>
      </c>
      <c r="E3343">
        <v>249.62065552000001</v>
      </c>
      <c r="F3343">
        <v>251.48409556999999</v>
      </c>
      <c r="G3343">
        <v>249.62065552000001</v>
      </c>
    </row>
    <row r="3344" spans="1:7" x14ac:dyDescent="0.25">
      <c r="A3344" s="2">
        <v>3342</v>
      </c>
      <c r="B3344" t="s">
        <v>1337</v>
      </c>
      <c r="C3344" s="1">
        <v>46213</v>
      </c>
      <c r="D3344">
        <v>85.178560000000004</v>
      </c>
      <c r="E3344">
        <v>2724.8756331</v>
      </c>
      <c r="F3344">
        <v>2726.8481857000002</v>
      </c>
      <c r="G3344">
        <v>2724.8756331</v>
      </c>
    </row>
    <row r="3345" spans="1:7" x14ac:dyDescent="0.25">
      <c r="A3345" s="2">
        <v>3343</v>
      </c>
      <c r="B3345" t="s">
        <v>1339</v>
      </c>
      <c r="C3345" s="1">
        <v>46213</v>
      </c>
      <c r="D3345">
        <v>62.958649999999999</v>
      </c>
      <c r="E3345">
        <v>433.61748193</v>
      </c>
      <c r="F3345">
        <v>431.81050188</v>
      </c>
      <c r="G3345">
        <v>433.61748193</v>
      </c>
    </row>
    <row r="3346" spans="1:7" x14ac:dyDescent="0.25">
      <c r="A3346" s="2">
        <v>3344</v>
      </c>
      <c r="B3346" t="s">
        <v>1341</v>
      </c>
      <c r="C3346" s="1">
        <v>46213</v>
      </c>
      <c r="D3346">
        <v>86.207539999999995</v>
      </c>
      <c r="E3346">
        <v>310.26699065999998</v>
      </c>
      <c r="F3346">
        <v>311.90650887999999</v>
      </c>
      <c r="G3346">
        <v>310.26699065999998</v>
      </c>
    </row>
    <row r="3347" spans="1:7" x14ac:dyDescent="0.25">
      <c r="A3347" s="2">
        <v>3345</v>
      </c>
      <c r="B3347" t="s">
        <v>1343</v>
      </c>
      <c r="C3347" s="1">
        <v>46213</v>
      </c>
      <c r="D3347">
        <v>92.428449999999998</v>
      </c>
      <c r="E3347">
        <v>297.33312013</v>
      </c>
      <c r="F3347">
        <v>299.26890229000003</v>
      </c>
      <c r="G3347">
        <v>297.33312013</v>
      </c>
    </row>
    <row r="3348" spans="1:7" x14ac:dyDescent="0.25">
      <c r="A3348" s="2">
        <v>3346</v>
      </c>
      <c r="B3348" t="s">
        <v>1345</v>
      </c>
      <c r="C3348" s="1">
        <v>46213</v>
      </c>
      <c r="D3348">
        <v>95.581720000000004</v>
      </c>
      <c r="E3348">
        <v>192.28041787999999</v>
      </c>
      <c r="F3348">
        <v>194.49402959</v>
      </c>
      <c r="G3348">
        <v>192.28041787999999</v>
      </c>
    </row>
    <row r="3349" spans="1:7" x14ac:dyDescent="0.25">
      <c r="A3349" s="2">
        <v>3347</v>
      </c>
      <c r="B3349" t="s">
        <v>1347</v>
      </c>
      <c r="C3349" s="1">
        <v>46213</v>
      </c>
      <c r="D3349">
        <v>97.086429999999993</v>
      </c>
      <c r="E3349">
        <v>126.96914716000001</v>
      </c>
      <c r="F3349">
        <v>129.77766344</v>
      </c>
      <c r="G3349">
        <v>126.96914716000001</v>
      </c>
    </row>
    <row r="3350" spans="1:7" x14ac:dyDescent="0.25">
      <c r="A3350" s="2">
        <v>3348</v>
      </c>
      <c r="B3350" t="s">
        <v>1349</v>
      </c>
      <c r="C3350" s="1">
        <v>46213</v>
      </c>
      <c r="D3350">
        <v>97.086429999999993</v>
      </c>
      <c r="E3350">
        <v>126.96914716000001</v>
      </c>
      <c r="F3350">
        <v>129.77766344</v>
      </c>
      <c r="G3350">
        <v>126.96914716000001</v>
      </c>
    </row>
    <row r="3351" spans="1:7" x14ac:dyDescent="0.25">
      <c r="A3351" s="2">
        <v>3349</v>
      </c>
      <c r="B3351" t="s">
        <v>1350</v>
      </c>
      <c r="C3351" s="1">
        <v>46213</v>
      </c>
      <c r="D3351">
        <v>97.312669999999997</v>
      </c>
      <c r="E3351">
        <v>107.98826879000001</v>
      </c>
      <c r="F3351">
        <v>112.19381285999999</v>
      </c>
      <c r="G3351">
        <v>107.98826879000001</v>
      </c>
    </row>
    <row r="3352" spans="1:7" x14ac:dyDescent="0.25">
      <c r="A3352" s="2">
        <v>3350</v>
      </c>
      <c r="B3352" t="s">
        <v>1352</v>
      </c>
      <c r="C3352" s="1">
        <v>46213</v>
      </c>
      <c r="D3352">
        <v>80.569500000000005</v>
      </c>
      <c r="E3352">
        <v>4258.1499999999996</v>
      </c>
      <c r="F3352">
        <v>4264.8599999999997</v>
      </c>
      <c r="G3352">
        <v>4258.1499999999996</v>
      </c>
    </row>
    <row r="3353" spans="1:7" x14ac:dyDescent="0.25">
      <c r="A3353" s="2">
        <v>3351</v>
      </c>
      <c r="B3353" t="s">
        <v>1354</v>
      </c>
      <c r="C3353" s="1">
        <v>46213</v>
      </c>
    </row>
    <row r="3354" spans="1:7" x14ac:dyDescent="0.25">
      <c r="A3354" s="2">
        <v>3352</v>
      </c>
      <c r="B3354" t="s">
        <v>3439</v>
      </c>
      <c r="C3354" s="1">
        <v>46213</v>
      </c>
      <c r="D3354">
        <v>82.5</v>
      </c>
    </row>
    <row r="3355" spans="1:7" x14ac:dyDescent="0.25">
      <c r="A3355" s="2">
        <v>3353</v>
      </c>
      <c r="B3355" t="s">
        <v>3442</v>
      </c>
      <c r="C3355" s="1">
        <v>46213</v>
      </c>
    </row>
    <row r="3356" spans="1:7" x14ac:dyDescent="0.25">
      <c r="A3356" s="2">
        <v>3354</v>
      </c>
      <c r="B3356" t="s">
        <v>3444</v>
      </c>
      <c r="C3356" s="1">
        <v>46213</v>
      </c>
      <c r="D3356">
        <v>92.25</v>
      </c>
      <c r="F3356">
        <v>829.63665854999999</v>
      </c>
    </row>
    <row r="3357" spans="1:7" x14ac:dyDescent="0.25">
      <c r="A3357" s="2">
        <v>3355</v>
      </c>
      <c r="B3357" t="s">
        <v>1357</v>
      </c>
      <c r="C3357" s="1">
        <v>46213</v>
      </c>
      <c r="D3357">
        <v>92.625</v>
      </c>
      <c r="F3357">
        <v>1062.3414812599999</v>
      </c>
    </row>
    <row r="3358" spans="1:7" x14ac:dyDescent="0.25">
      <c r="A3358" s="2">
        <v>3356</v>
      </c>
      <c r="B3358" t="s">
        <v>1362</v>
      </c>
      <c r="C3358" s="1">
        <v>46213</v>
      </c>
      <c r="D3358">
        <v>93.625</v>
      </c>
      <c r="F3358">
        <v>1099.8192924299999</v>
      </c>
    </row>
    <row r="3359" spans="1:7" x14ac:dyDescent="0.25">
      <c r="A3359" s="2">
        <v>3357</v>
      </c>
      <c r="B3359" t="s">
        <v>3446</v>
      </c>
      <c r="C3359" s="1">
        <v>46213</v>
      </c>
      <c r="D3359">
        <v>83.625</v>
      </c>
      <c r="F3359">
        <v>1585.2875561400001</v>
      </c>
    </row>
    <row r="3360" spans="1:7" x14ac:dyDescent="0.25">
      <c r="A3360" s="2">
        <v>3358</v>
      </c>
      <c r="B3360" t="s">
        <v>3449</v>
      </c>
      <c r="C3360" s="1">
        <v>46213</v>
      </c>
      <c r="D3360">
        <v>66</v>
      </c>
      <c r="F3360">
        <v>2946.3682105600001</v>
      </c>
    </row>
    <row r="3361" spans="1:7" x14ac:dyDescent="0.25">
      <c r="A3361" s="2">
        <v>3359</v>
      </c>
      <c r="B3361" t="s">
        <v>1364</v>
      </c>
      <c r="C3361" s="1">
        <v>46213</v>
      </c>
      <c r="D3361">
        <v>88.976749999999996</v>
      </c>
      <c r="E3361">
        <v>424.25506326999999</v>
      </c>
      <c r="F3361">
        <v>426.82121895</v>
      </c>
      <c r="G3361">
        <v>424.25506326999999</v>
      </c>
    </row>
    <row r="3362" spans="1:7" x14ac:dyDescent="0.25">
      <c r="A3362" s="2">
        <v>3360</v>
      </c>
      <c r="B3362" t="s">
        <v>1368</v>
      </c>
      <c r="C3362" s="1">
        <v>46213</v>
      </c>
      <c r="D3362">
        <v>64.465639999999993</v>
      </c>
      <c r="E3362">
        <v>3104.24723769</v>
      </c>
      <c r="F3362">
        <v>3108.4103399800001</v>
      </c>
      <c r="G3362">
        <v>3104.24723769</v>
      </c>
    </row>
    <row r="3363" spans="1:7" x14ac:dyDescent="0.25">
      <c r="A3363" s="2">
        <v>3361</v>
      </c>
      <c r="B3363" t="s">
        <v>1370</v>
      </c>
      <c r="C3363" s="1">
        <v>46213</v>
      </c>
      <c r="D3363">
        <v>84.5</v>
      </c>
      <c r="E3363">
        <v>796.81491671000003</v>
      </c>
      <c r="F3363">
        <v>799.23454905999995</v>
      </c>
      <c r="G3363">
        <v>796.81491671000003</v>
      </c>
    </row>
    <row r="3364" spans="1:7" x14ac:dyDescent="0.25">
      <c r="A3364" s="2">
        <v>3362</v>
      </c>
      <c r="B3364" t="s">
        <v>1372</v>
      </c>
      <c r="C3364" s="1">
        <v>46213</v>
      </c>
    </row>
    <row r="3365" spans="1:7" x14ac:dyDescent="0.25">
      <c r="A3365" s="2">
        <v>3363</v>
      </c>
      <c r="B3365" t="s">
        <v>1374</v>
      </c>
      <c r="C3365" s="1">
        <v>46213</v>
      </c>
      <c r="D3365">
        <v>102.375</v>
      </c>
      <c r="F3365">
        <v>409.67522774999998</v>
      </c>
    </row>
    <row r="3366" spans="1:7" x14ac:dyDescent="0.25">
      <c r="A3366" s="2">
        <v>3364</v>
      </c>
      <c r="B3366" t="s">
        <v>1376</v>
      </c>
      <c r="C3366" s="1">
        <v>46213</v>
      </c>
    </row>
    <row r="3367" spans="1:7" x14ac:dyDescent="0.25">
      <c r="A3367" s="2">
        <v>3365</v>
      </c>
      <c r="B3367" t="s">
        <v>1378</v>
      </c>
      <c r="C3367" s="1">
        <v>46213</v>
      </c>
      <c r="D3367">
        <v>93.5</v>
      </c>
      <c r="F3367">
        <v>699.92690861000005</v>
      </c>
    </row>
    <row r="3368" spans="1:7" x14ac:dyDescent="0.25">
      <c r="A3368" s="2">
        <v>3366</v>
      </c>
      <c r="B3368" t="s">
        <v>1379</v>
      </c>
      <c r="C3368" s="1">
        <v>46213</v>
      </c>
      <c r="D3368">
        <v>87.5</v>
      </c>
      <c r="F3368">
        <v>1473.8547342100001</v>
      </c>
    </row>
    <row r="3369" spans="1:7" x14ac:dyDescent="0.25">
      <c r="A3369" s="2">
        <v>3367</v>
      </c>
      <c r="B3369" t="s">
        <v>1380</v>
      </c>
      <c r="C3369" s="1">
        <v>46213</v>
      </c>
      <c r="D3369">
        <v>67.590029999999999</v>
      </c>
      <c r="E3369">
        <v>3070.9876372600002</v>
      </c>
      <c r="F3369">
        <v>3074.82883365</v>
      </c>
      <c r="G3369">
        <v>3070.9876372600002</v>
      </c>
    </row>
    <row r="3370" spans="1:7" x14ac:dyDescent="0.25">
      <c r="A3370" s="2">
        <v>3368</v>
      </c>
      <c r="B3370" t="s">
        <v>1384</v>
      </c>
      <c r="C3370" s="1">
        <v>46213</v>
      </c>
      <c r="D3370">
        <v>67.450999999999993</v>
      </c>
      <c r="E3370">
        <v>2922.0486008399998</v>
      </c>
      <c r="F3370">
        <v>2920.56345259</v>
      </c>
      <c r="G3370">
        <v>2922.0486008399998</v>
      </c>
    </row>
    <row r="3371" spans="1:7" x14ac:dyDescent="0.25">
      <c r="A3371" s="2">
        <v>3369</v>
      </c>
      <c r="B3371" t="s">
        <v>1386</v>
      </c>
      <c r="C3371" s="1">
        <v>46213</v>
      </c>
      <c r="D3371">
        <v>73.533019999999993</v>
      </c>
      <c r="E3371">
        <v>4248.9163015399999</v>
      </c>
      <c r="F3371">
        <v>4250.0282971500001</v>
      </c>
      <c r="G3371">
        <v>4248.9163015399999</v>
      </c>
    </row>
    <row r="3372" spans="1:7" x14ac:dyDescent="0.25">
      <c r="A3372" s="2">
        <v>3370</v>
      </c>
      <c r="B3372" t="s">
        <v>1388</v>
      </c>
      <c r="C3372" s="1">
        <v>46213</v>
      </c>
      <c r="D3372">
        <v>98.606849999999994</v>
      </c>
      <c r="E3372">
        <v>624.83445664999999</v>
      </c>
      <c r="F3372">
        <v>626.36062545000004</v>
      </c>
      <c r="G3372">
        <v>624.83445664999999</v>
      </c>
    </row>
    <row r="3373" spans="1:7" x14ac:dyDescent="0.25">
      <c r="A3373" s="2">
        <v>3371</v>
      </c>
      <c r="B3373" t="s">
        <v>1390</v>
      </c>
      <c r="C3373" s="1">
        <v>46213</v>
      </c>
      <c r="D3373">
        <v>97.43</v>
      </c>
      <c r="E3373">
        <v>256.71670734999998</v>
      </c>
      <c r="F3373">
        <v>254.29841798000001</v>
      </c>
      <c r="G3373">
        <v>256.71670734999998</v>
      </c>
    </row>
    <row r="3374" spans="1:7" x14ac:dyDescent="0.25">
      <c r="A3374" s="2">
        <v>3372</v>
      </c>
      <c r="B3374" t="s">
        <v>1393</v>
      </c>
      <c r="C3374" s="1">
        <v>46213</v>
      </c>
      <c r="D3374">
        <v>98.590999999999994</v>
      </c>
      <c r="E3374">
        <v>303.18648765</v>
      </c>
      <c r="F3374">
        <v>300.22810213000002</v>
      </c>
      <c r="G3374">
        <v>303.18648765</v>
      </c>
    </row>
    <row r="3375" spans="1:7" x14ac:dyDescent="0.25">
      <c r="A3375" s="2">
        <v>3373</v>
      </c>
      <c r="B3375" t="s">
        <v>1395</v>
      </c>
      <c r="C3375" s="1">
        <v>46213</v>
      </c>
      <c r="D3375">
        <v>97.95</v>
      </c>
      <c r="E3375">
        <v>291.78590070000001</v>
      </c>
      <c r="F3375">
        <v>288.93523614999998</v>
      </c>
      <c r="G3375">
        <v>291.78590070000001</v>
      </c>
    </row>
    <row r="3376" spans="1:7" x14ac:dyDescent="0.25">
      <c r="A3376" s="2">
        <v>3374</v>
      </c>
      <c r="B3376" t="s">
        <v>1397</v>
      </c>
      <c r="C3376" s="1">
        <v>46213</v>
      </c>
      <c r="D3376">
        <v>97.078649999999996</v>
      </c>
      <c r="E3376">
        <v>310.42716546000003</v>
      </c>
      <c r="F3376">
        <v>312.11895227999997</v>
      </c>
      <c r="G3376">
        <v>310.42716546000003</v>
      </c>
    </row>
    <row r="3377" spans="1:7" x14ac:dyDescent="0.25">
      <c r="A3377" s="2">
        <v>3375</v>
      </c>
      <c r="B3377" t="s">
        <v>1399</v>
      </c>
      <c r="C3377" s="1">
        <v>46213</v>
      </c>
      <c r="D3377">
        <v>97.668549999999996</v>
      </c>
      <c r="E3377">
        <v>334.66597295000003</v>
      </c>
      <c r="F3377">
        <v>336.30376589000002</v>
      </c>
      <c r="G3377">
        <v>334.66597295000003</v>
      </c>
    </row>
    <row r="3378" spans="1:7" x14ac:dyDescent="0.25">
      <c r="A3378" s="2">
        <v>3376</v>
      </c>
      <c r="B3378" t="s">
        <v>1401</v>
      </c>
      <c r="C3378" s="1">
        <v>46213</v>
      </c>
      <c r="D3378">
        <v>97.185209999999998</v>
      </c>
      <c r="E3378">
        <v>321.38577931999998</v>
      </c>
      <c r="F3378">
        <v>323.08031562000002</v>
      </c>
      <c r="G3378">
        <v>321.38577931999998</v>
      </c>
    </row>
    <row r="3379" spans="1:7" x14ac:dyDescent="0.25">
      <c r="A3379" s="2">
        <v>3377</v>
      </c>
      <c r="B3379" t="s">
        <v>1403</v>
      </c>
      <c r="C3379" s="1">
        <v>46213</v>
      </c>
      <c r="D3379">
        <v>97.710489999999993</v>
      </c>
      <c r="E3379">
        <v>355.81922300000002</v>
      </c>
      <c r="F3379">
        <v>357.71516813</v>
      </c>
      <c r="G3379">
        <v>355.81922300000002</v>
      </c>
    </row>
    <row r="3380" spans="1:7" x14ac:dyDescent="0.25">
      <c r="A3380" s="2">
        <v>3378</v>
      </c>
      <c r="B3380" t="s">
        <v>1405</v>
      </c>
      <c r="C3380" s="1">
        <v>46213</v>
      </c>
      <c r="D3380">
        <v>102.62</v>
      </c>
      <c r="E3380">
        <v>337.60070702000002</v>
      </c>
      <c r="F3380">
        <v>317.55543018999998</v>
      </c>
      <c r="G3380">
        <v>337.60070702000002</v>
      </c>
    </row>
    <row r="3381" spans="1:7" x14ac:dyDescent="0.25">
      <c r="A3381" s="2">
        <v>3379</v>
      </c>
      <c r="B3381" t="s">
        <v>1407</v>
      </c>
      <c r="C3381" s="1">
        <v>46213</v>
      </c>
      <c r="D3381">
        <v>101.6587</v>
      </c>
      <c r="E3381">
        <v>312.14251989000002</v>
      </c>
      <c r="F3381">
        <v>315.89641519000003</v>
      </c>
      <c r="G3381">
        <v>312.14251989000002</v>
      </c>
    </row>
    <row r="3382" spans="1:7" x14ac:dyDescent="0.25">
      <c r="A3382" s="2">
        <v>3380</v>
      </c>
      <c r="B3382" t="s">
        <v>1409</v>
      </c>
      <c r="C3382" s="1">
        <v>46213</v>
      </c>
      <c r="D3382">
        <v>98.543999999999997</v>
      </c>
      <c r="E3382">
        <v>295.87172344999999</v>
      </c>
      <c r="F3382">
        <v>293.14788148000002</v>
      </c>
      <c r="G3382">
        <v>295.87172344999999</v>
      </c>
    </row>
    <row r="3383" spans="1:7" x14ac:dyDescent="0.25">
      <c r="A3383" s="2">
        <v>3381</v>
      </c>
      <c r="B3383" t="s">
        <v>1411</v>
      </c>
      <c r="C3383" s="1">
        <v>46213</v>
      </c>
      <c r="D3383">
        <v>100.923</v>
      </c>
      <c r="E3383">
        <v>375.66540771000001</v>
      </c>
      <c r="F3383">
        <v>370.21433231999998</v>
      </c>
      <c r="G3383">
        <v>375.66540771000001</v>
      </c>
    </row>
    <row r="3384" spans="1:7" x14ac:dyDescent="0.25">
      <c r="A3384" s="2">
        <v>3382</v>
      </c>
      <c r="B3384" t="s">
        <v>1413</v>
      </c>
      <c r="C3384" s="1">
        <v>46213</v>
      </c>
      <c r="D3384">
        <v>66.822050000000004</v>
      </c>
      <c r="E3384">
        <v>1687.2426826000001</v>
      </c>
      <c r="F3384">
        <v>1689.4338228199999</v>
      </c>
      <c r="G3384">
        <v>1687.2426826000001</v>
      </c>
    </row>
    <row r="3385" spans="1:7" x14ac:dyDescent="0.25">
      <c r="A3385" s="2">
        <v>3383</v>
      </c>
      <c r="B3385" t="s">
        <v>1415</v>
      </c>
      <c r="C3385" s="1">
        <v>46213</v>
      </c>
      <c r="D3385">
        <v>67.191999999999993</v>
      </c>
      <c r="E3385">
        <v>1595.1162578200001</v>
      </c>
      <c r="F3385">
        <v>1592.9650670200001</v>
      </c>
      <c r="G3385">
        <v>1595.1162578200001</v>
      </c>
    </row>
    <row r="3386" spans="1:7" x14ac:dyDescent="0.25">
      <c r="A3386" s="2">
        <v>3384</v>
      </c>
      <c r="B3386" t="s">
        <v>1417</v>
      </c>
      <c r="C3386" s="1">
        <v>46213</v>
      </c>
      <c r="D3386">
        <v>35.82958</v>
      </c>
    </row>
    <row r="3387" spans="1:7" x14ac:dyDescent="0.25">
      <c r="A3387" s="2">
        <v>3385</v>
      </c>
      <c r="B3387" t="s">
        <v>1419</v>
      </c>
      <c r="C3387" s="1">
        <v>46213</v>
      </c>
      <c r="D3387">
        <v>36.475000000000001</v>
      </c>
    </row>
    <row r="3388" spans="1:7" x14ac:dyDescent="0.25">
      <c r="A3388" s="2">
        <v>3386</v>
      </c>
      <c r="B3388" t="s">
        <v>1421</v>
      </c>
      <c r="C3388" s="1">
        <v>46213</v>
      </c>
      <c r="D3388">
        <v>100</v>
      </c>
    </row>
    <row r="3389" spans="1:7" x14ac:dyDescent="0.25">
      <c r="A3389" s="2">
        <v>3387</v>
      </c>
      <c r="B3389" t="s">
        <v>1423</v>
      </c>
      <c r="C3389" s="1">
        <v>46213</v>
      </c>
      <c r="D3389">
        <v>20.695</v>
      </c>
      <c r="E3389">
        <v>13211.549454440001</v>
      </c>
      <c r="F3389">
        <v>13209.78856725</v>
      </c>
      <c r="G3389">
        <v>13211.549454440001</v>
      </c>
    </row>
    <row r="3390" spans="1:7" x14ac:dyDescent="0.25">
      <c r="A3390" s="2">
        <v>3388</v>
      </c>
      <c r="B3390" t="s">
        <v>1425</v>
      </c>
      <c r="C3390" s="1">
        <v>46213</v>
      </c>
      <c r="D3390">
        <v>96.5</v>
      </c>
    </row>
    <row r="3391" spans="1:7" x14ac:dyDescent="0.25">
      <c r="A3391" s="2">
        <v>3389</v>
      </c>
      <c r="B3391" t="s">
        <v>1427</v>
      </c>
      <c r="C3391" s="1">
        <v>46213</v>
      </c>
      <c r="D3391">
        <v>100.25</v>
      </c>
      <c r="F3391">
        <v>388.19007592000003</v>
      </c>
    </row>
    <row r="3392" spans="1:7" x14ac:dyDescent="0.25">
      <c r="A3392" s="2">
        <v>3390</v>
      </c>
      <c r="B3392" t="s">
        <v>1429</v>
      </c>
      <c r="C3392" s="1">
        <v>46213</v>
      </c>
      <c r="D3392">
        <v>100.25</v>
      </c>
      <c r="F3392">
        <v>393.60867123000003</v>
      </c>
    </row>
    <row r="3393" spans="1:7" x14ac:dyDescent="0.25">
      <c r="A3393" s="2">
        <v>3391</v>
      </c>
      <c r="B3393" t="s">
        <v>1431</v>
      </c>
      <c r="C3393" s="1">
        <v>46213</v>
      </c>
      <c r="D3393">
        <v>102.25</v>
      </c>
      <c r="F3393">
        <v>555.01255093999998</v>
      </c>
    </row>
    <row r="3394" spans="1:7" x14ac:dyDescent="0.25">
      <c r="A3394" s="2">
        <v>3392</v>
      </c>
      <c r="B3394" t="s">
        <v>1433</v>
      </c>
      <c r="C3394" s="1">
        <v>46213</v>
      </c>
      <c r="D3394">
        <v>100.25</v>
      </c>
      <c r="F3394">
        <v>356.34953207000001</v>
      </c>
    </row>
    <row r="3395" spans="1:7" x14ac:dyDescent="0.25">
      <c r="A3395" s="2">
        <v>3393</v>
      </c>
      <c r="B3395" t="s">
        <v>1435</v>
      </c>
      <c r="C3395" s="1">
        <v>46213</v>
      </c>
      <c r="D3395">
        <v>100</v>
      </c>
      <c r="F3395">
        <v>468.52011370000002</v>
      </c>
    </row>
    <row r="3396" spans="1:7" x14ac:dyDescent="0.25">
      <c r="A3396" s="2">
        <v>3394</v>
      </c>
      <c r="B3396" t="s">
        <v>1437</v>
      </c>
      <c r="C3396" s="1">
        <v>46213</v>
      </c>
      <c r="D3396">
        <v>100.375</v>
      </c>
      <c r="F3396">
        <v>491.45349948</v>
      </c>
    </row>
    <row r="3397" spans="1:7" x14ac:dyDescent="0.25">
      <c r="A3397" s="2">
        <v>3395</v>
      </c>
      <c r="B3397" t="s">
        <v>1439</v>
      </c>
      <c r="C3397" s="1">
        <v>46213</v>
      </c>
      <c r="D3397">
        <v>102</v>
      </c>
      <c r="F3397">
        <v>552.89059511999994</v>
      </c>
    </row>
    <row r="3398" spans="1:7" x14ac:dyDescent="0.25">
      <c r="A3398" s="2">
        <v>3396</v>
      </c>
      <c r="B3398" t="s">
        <v>1441</v>
      </c>
      <c r="C3398" s="1">
        <v>46213</v>
      </c>
    </row>
    <row r="3399" spans="1:7" x14ac:dyDescent="0.25">
      <c r="A3399" s="2">
        <v>3397</v>
      </c>
      <c r="B3399" t="s">
        <v>1443</v>
      </c>
      <c r="C3399" s="1">
        <v>46213</v>
      </c>
    </row>
    <row r="3400" spans="1:7" x14ac:dyDescent="0.25">
      <c r="A3400" s="2">
        <v>3398</v>
      </c>
      <c r="B3400" t="s">
        <v>1445</v>
      </c>
      <c r="C3400" s="1">
        <v>46213</v>
      </c>
      <c r="D3400">
        <v>72.5</v>
      </c>
      <c r="F3400">
        <v>3132.7720322599998</v>
      </c>
    </row>
    <row r="3401" spans="1:7" x14ac:dyDescent="0.25">
      <c r="A3401" s="2">
        <v>3399</v>
      </c>
      <c r="B3401" t="s">
        <v>1447</v>
      </c>
      <c r="C3401" s="1">
        <v>46213</v>
      </c>
      <c r="D3401">
        <v>71.75</v>
      </c>
      <c r="F3401">
        <v>3508.7555471599999</v>
      </c>
    </row>
    <row r="3402" spans="1:7" x14ac:dyDescent="0.25">
      <c r="A3402" s="2">
        <v>3400</v>
      </c>
      <c r="B3402" t="s">
        <v>1449</v>
      </c>
      <c r="C3402" s="1">
        <v>46213</v>
      </c>
      <c r="D3402">
        <v>72.5</v>
      </c>
      <c r="F3402">
        <v>3295.74245965</v>
      </c>
    </row>
    <row r="3403" spans="1:7" x14ac:dyDescent="0.25">
      <c r="A3403" s="2">
        <v>3401</v>
      </c>
      <c r="B3403" t="s">
        <v>1451</v>
      </c>
      <c r="C3403" s="1">
        <v>46213</v>
      </c>
    </row>
    <row r="3404" spans="1:7" x14ac:dyDescent="0.25">
      <c r="A3404" s="2">
        <v>3402</v>
      </c>
      <c r="B3404" t="s">
        <v>1454</v>
      </c>
      <c r="C3404" s="1">
        <v>46213</v>
      </c>
    </row>
    <row r="3405" spans="1:7" x14ac:dyDescent="0.25">
      <c r="A3405" s="2">
        <v>3403</v>
      </c>
      <c r="B3405" t="s">
        <v>1457</v>
      </c>
      <c r="C3405" s="1">
        <v>46213</v>
      </c>
    </row>
    <row r="3406" spans="1:7" x14ac:dyDescent="0.25">
      <c r="A3406" s="2">
        <v>3404</v>
      </c>
      <c r="B3406" t="s">
        <v>1459</v>
      </c>
      <c r="C3406" s="1">
        <v>46213</v>
      </c>
      <c r="D3406">
        <v>89.009510000000006</v>
      </c>
      <c r="E3406">
        <v>831.90462618000004</v>
      </c>
      <c r="F3406">
        <v>833.99796065999999</v>
      </c>
      <c r="G3406">
        <v>831.90462618000004</v>
      </c>
    </row>
    <row r="3407" spans="1:7" x14ac:dyDescent="0.25">
      <c r="A3407" s="2">
        <v>3405</v>
      </c>
      <c r="B3407" t="s">
        <v>1463</v>
      </c>
      <c r="C3407" s="1">
        <v>46213</v>
      </c>
      <c r="D3407">
        <v>85.576509999999999</v>
      </c>
      <c r="E3407">
        <v>998.83197596000002</v>
      </c>
      <c r="F3407">
        <v>1001.33861824</v>
      </c>
      <c r="G3407">
        <v>998.83197596000002</v>
      </c>
    </row>
    <row r="3408" spans="1:7" x14ac:dyDescent="0.25">
      <c r="A3408" s="2">
        <v>3406</v>
      </c>
      <c r="B3408" t="s">
        <v>1465</v>
      </c>
      <c r="C3408" s="1">
        <v>46213</v>
      </c>
      <c r="D3408">
        <v>89.25</v>
      </c>
      <c r="F3408">
        <v>982.11387037999998</v>
      </c>
    </row>
    <row r="3409" spans="1:7" x14ac:dyDescent="0.25">
      <c r="A3409" s="2">
        <v>3407</v>
      </c>
      <c r="B3409" t="s">
        <v>1467</v>
      </c>
      <c r="C3409" s="1">
        <v>46213</v>
      </c>
    </row>
    <row r="3410" spans="1:7" x14ac:dyDescent="0.25">
      <c r="A3410" s="2">
        <v>3408</v>
      </c>
      <c r="B3410" t="s">
        <v>1471</v>
      </c>
      <c r="C3410" s="1">
        <v>46213</v>
      </c>
    </row>
    <row r="3411" spans="1:7" x14ac:dyDescent="0.25">
      <c r="A3411" s="2">
        <v>3409</v>
      </c>
      <c r="B3411" t="s">
        <v>1473</v>
      </c>
      <c r="C3411" s="1">
        <v>46213</v>
      </c>
    </row>
    <row r="3412" spans="1:7" x14ac:dyDescent="0.25">
      <c r="A3412" s="2">
        <v>3410</v>
      </c>
      <c r="B3412" t="s">
        <v>1475</v>
      </c>
      <c r="C3412" s="1">
        <v>46213</v>
      </c>
    </row>
    <row r="3413" spans="1:7" x14ac:dyDescent="0.25">
      <c r="A3413" s="2">
        <v>3411</v>
      </c>
      <c r="B3413" t="s">
        <v>1476</v>
      </c>
      <c r="C3413" s="1">
        <v>46213</v>
      </c>
    </row>
    <row r="3414" spans="1:7" x14ac:dyDescent="0.25">
      <c r="A3414" s="2">
        <v>3412</v>
      </c>
      <c r="B3414" t="s">
        <v>1478</v>
      </c>
      <c r="C3414" s="1">
        <v>46213</v>
      </c>
      <c r="D3414">
        <v>17.5</v>
      </c>
      <c r="F3414">
        <v>21726.223396140002</v>
      </c>
    </row>
    <row r="3415" spans="1:7" x14ac:dyDescent="0.25">
      <c r="A3415" s="2">
        <v>3413</v>
      </c>
      <c r="B3415" t="s">
        <v>1479</v>
      </c>
      <c r="C3415" s="1">
        <v>46213</v>
      </c>
      <c r="D3415">
        <v>36.5</v>
      </c>
      <c r="F3415">
        <v>7008.6179372300003</v>
      </c>
    </row>
    <row r="3416" spans="1:7" x14ac:dyDescent="0.25">
      <c r="A3416" s="2">
        <v>3414</v>
      </c>
      <c r="B3416" t="s">
        <v>1480</v>
      </c>
      <c r="C3416" s="1">
        <v>46213</v>
      </c>
      <c r="D3416">
        <v>67.5</v>
      </c>
      <c r="F3416">
        <v>2988.7557011399999</v>
      </c>
    </row>
    <row r="3417" spans="1:7" x14ac:dyDescent="0.25">
      <c r="A3417" s="2">
        <v>3415</v>
      </c>
      <c r="B3417" t="s">
        <v>1481</v>
      </c>
      <c r="C3417" s="1">
        <v>46213</v>
      </c>
      <c r="D3417">
        <v>99.25</v>
      </c>
      <c r="F3417">
        <v>697.56488907999994</v>
      </c>
    </row>
    <row r="3418" spans="1:7" x14ac:dyDescent="0.25">
      <c r="A3418" s="2">
        <v>3416</v>
      </c>
      <c r="B3418" t="s">
        <v>1482</v>
      </c>
      <c r="C3418" s="1">
        <v>46213</v>
      </c>
    </row>
    <row r="3419" spans="1:7" x14ac:dyDescent="0.25">
      <c r="A3419" s="2">
        <v>3417</v>
      </c>
      <c r="B3419" t="s">
        <v>1483</v>
      </c>
      <c r="C3419" s="1">
        <v>46213</v>
      </c>
      <c r="D3419">
        <v>40</v>
      </c>
    </row>
    <row r="3420" spans="1:7" x14ac:dyDescent="0.25">
      <c r="A3420" s="2">
        <v>3418</v>
      </c>
      <c r="B3420" t="s">
        <v>1484</v>
      </c>
      <c r="C3420" s="1">
        <v>46213</v>
      </c>
      <c r="D3420">
        <v>68</v>
      </c>
    </row>
    <row r="3421" spans="1:7" x14ac:dyDescent="0.25">
      <c r="A3421" s="2">
        <v>3419</v>
      </c>
      <c r="B3421" t="s">
        <v>2679</v>
      </c>
      <c r="C3421" s="1">
        <v>46213</v>
      </c>
    </row>
    <row r="3422" spans="1:7" x14ac:dyDescent="0.25">
      <c r="A3422" s="2">
        <v>3420</v>
      </c>
      <c r="B3422" t="s">
        <v>3189</v>
      </c>
      <c r="C3422" s="1">
        <v>46213</v>
      </c>
      <c r="D3422">
        <v>102.3687</v>
      </c>
      <c r="E3422">
        <v>533.75577825000005</v>
      </c>
      <c r="F3422">
        <v>536.11986344000002</v>
      </c>
      <c r="G3422">
        <v>533.75577825000005</v>
      </c>
    </row>
    <row r="3423" spans="1:7" x14ac:dyDescent="0.25">
      <c r="A3423" s="2">
        <v>3421</v>
      </c>
      <c r="B3423" t="s">
        <v>3194</v>
      </c>
      <c r="C3423" s="1">
        <v>46213</v>
      </c>
      <c r="D3423">
        <v>95.25</v>
      </c>
      <c r="F3423">
        <v>526.68615380000006</v>
      </c>
    </row>
    <row r="3424" spans="1:7" x14ac:dyDescent="0.25">
      <c r="A3424" s="2">
        <v>3422</v>
      </c>
      <c r="B3424" t="s">
        <v>1499</v>
      </c>
      <c r="C3424" s="1">
        <v>46213</v>
      </c>
      <c r="D3424">
        <v>98.616</v>
      </c>
      <c r="E3424">
        <v>255.92347788999999</v>
      </c>
      <c r="F3424">
        <v>257.99058362</v>
      </c>
      <c r="G3424">
        <v>255.92347788999999</v>
      </c>
    </row>
    <row r="3425" spans="1:7" x14ac:dyDescent="0.25">
      <c r="A3425" s="2">
        <v>3423</v>
      </c>
      <c r="B3425" t="s">
        <v>1504</v>
      </c>
      <c r="C3425" s="1">
        <v>46213</v>
      </c>
      <c r="D3425">
        <v>99.848119999999994</v>
      </c>
      <c r="E3425">
        <v>280.41153642</v>
      </c>
      <c r="F3425">
        <v>282.86482949999998</v>
      </c>
      <c r="G3425">
        <v>280.41153642</v>
      </c>
    </row>
    <row r="3426" spans="1:7" x14ac:dyDescent="0.25">
      <c r="A3426" s="2">
        <v>3424</v>
      </c>
      <c r="B3426" t="s">
        <v>1506</v>
      </c>
      <c r="C3426" s="1">
        <v>46213</v>
      </c>
      <c r="D3426">
        <v>100.964</v>
      </c>
      <c r="E3426">
        <v>237.29783311</v>
      </c>
      <c r="F3426">
        <v>230.52090706000001</v>
      </c>
      <c r="G3426">
        <v>237.29783311</v>
      </c>
    </row>
    <row r="3427" spans="1:7" x14ac:dyDescent="0.25">
      <c r="A3427" s="2">
        <v>3425</v>
      </c>
      <c r="B3427" t="s">
        <v>1508</v>
      </c>
      <c r="C3427" s="1">
        <v>46213</v>
      </c>
      <c r="D3427">
        <v>90.78</v>
      </c>
      <c r="E3427">
        <v>997.06143864000001</v>
      </c>
      <c r="F3427">
        <v>994.25262778000001</v>
      </c>
      <c r="G3427">
        <v>997.06143864000001</v>
      </c>
    </row>
    <row r="3428" spans="1:7" x14ac:dyDescent="0.25">
      <c r="A3428" s="2">
        <v>3426</v>
      </c>
      <c r="B3428" t="s">
        <v>1510</v>
      </c>
      <c r="C3428" s="1">
        <v>46213</v>
      </c>
      <c r="D3428">
        <v>92.362780000000001</v>
      </c>
      <c r="E3428">
        <v>919.92633276000004</v>
      </c>
      <c r="F3428">
        <v>921.78031196999996</v>
      </c>
      <c r="G3428">
        <v>919.92633276000004</v>
      </c>
    </row>
    <row r="3429" spans="1:7" x14ac:dyDescent="0.25">
      <c r="A3429" s="2">
        <v>3427</v>
      </c>
      <c r="B3429" t="s">
        <v>1512</v>
      </c>
      <c r="C3429" s="1">
        <v>46213</v>
      </c>
      <c r="D3429">
        <v>98.039000000000001</v>
      </c>
      <c r="E3429">
        <v>434.40248989999998</v>
      </c>
      <c r="F3429">
        <v>431.92592654999999</v>
      </c>
      <c r="G3429">
        <v>434.40248989999998</v>
      </c>
    </row>
    <row r="3430" spans="1:7" x14ac:dyDescent="0.25">
      <c r="A3430" s="2">
        <v>3428</v>
      </c>
      <c r="B3430" t="s">
        <v>1514</v>
      </c>
      <c r="C3430" s="1">
        <v>46213</v>
      </c>
      <c r="D3430">
        <v>97.587680000000006</v>
      </c>
      <c r="E3430">
        <v>446.02709919</v>
      </c>
      <c r="F3430">
        <v>448.08307829</v>
      </c>
      <c r="G3430">
        <v>446.02709919</v>
      </c>
    </row>
    <row r="3431" spans="1:7" x14ac:dyDescent="0.25">
      <c r="A3431" s="2">
        <v>3429</v>
      </c>
      <c r="B3431" t="s">
        <v>1516</v>
      </c>
      <c r="C3431" s="1">
        <v>46213</v>
      </c>
      <c r="D3431">
        <v>82.105000000000004</v>
      </c>
      <c r="E3431">
        <v>1016.29650335</v>
      </c>
      <c r="F3431">
        <v>1013.7355418</v>
      </c>
      <c r="G3431">
        <v>1016.29650335</v>
      </c>
    </row>
    <row r="3432" spans="1:7" x14ac:dyDescent="0.25">
      <c r="A3432" s="2">
        <v>3430</v>
      </c>
      <c r="B3432" t="s">
        <v>1518</v>
      </c>
      <c r="C3432" s="1">
        <v>46213</v>
      </c>
      <c r="D3432">
        <v>93.373999999999995</v>
      </c>
      <c r="E3432">
        <v>466.75733285000001</v>
      </c>
      <c r="F3432">
        <v>464.36100619000001</v>
      </c>
      <c r="G3432">
        <v>466.75733285000001</v>
      </c>
    </row>
    <row r="3433" spans="1:7" x14ac:dyDescent="0.25">
      <c r="A3433" s="2">
        <v>3431</v>
      </c>
      <c r="B3433" t="s">
        <v>1520</v>
      </c>
      <c r="C3433" s="1">
        <v>46213</v>
      </c>
      <c r="D3433">
        <v>94.897999999999996</v>
      </c>
      <c r="E3433">
        <v>574.42023152000002</v>
      </c>
      <c r="F3433">
        <v>571.64375338000002</v>
      </c>
      <c r="G3433">
        <v>574.42023152000002</v>
      </c>
    </row>
    <row r="3434" spans="1:7" x14ac:dyDescent="0.25">
      <c r="A3434" s="2">
        <v>3432</v>
      </c>
      <c r="B3434" t="s">
        <v>1522</v>
      </c>
      <c r="C3434" s="1">
        <v>46213</v>
      </c>
      <c r="D3434">
        <v>95.656999999999996</v>
      </c>
      <c r="E3434">
        <v>609.34063192999997</v>
      </c>
      <c r="F3434">
        <v>606.31992620999995</v>
      </c>
      <c r="G3434">
        <v>609.34063192999997</v>
      </c>
    </row>
    <row r="3435" spans="1:7" x14ac:dyDescent="0.25">
      <c r="A3435" s="2">
        <v>3433</v>
      </c>
      <c r="B3435" t="s">
        <v>1524</v>
      </c>
      <c r="C3435" s="1">
        <v>46213</v>
      </c>
    </row>
    <row r="3436" spans="1:7" x14ac:dyDescent="0.25">
      <c r="A3436" s="2">
        <v>3434</v>
      </c>
      <c r="B3436" t="s">
        <v>1526</v>
      </c>
      <c r="C3436" s="1">
        <v>46213</v>
      </c>
      <c r="D3436">
        <v>93</v>
      </c>
      <c r="F3436">
        <v>559.65794684000002</v>
      </c>
    </row>
    <row r="3437" spans="1:7" x14ac:dyDescent="0.25">
      <c r="A3437" s="2">
        <v>3435</v>
      </c>
      <c r="B3437" t="s">
        <v>1528</v>
      </c>
      <c r="C3437" s="1">
        <v>46213</v>
      </c>
      <c r="D3437">
        <v>89.3125</v>
      </c>
      <c r="F3437">
        <v>1065.27702843</v>
      </c>
    </row>
    <row r="3438" spans="1:7" x14ac:dyDescent="0.25">
      <c r="A3438" s="2">
        <v>3436</v>
      </c>
      <c r="B3438" t="s">
        <v>1530</v>
      </c>
      <c r="C3438" s="1">
        <v>46213</v>
      </c>
      <c r="D3438">
        <v>89.75</v>
      </c>
      <c r="F3438">
        <v>562.73281165000003</v>
      </c>
    </row>
    <row r="3439" spans="1:7" x14ac:dyDescent="0.25">
      <c r="A3439" s="2">
        <v>3437</v>
      </c>
      <c r="B3439" t="s">
        <v>1532</v>
      </c>
      <c r="C3439" s="1">
        <v>46213</v>
      </c>
      <c r="D3439">
        <v>90</v>
      </c>
      <c r="F3439">
        <v>553.02304420999997</v>
      </c>
    </row>
    <row r="3440" spans="1:7" x14ac:dyDescent="0.25">
      <c r="A3440" s="2">
        <v>3438</v>
      </c>
      <c r="B3440" t="s">
        <v>1534</v>
      </c>
      <c r="C3440" s="1">
        <v>46213</v>
      </c>
      <c r="D3440">
        <v>83</v>
      </c>
      <c r="F3440">
        <v>833.31418490999999</v>
      </c>
    </row>
    <row r="3441" spans="1:6" x14ac:dyDescent="0.25">
      <c r="A3441" s="2">
        <v>3439</v>
      </c>
      <c r="B3441" t="s">
        <v>1536</v>
      </c>
      <c r="C3441" s="1">
        <v>46213</v>
      </c>
      <c r="D3441">
        <v>82.75</v>
      </c>
      <c r="F3441">
        <v>857.79786637999996</v>
      </c>
    </row>
    <row r="3442" spans="1:6" x14ac:dyDescent="0.25">
      <c r="A3442" s="2">
        <v>3440</v>
      </c>
      <c r="B3442" t="s">
        <v>1538</v>
      </c>
      <c r="C3442" s="1">
        <v>46213</v>
      </c>
    </row>
    <row r="3443" spans="1:6" x14ac:dyDescent="0.25">
      <c r="A3443" s="2">
        <v>3441</v>
      </c>
      <c r="B3443" t="s">
        <v>1540</v>
      </c>
      <c r="C3443" s="1">
        <v>46213</v>
      </c>
    </row>
    <row r="3444" spans="1:6" x14ac:dyDescent="0.25">
      <c r="A3444" s="2">
        <v>3442</v>
      </c>
      <c r="B3444" t="s">
        <v>1541</v>
      </c>
      <c r="C3444" s="1">
        <v>46213</v>
      </c>
      <c r="D3444">
        <v>93.75</v>
      </c>
      <c r="F3444">
        <v>533.34845628000005</v>
      </c>
    </row>
    <row r="3445" spans="1:6" x14ac:dyDescent="0.25">
      <c r="A3445" s="2">
        <v>3443</v>
      </c>
      <c r="B3445" t="s">
        <v>1542</v>
      </c>
      <c r="C3445" s="1">
        <v>46213</v>
      </c>
      <c r="D3445">
        <v>90</v>
      </c>
      <c r="F3445">
        <v>549.49738789000003</v>
      </c>
    </row>
    <row r="3446" spans="1:6" x14ac:dyDescent="0.25">
      <c r="A3446" s="2">
        <v>3444</v>
      </c>
      <c r="B3446" t="s">
        <v>1543</v>
      </c>
      <c r="C3446" s="1">
        <v>46213</v>
      </c>
      <c r="D3446">
        <v>86.75</v>
      </c>
      <c r="F3446">
        <v>1045.17486237</v>
      </c>
    </row>
    <row r="3447" spans="1:6" x14ac:dyDescent="0.25">
      <c r="A3447" s="2">
        <v>3445</v>
      </c>
      <c r="B3447" t="s">
        <v>1544</v>
      </c>
      <c r="C3447" s="1">
        <v>46213</v>
      </c>
      <c r="D3447">
        <v>87</v>
      </c>
      <c r="F3447">
        <v>967.89451115999998</v>
      </c>
    </row>
    <row r="3448" spans="1:6" x14ac:dyDescent="0.25">
      <c r="A3448" s="2">
        <v>3446</v>
      </c>
      <c r="B3448" t="s">
        <v>1545</v>
      </c>
      <c r="C3448" s="1">
        <v>46213</v>
      </c>
      <c r="D3448">
        <v>98.125</v>
      </c>
      <c r="F3448">
        <v>432.58871728000003</v>
      </c>
    </row>
    <row r="3449" spans="1:6" x14ac:dyDescent="0.25">
      <c r="A3449" s="2">
        <v>3447</v>
      </c>
      <c r="B3449" t="s">
        <v>1546</v>
      </c>
      <c r="C3449" s="1">
        <v>46213</v>
      </c>
      <c r="D3449">
        <v>101.5</v>
      </c>
      <c r="F3449">
        <v>330.11535264000003</v>
      </c>
    </row>
    <row r="3450" spans="1:6" x14ac:dyDescent="0.25">
      <c r="A3450" s="2">
        <v>3448</v>
      </c>
      <c r="B3450" t="s">
        <v>1548</v>
      </c>
      <c r="C3450" s="1">
        <v>46213</v>
      </c>
    </row>
    <row r="3451" spans="1:6" x14ac:dyDescent="0.25">
      <c r="A3451" s="2">
        <v>3449</v>
      </c>
      <c r="B3451" t="s">
        <v>1551</v>
      </c>
      <c r="C3451" s="1">
        <v>46213</v>
      </c>
    </row>
    <row r="3452" spans="1:6" x14ac:dyDescent="0.25">
      <c r="A3452" s="2">
        <v>3450</v>
      </c>
      <c r="B3452" t="s">
        <v>1552</v>
      </c>
      <c r="C3452" s="1">
        <v>46213</v>
      </c>
      <c r="D3452">
        <v>83</v>
      </c>
      <c r="F3452">
        <v>939.09423688000004</v>
      </c>
    </row>
    <row r="3453" spans="1:6" x14ac:dyDescent="0.25">
      <c r="A3453" s="2">
        <v>3451</v>
      </c>
      <c r="B3453" t="s">
        <v>1553</v>
      </c>
      <c r="C3453" s="1">
        <v>46213</v>
      </c>
      <c r="D3453">
        <v>85.5</v>
      </c>
      <c r="F3453">
        <v>875.8183722</v>
      </c>
    </row>
    <row r="3454" spans="1:6" x14ac:dyDescent="0.25">
      <c r="A3454" s="2">
        <v>3452</v>
      </c>
      <c r="B3454" t="s">
        <v>1554</v>
      </c>
      <c r="C3454" s="1">
        <v>46213</v>
      </c>
    </row>
    <row r="3455" spans="1:6" x14ac:dyDescent="0.25">
      <c r="A3455" s="2">
        <v>3453</v>
      </c>
      <c r="B3455" t="s">
        <v>1555</v>
      </c>
      <c r="C3455" s="1">
        <v>46213</v>
      </c>
    </row>
    <row r="3456" spans="1:6" x14ac:dyDescent="0.25">
      <c r="A3456" s="2">
        <v>3454</v>
      </c>
      <c r="B3456" t="s">
        <v>1556</v>
      </c>
      <c r="C3456" s="1">
        <v>46213</v>
      </c>
    </row>
    <row r="3457" spans="1:7" x14ac:dyDescent="0.25">
      <c r="A3457" s="2">
        <v>3455</v>
      </c>
      <c r="B3457" t="s">
        <v>1559</v>
      </c>
      <c r="C3457" s="1">
        <v>46213</v>
      </c>
      <c r="D3457">
        <v>99.6875</v>
      </c>
      <c r="F3457">
        <v>330.02185236000003</v>
      </c>
    </row>
    <row r="3458" spans="1:7" x14ac:dyDescent="0.25">
      <c r="A3458" s="2">
        <v>3456</v>
      </c>
      <c r="B3458" t="s">
        <v>1561</v>
      </c>
      <c r="C3458" s="1">
        <v>46213</v>
      </c>
      <c r="D3458">
        <v>99.75</v>
      </c>
      <c r="F3458">
        <v>313.30576354999999</v>
      </c>
    </row>
    <row r="3459" spans="1:7" x14ac:dyDescent="0.25">
      <c r="A3459" s="2">
        <v>3457</v>
      </c>
      <c r="B3459" t="s">
        <v>1562</v>
      </c>
      <c r="C3459" s="1">
        <v>46213</v>
      </c>
    </row>
    <row r="3460" spans="1:7" x14ac:dyDescent="0.25">
      <c r="A3460" s="2">
        <v>3458</v>
      </c>
      <c r="B3460" t="s">
        <v>3332</v>
      </c>
      <c r="C3460" s="1">
        <v>46213</v>
      </c>
      <c r="D3460">
        <v>93.5</v>
      </c>
      <c r="F3460">
        <v>693.46253960000001</v>
      </c>
    </row>
    <row r="3461" spans="1:7" x14ac:dyDescent="0.25">
      <c r="A3461" s="2">
        <v>3459</v>
      </c>
      <c r="B3461" t="s">
        <v>3333</v>
      </c>
      <c r="C3461" s="1">
        <v>46213</v>
      </c>
      <c r="D3461">
        <v>95</v>
      </c>
      <c r="F3461">
        <v>639.10636853000005</v>
      </c>
    </row>
    <row r="3462" spans="1:7" x14ac:dyDescent="0.25">
      <c r="A3462" s="2">
        <v>3460</v>
      </c>
      <c r="B3462" t="s">
        <v>1565</v>
      </c>
      <c r="C3462" s="1">
        <v>46213</v>
      </c>
      <c r="D3462">
        <v>79.750249999999994</v>
      </c>
      <c r="E3462">
        <v>1235.98931391</v>
      </c>
      <c r="F3462">
        <v>1237.6782418499999</v>
      </c>
      <c r="G3462">
        <v>1235.98931391</v>
      </c>
    </row>
    <row r="3463" spans="1:7" x14ac:dyDescent="0.25">
      <c r="A3463" s="2">
        <v>3461</v>
      </c>
      <c r="B3463" t="s">
        <v>1569</v>
      </c>
      <c r="C3463" s="1">
        <v>46213</v>
      </c>
    </row>
    <row r="3464" spans="1:7" x14ac:dyDescent="0.25">
      <c r="A3464" s="2">
        <v>3462</v>
      </c>
      <c r="B3464" t="s">
        <v>1571</v>
      </c>
      <c r="C3464" s="1">
        <v>46213</v>
      </c>
      <c r="D3464">
        <v>91</v>
      </c>
      <c r="F3464">
        <v>644.28743186999998</v>
      </c>
    </row>
    <row r="3465" spans="1:7" x14ac:dyDescent="0.25">
      <c r="A3465" s="2">
        <v>3463</v>
      </c>
      <c r="B3465" t="s">
        <v>3451</v>
      </c>
      <c r="C3465" s="1">
        <v>46213</v>
      </c>
      <c r="D3465">
        <v>97.274150000000006</v>
      </c>
      <c r="E3465">
        <v>591.166651</v>
      </c>
      <c r="F3465">
        <v>593.97856008999997</v>
      </c>
      <c r="G3465">
        <v>591.166651</v>
      </c>
    </row>
    <row r="3466" spans="1:7" x14ac:dyDescent="0.25">
      <c r="A3466" s="2">
        <v>3464</v>
      </c>
      <c r="B3466" t="s">
        <v>3456</v>
      </c>
      <c r="C3466" s="1">
        <v>46213</v>
      </c>
    </row>
    <row r="3467" spans="1:7" x14ac:dyDescent="0.25">
      <c r="A3467" s="2">
        <v>3465</v>
      </c>
      <c r="B3467" t="s">
        <v>3458</v>
      </c>
      <c r="C3467" s="1">
        <v>46213</v>
      </c>
      <c r="D3467">
        <v>94.5</v>
      </c>
      <c r="F3467">
        <v>725.59008752</v>
      </c>
    </row>
    <row r="3468" spans="1:7" x14ac:dyDescent="0.25">
      <c r="A3468" s="2">
        <v>3466</v>
      </c>
      <c r="B3468" t="s">
        <v>1573</v>
      </c>
      <c r="C3468" s="1">
        <v>46213</v>
      </c>
      <c r="D3468">
        <v>90.898589999999999</v>
      </c>
      <c r="E3468">
        <v>703.80420289999995</v>
      </c>
      <c r="F3468">
        <v>706.04156656999999</v>
      </c>
      <c r="G3468">
        <v>703.80420289999995</v>
      </c>
    </row>
    <row r="3469" spans="1:7" x14ac:dyDescent="0.25">
      <c r="A3469" s="2">
        <v>3467</v>
      </c>
      <c r="B3469" t="s">
        <v>1577</v>
      </c>
      <c r="C3469" s="1">
        <v>46213</v>
      </c>
      <c r="D3469">
        <v>88.5</v>
      </c>
      <c r="F3469">
        <v>800.40914948</v>
      </c>
    </row>
    <row r="3470" spans="1:7" x14ac:dyDescent="0.25">
      <c r="A3470" s="2">
        <v>3468</v>
      </c>
      <c r="B3470" t="s">
        <v>1579</v>
      </c>
      <c r="C3470" s="1">
        <v>46213</v>
      </c>
      <c r="D3470">
        <v>15.65127</v>
      </c>
      <c r="E3470">
        <v>8639.6508624899998</v>
      </c>
      <c r="F3470">
        <v>8641.7600722499992</v>
      </c>
      <c r="G3470">
        <v>8639.6508624899998</v>
      </c>
    </row>
    <row r="3471" spans="1:7" x14ac:dyDescent="0.25">
      <c r="A3471" s="2">
        <v>3469</v>
      </c>
      <c r="B3471" t="s">
        <v>1583</v>
      </c>
      <c r="C3471" s="1">
        <v>46213</v>
      </c>
      <c r="D3471">
        <v>15.31785</v>
      </c>
      <c r="E3471">
        <v>8900.4193862800003</v>
      </c>
      <c r="F3471">
        <v>8902.5203932299992</v>
      </c>
      <c r="G3471">
        <v>8900.4193862800003</v>
      </c>
    </row>
    <row r="3472" spans="1:7" x14ac:dyDescent="0.25">
      <c r="A3472" s="2">
        <v>3470</v>
      </c>
      <c r="B3472" t="s">
        <v>1584</v>
      </c>
      <c r="C3472" s="1">
        <v>46213</v>
      </c>
      <c r="D3472">
        <v>16.172190000000001</v>
      </c>
      <c r="E3472">
        <v>8633.4355641900002</v>
      </c>
      <c r="F3472">
        <v>8635.5449631800002</v>
      </c>
      <c r="G3472">
        <v>8633.4355641900002</v>
      </c>
    </row>
    <row r="3473" spans="1:7" x14ac:dyDescent="0.25">
      <c r="A3473" s="2">
        <v>3471</v>
      </c>
      <c r="B3473" t="s">
        <v>1586</v>
      </c>
      <c r="C3473" s="1">
        <v>46213</v>
      </c>
      <c r="D3473">
        <v>14.244339999999999</v>
      </c>
      <c r="E3473">
        <v>10212.57908166</v>
      </c>
      <c r="F3473">
        <v>10214.6487803</v>
      </c>
      <c r="G3473">
        <v>10212.57908166</v>
      </c>
    </row>
    <row r="3474" spans="1:7" x14ac:dyDescent="0.25">
      <c r="A3474" s="2">
        <v>3472</v>
      </c>
      <c r="B3474" t="s">
        <v>1588</v>
      </c>
      <c r="C3474" s="1">
        <v>46213</v>
      </c>
      <c r="D3474">
        <v>55.5</v>
      </c>
      <c r="F3474">
        <v>3493.8537783699999</v>
      </c>
    </row>
    <row r="3475" spans="1:7" x14ac:dyDescent="0.25">
      <c r="A3475" s="2">
        <v>3473</v>
      </c>
      <c r="B3475" t="s">
        <v>1590</v>
      </c>
      <c r="C3475" s="1">
        <v>46213</v>
      </c>
      <c r="D3475">
        <v>99.25</v>
      </c>
      <c r="F3475">
        <v>454.36017298000002</v>
      </c>
    </row>
    <row r="3476" spans="1:7" x14ac:dyDescent="0.25">
      <c r="A3476" s="2">
        <v>3474</v>
      </c>
      <c r="B3476" t="s">
        <v>1592</v>
      </c>
      <c r="C3476" s="1">
        <v>46213</v>
      </c>
      <c r="D3476">
        <v>53</v>
      </c>
      <c r="F3476">
        <v>3983.0404302000002</v>
      </c>
    </row>
    <row r="3477" spans="1:7" x14ac:dyDescent="0.25">
      <c r="A3477" s="2">
        <v>3475</v>
      </c>
      <c r="B3477" t="s">
        <v>3460</v>
      </c>
      <c r="C3477" s="1">
        <v>46213</v>
      </c>
      <c r="D3477">
        <v>84</v>
      </c>
    </row>
    <row r="3478" spans="1:7" x14ac:dyDescent="0.25">
      <c r="A3478" s="2">
        <v>3476</v>
      </c>
      <c r="B3478" t="s">
        <v>3465</v>
      </c>
      <c r="C3478" s="1">
        <v>46213</v>
      </c>
      <c r="D3478">
        <v>78</v>
      </c>
      <c r="F3478">
        <v>887.21362320000003</v>
      </c>
    </row>
    <row r="3479" spans="1:7" x14ac:dyDescent="0.25">
      <c r="A3479" s="2">
        <v>3477</v>
      </c>
      <c r="B3479" t="s">
        <v>1594</v>
      </c>
      <c r="C3479" s="1">
        <v>46213</v>
      </c>
      <c r="D3479">
        <v>89.899590000000003</v>
      </c>
      <c r="E3479">
        <v>842.60804877999999</v>
      </c>
      <c r="F3479">
        <v>844.46171547999995</v>
      </c>
      <c r="G3479">
        <v>842.60804877999999</v>
      </c>
    </row>
    <row r="3480" spans="1:7" x14ac:dyDescent="0.25">
      <c r="A3480" s="2">
        <v>3478</v>
      </c>
      <c r="B3480" t="s">
        <v>1598</v>
      </c>
      <c r="C3480" s="1">
        <v>46213</v>
      </c>
      <c r="D3480">
        <v>88.5</v>
      </c>
      <c r="F3480">
        <v>758.04688547000001</v>
      </c>
    </row>
    <row r="3481" spans="1:7" x14ac:dyDescent="0.25">
      <c r="A3481" s="2">
        <v>3479</v>
      </c>
      <c r="B3481" t="s">
        <v>3466</v>
      </c>
      <c r="C3481" s="1">
        <v>46213</v>
      </c>
    </row>
    <row r="3482" spans="1:7" x14ac:dyDescent="0.25">
      <c r="A3482" s="2">
        <v>3480</v>
      </c>
      <c r="B3482" t="s">
        <v>3469</v>
      </c>
      <c r="C3482" s="1">
        <v>46213</v>
      </c>
      <c r="D3482">
        <v>18.5</v>
      </c>
    </row>
    <row r="3483" spans="1:7" x14ac:dyDescent="0.25">
      <c r="A3483" s="2">
        <v>3481</v>
      </c>
      <c r="B3483" t="s">
        <v>3471</v>
      </c>
      <c r="C3483" s="1">
        <v>46213</v>
      </c>
      <c r="D3483">
        <v>48</v>
      </c>
      <c r="F3483">
        <v>3935.6189193800001</v>
      </c>
    </row>
    <row r="3484" spans="1:7" x14ac:dyDescent="0.25">
      <c r="A3484" s="2">
        <v>3482</v>
      </c>
      <c r="B3484" t="s">
        <v>3473</v>
      </c>
      <c r="C3484" s="1">
        <v>46213</v>
      </c>
      <c r="D3484">
        <v>100</v>
      </c>
      <c r="F3484">
        <v>571.50401889</v>
      </c>
    </row>
    <row r="3485" spans="1:7" x14ac:dyDescent="0.25">
      <c r="A3485" s="2">
        <v>3483</v>
      </c>
      <c r="B3485" t="s">
        <v>3475</v>
      </c>
      <c r="C3485" s="1">
        <v>46213</v>
      </c>
      <c r="D3485">
        <v>40.241999999999997</v>
      </c>
      <c r="F3485">
        <v>8188.4566483199997</v>
      </c>
    </row>
    <row r="3486" spans="1:7" x14ac:dyDescent="0.25">
      <c r="A3486" s="2">
        <v>3484</v>
      </c>
      <c r="B3486" t="s">
        <v>3477</v>
      </c>
      <c r="C3486" s="1">
        <v>46213</v>
      </c>
      <c r="D3486">
        <v>16.862649999999999</v>
      </c>
      <c r="F3486">
        <v>13498.61960056</v>
      </c>
    </row>
    <row r="3487" spans="1:7" x14ac:dyDescent="0.25">
      <c r="A3487" s="2">
        <v>3485</v>
      </c>
      <c r="B3487" t="s">
        <v>3479</v>
      </c>
      <c r="C3487" s="1">
        <v>46213</v>
      </c>
    </row>
    <row r="3488" spans="1:7" x14ac:dyDescent="0.25">
      <c r="A3488" s="2">
        <v>3486</v>
      </c>
      <c r="B3488" t="s">
        <v>3480</v>
      </c>
      <c r="C3488" s="1">
        <v>46213</v>
      </c>
      <c r="D3488">
        <v>50</v>
      </c>
    </row>
    <row r="3489" spans="1:7" x14ac:dyDescent="0.25">
      <c r="A3489" s="2">
        <v>3487</v>
      </c>
      <c r="B3489" t="s">
        <v>1601</v>
      </c>
      <c r="C3489" s="1">
        <v>46213</v>
      </c>
      <c r="D3489">
        <v>90.140169999999998</v>
      </c>
      <c r="E3489">
        <v>739.24149364000004</v>
      </c>
      <c r="F3489">
        <v>741.36331589999998</v>
      </c>
      <c r="G3489">
        <v>739.24149364000004</v>
      </c>
    </row>
    <row r="3490" spans="1:7" x14ac:dyDescent="0.25">
      <c r="A3490" s="2">
        <v>3488</v>
      </c>
      <c r="B3490" t="s">
        <v>1605</v>
      </c>
      <c r="C3490" s="1">
        <v>46213</v>
      </c>
      <c r="D3490">
        <v>91</v>
      </c>
      <c r="F3490">
        <v>828.50431907999996</v>
      </c>
    </row>
    <row r="3491" spans="1:7" x14ac:dyDescent="0.25">
      <c r="A3491" s="2">
        <v>3489</v>
      </c>
      <c r="B3491" t="s">
        <v>1607</v>
      </c>
      <c r="C3491" s="1">
        <v>46213</v>
      </c>
    </row>
    <row r="3492" spans="1:7" x14ac:dyDescent="0.25">
      <c r="A3492" s="2">
        <v>3490</v>
      </c>
      <c r="B3492" t="s">
        <v>3672</v>
      </c>
      <c r="C3492" s="1">
        <v>46213</v>
      </c>
      <c r="D3492">
        <v>102.8753</v>
      </c>
      <c r="E3492">
        <v>205.81138426000001</v>
      </c>
      <c r="F3492">
        <v>198.99877036999999</v>
      </c>
      <c r="G3492">
        <v>205.81138426000001</v>
      </c>
    </row>
    <row r="3493" spans="1:7" x14ac:dyDescent="0.25">
      <c r="A3493" s="2">
        <v>3491</v>
      </c>
      <c r="B3493" t="s">
        <v>1609</v>
      </c>
      <c r="C3493" s="1">
        <v>46213</v>
      </c>
      <c r="D3493">
        <v>101.057</v>
      </c>
      <c r="E3493">
        <v>128.255</v>
      </c>
      <c r="F3493">
        <v>108.621</v>
      </c>
      <c r="G3493">
        <v>128.255</v>
      </c>
    </row>
    <row r="3494" spans="1:7" x14ac:dyDescent="0.25">
      <c r="A3494" s="2">
        <v>3492</v>
      </c>
      <c r="B3494" t="s">
        <v>1613</v>
      </c>
      <c r="C3494" s="1">
        <v>46213</v>
      </c>
      <c r="D3494">
        <v>101.842</v>
      </c>
      <c r="E3494">
        <v>328.80065323000002</v>
      </c>
      <c r="F3494">
        <v>326.52447613999999</v>
      </c>
      <c r="G3494">
        <v>328.80065323000002</v>
      </c>
    </row>
    <row r="3495" spans="1:7" x14ac:dyDescent="0.25">
      <c r="A3495" s="2">
        <v>3493</v>
      </c>
      <c r="B3495" t="s">
        <v>1615</v>
      </c>
      <c r="C3495" s="1">
        <v>46213</v>
      </c>
      <c r="D3495">
        <v>65.558139999999995</v>
      </c>
      <c r="E3495">
        <v>1216.79812511</v>
      </c>
      <c r="F3495">
        <v>1218.7067164099999</v>
      </c>
      <c r="G3495">
        <v>1216.79812511</v>
      </c>
    </row>
    <row r="3496" spans="1:7" x14ac:dyDescent="0.25">
      <c r="A3496" s="2">
        <v>3494</v>
      </c>
      <c r="B3496" t="s">
        <v>1617</v>
      </c>
      <c r="C3496" s="1">
        <v>46213</v>
      </c>
      <c r="D3496">
        <v>71.908000000000001</v>
      </c>
      <c r="E3496">
        <v>1409.81123273</v>
      </c>
      <c r="F3496">
        <v>1412.1713067400001</v>
      </c>
      <c r="G3496">
        <v>1409.81123273</v>
      </c>
    </row>
    <row r="3497" spans="1:7" x14ac:dyDescent="0.25">
      <c r="A3497" s="2">
        <v>3495</v>
      </c>
      <c r="B3497" t="s">
        <v>1619</v>
      </c>
      <c r="C3497" s="1">
        <v>46213</v>
      </c>
      <c r="D3497">
        <v>101</v>
      </c>
      <c r="F3497">
        <v>690.15850074000002</v>
      </c>
    </row>
    <row r="3498" spans="1:7" x14ac:dyDescent="0.25">
      <c r="A3498" s="2">
        <v>3496</v>
      </c>
      <c r="B3498" t="s">
        <v>1621</v>
      </c>
      <c r="C3498" s="1">
        <v>46213</v>
      </c>
      <c r="D3498">
        <v>101</v>
      </c>
      <c r="F3498">
        <v>692.21540374999995</v>
      </c>
    </row>
    <row r="3499" spans="1:7" x14ac:dyDescent="0.25">
      <c r="A3499" s="2">
        <v>3497</v>
      </c>
      <c r="B3499" t="s">
        <v>1623</v>
      </c>
      <c r="C3499" s="1">
        <v>46213</v>
      </c>
    </row>
    <row r="3500" spans="1:7" x14ac:dyDescent="0.25">
      <c r="A3500" s="2">
        <v>3498</v>
      </c>
      <c r="B3500" t="s">
        <v>3481</v>
      </c>
      <c r="C3500" s="1">
        <v>46213</v>
      </c>
    </row>
    <row r="3501" spans="1:7" x14ac:dyDescent="0.25">
      <c r="A3501" s="2">
        <v>3499</v>
      </c>
      <c r="B3501" t="s">
        <v>1625</v>
      </c>
      <c r="C3501" s="1">
        <v>46213</v>
      </c>
    </row>
    <row r="3502" spans="1:7" x14ac:dyDescent="0.25">
      <c r="A3502" s="2">
        <v>3500</v>
      </c>
      <c r="B3502" t="s">
        <v>3483</v>
      </c>
      <c r="C3502" s="1">
        <v>46213</v>
      </c>
      <c r="D3502">
        <v>76</v>
      </c>
      <c r="F3502">
        <v>1851.2427026800001</v>
      </c>
    </row>
    <row r="3503" spans="1:7" x14ac:dyDescent="0.25">
      <c r="A3503" s="2">
        <v>3501</v>
      </c>
      <c r="B3503" t="s">
        <v>3487</v>
      </c>
      <c r="C3503" s="1">
        <v>46213</v>
      </c>
      <c r="D3503">
        <v>47.5</v>
      </c>
      <c r="F3503">
        <v>2816.36338342</v>
      </c>
    </row>
    <row r="3504" spans="1:7" x14ac:dyDescent="0.25">
      <c r="A3504" s="2">
        <v>3502</v>
      </c>
      <c r="B3504" t="s">
        <v>3489</v>
      </c>
      <c r="C3504" s="1">
        <v>46213</v>
      </c>
      <c r="D3504">
        <v>76.5</v>
      </c>
      <c r="F3504">
        <v>1729.4638165199999</v>
      </c>
    </row>
    <row r="3505" spans="1:7" x14ac:dyDescent="0.25">
      <c r="A3505" s="2">
        <v>3503</v>
      </c>
      <c r="B3505" t="s">
        <v>3491</v>
      </c>
      <c r="C3505" s="1">
        <v>46213</v>
      </c>
    </row>
    <row r="3506" spans="1:7" x14ac:dyDescent="0.25">
      <c r="A3506" s="2">
        <v>3504</v>
      </c>
      <c r="B3506" t="s">
        <v>1627</v>
      </c>
      <c r="C3506" s="1">
        <v>46213</v>
      </c>
      <c r="D3506">
        <v>88</v>
      </c>
      <c r="F3506">
        <v>737.70238291999999</v>
      </c>
    </row>
    <row r="3507" spans="1:7" x14ac:dyDescent="0.25">
      <c r="A3507" s="2">
        <v>3505</v>
      </c>
      <c r="B3507" t="s">
        <v>1645</v>
      </c>
      <c r="C3507" s="1">
        <v>46213</v>
      </c>
      <c r="D3507">
        <v>78.5</v>
      </c>
      <c r="F3507">
        <v>871.29697568999995</v>
      </c>
    </row>
    <row r="3508" spans="1:7" x14ac:dyDescent="0.25">
      <c r="A3508" s="2">
        <v>3506</v>
      </c>
      <c r="B3508" t="s">
        <v>1649</v>
      </c>
      <c r="C3508" s="1">
        <v>46213</v>
      </c>
      <c r="D3508">
        <v>97.75</v>
      </c>
      <c r="F3508">
        <v>346.04844284000001</v>
      </c>
    </row>
    <row r="3509" spans="1:7" x14ac:dyDescent="0.25">
      <c r="A3509" s="2">
        <v>3507</v>
      </c>
      <c r="B3509" t="s">
        <v>1653</v>
      </c>
      <c r="C3509" s="1">
        <v>46213</v>
      </c>
      <c r="D3509">
        <v>84</v>
      </c>
      <c r="F3509">
        <v>716.53222612000002</v>
      </c>
    </row>
    <row r="3510" spans="1:7" x14ac:dyDescent="0.25">
      <c r="A3510" s="2">
        <v>3508</v>
      </c>
      <c r="B3510" t="s">
        <v>1655</v>
      </c>
      <c r="C3510" s="1">
        <v>46213</v>
      </c>
      <c r="D3510">
        <v>94.25</v>
      </c>
      <c r="F3510">
        <v>558.86984729000005</v>
      </c>
    </row>
    <row r="3511" spans="1:7" x14ac:dyDescent="0.25">
      <c r="A3511" s="2">
        <v>3509</v>
      </c>
      <c r="B3511" t="s">
        <v>1659</v>
      </c>
      <c r="C3511" s="1">
        <v>46213</v>
      </c>
      <c r="D3511">
        <v>91.5</v>
      </c>
      <c r="F3511">
        <v>637.11099617000002</v>
      </c>
    </row>
    <row r="3512" spans="1:7" x14ac:dyDescent="0.25">
      <c r="A3512" s="2">
        <v>3510</v>
      </c>
      <c r="B3512" t="s">
        <v>1661</v>
      </c>
      <c r="C3512" s="1">
        <v>46213</v>
      </c>
    </row>
    <row r="3513" spans="1:7" x14ac:dyDescent="0.25">
      <c r="A3513" s="2">
        <v>3511</v>
      </c>
      <c r="B3513" t="s">
        <v>1663</v>
      </c>
      <c r="C3513" s="1">
        <v>46213</v>
      </c>
      <c r="D3513">
        <v>88.385000000000005</v>
      </c>
      <c r="F3513">
        <v>6732.1435109399999</v>
      </c>
    </row>
    <row r="3514" spans="1:7" x14ac:dyDescent="0.25">
      <c r="A3514" s="2">
        <v>3512</v>
      </c>
      <c r="B3514" t="s">
        <v>3492</v>
      </c>
      <c r="C3514" s="1">
        <v>46213</v>
      </c>
      <c r="D3514">
        <v>93.25</v>
      </c>
      <c r="F3514">
        <v>734.72988625999994</v>
      </c>
    </row>
    <row r="3515" spans="1:7" x14ac:dyDescent="0.25">
      <c r="A3515" s="2">
        <v>3513</v>
      </c>
      <c r="B3515" t="s">
        <v>1204</v>
      </c>
      <c r="C3515" s="1">
        <v>46213</v>
      </c>
      <c r="D3515">
        <v>93.737939999999995</v>
      </c>
      <c r="E3515">
        <v>706.72814798000002</v>
      </c>
      <c r="F3515">
        <v>709.65316442999995</v>
      </c>
      <c r="G3515">
        <v>706.72814798000002</v>
      </c>
    </row>
    <row r="3516" spans="1:7" x14ac:dyDescent="0.25">
      <c r="A3516" s="2">
        <v>3514</v>
      </c>
      <c r="B3516" t="s">
        <v>1207</v>
      </c>
      <c r="C3516" s="1">
        <v>46213</v>
      </c>
      <c r="D3516">
        <v>93.742140000000006</v>
      </c>
      <c r="E3516">
        <v>703.62998728000002</v>
      </c>
      <c r="F3516">
        <v>705.85606038000003</v>
      </c>
      <c r="G3516">
        <v>703.62998728000002</v>
      </c>
    </row>
    <row r="3517" spans="1:7" x14ac:dyDescent="0.25">
      <c r="A3517" s="2">
        <v>3515</v>
      </c>
      <c r="B3517" t="s">
        <v>1209</v>
      </c>
      <c r="C3517" s="1">
        <v>46213</v>
      </c>
      <c r="D3517">
        <v>96.047849999999997</v>
      </c>
      <c r="E3517">
        <v>458.68710906000001</v>
      </c>
      <c r="F3517">
        <v>460.74818821999997</v>
      </c>
      <c r="G3517">
        <v>458.68710906000001</v>
      </c>
    </row>
    <row r="3518" spans="1:7" x14ac:dyDescent="0.25">
      <c r="A3518" s="2">
        <v>3516</v>
      </c>
      <c r="B3518" t="s">
        <v>1211</v>
      </c>
      <c r="C3518" s="1">
        <v>46213</v>
      </c>
      <c r="D3518">
        <v>89.543350000000004</v>
      </c>
      <c r="E3518">
        <v>499.56820993999997</v>
      </c>
      <c r="F3518">
        <v>501.27027805</v>
      </c>
      <c r="G3518">
        <v>499.56820993999997</v>
      </c>
    </row>
    <row r="3519" spans="1:7" x14ac:dyDescent="0.25">
      <c r="A3519" s="2">
        <v>3517</v>
      </c>
      <c r="B3519" t="s">
        <v>1213</v>
      </c>
      <c r="C3519" s="1">
        <v>46213</v>
      </c>
      <c r="D3519">
        <v>88.501720000000006</v>
      </c>
      <c r="E3519">
        <v>648.23024678000002</v>
      </c>
      <c r="F3519">
        <v>650.53084736999995</v>
      </c>
      <c r="G3519">
        <v>648.23024678000002</v>
      </c>
    </row>
    <row r="3520" spans="1:7" x14ac:dyDescent="0.25">
      <c r="A3520" s="2">
        <v>3518</v>
      </c>
      <c r="B3520" t="s">
        <v>1215</v>
      </c>
      <c r="C3520" s="1">
        <v>46213</v>
      </c>
      <c r="D3520">
        <v>92.272379999999998</v>
      </c>
      <c r="E3520">
        <v>353.01811622999998</v>
      </c>
      <c r="F3520">
        <v>355.81388421000003</v>
      </c>
      <c r="G3520">
        <v>353.01811622999998</v>
      </c>
    </row>
    <row r="3521" spans="1:7" x14ac:dyDescent="0.25">
      <c r="A3521" s="2">
        <v>3519</v>
      </c>
      <c r="B3521" t="s">
        <v>1217</v>
      </c>
      <c r="C3521" s="1">
        <v>46213</v>
      </c>
    </row>
    <row r="3522" spans="1:7" x14ac:dyDescent="0.25">
      <c r="A3522" s="2">
        <v>3520</v>
      </c>
      <c r="B3522" t="s">
        <v>1219</v>
      </c>
      <c r="C3522" s="1">
        <v>46213</v>
      </c>
      <c r="D3522">
        <v>89.25</v>
      </c>
      <c r="F3522">
        <v>532.59356964999995</v>
      </c>
    </row>
    <row r="3523" spans="1:7" x14ac:dyDescent="0.25">
      <c r="A3523" s="2">
        <v>3521</v>
      </c>
      <c r="B3523" t="s">
        <v>1221</v>
      </c>
      <c r="C3523" s="1">
        <v>46213</v>
      </c>
      <c r="D3523">
        <v>90.25</v>
      </c>
      <c r="F3523">
        <v>543.07252853</v>
      </c>
    </row>
    <row r="3524" spans="1:7" x14ac:dyDescent="0.25">
      <c r="A3524" s="2">
        <v>3522</v>
      </c>
      <c r="B3524" t="s">
        <v>1223</v>
      </c>
      <c r="C3524" s="1">
        <v>46213</v>
      </c>
    </row>
    <row r="3525" spans="1:7" x14ac:dyDescent="0.25">
      <c r="A3525" s="2">
        <v>3523</v>
      </c>
      <c r="B3525" t="s">
        <v>1005</v>
      </c>
      <c r="C3525" s="1">
        <v>46213</v>
      </c>
      <c r="D3525">
        <v>87.453999999999994</v>
      </c>
      <c r="E3525">
        <v>581.80350162000002</v>
      </c>
      <c r="F3525">
        <v>583.58633326999995</v>
      </c>
      <c r="G3525">
        <v>581.80350162000002</v>
      </c>
    </row>
    <row r="3526" spans="1:7" x14ac:dyDescent="0.25">
      <c r="A3526" s="2">
        <v>3524</v>
      </c>
      <c r="B3526" t="s">
        <v>1009</v>
      </c>
      <c r="C3526" s="1">
        <v>46213</v>
      </c>
      <c r="D3526">
        <v>109.93559999999999</v>
      </c>
      <c r="E3526">
        <v>140.59057747</v>
      </c>
      <c r="F3526">
        <v>148.00171612</v>
      </c>
      <c r="G3526">
        <v>140.59057747</v>
      </c>
    </row>
    <row r="3527" spans="1:7" x14ac:dyDescent="0.25">
      <c r="A3527" s="2">
        <v>3525</v>
      </c>
      <c r="B3527" t="s">
        <v>1011</v>
      </c>
      <c r="C3527" s="1">
        <v>46213</v>
      </c>
      <c r="D3527">
        <v>76.766109999999998</v>
      </c>
      <c r="E3527">
        <v>493.74279582999998</v>
      </c>
      <c r="F3527">
        <v>495.39327894000002</v>
      </c>
      <c r="G3527">
        <v>493.74279582999998</v>
      </c>
    </row>
    <row r="3528" spans="1:7" x14ac:dyDescent="0.25">
      <c r="A3528" s="2">
        <v>3526</v>
      </c>
      <c r="B3528" t="s">
        <v>1013</v>
      </c>
      <c r="C3528" s="1">
        <v>46213</v>
      </c>
      <c r="D3528">
        <v>103.6203</v>
      </c>
      <c r="E3528">
        <v>295.16096099999999</v>
      </c>
      <c r="F3528">
        <v>297.66213273</v>
      </c>
      <c r="G3528">
        <v>295.16096099999999</v>
      </c>
    </row>
    <row r="3529" spans="1:7" x14ac:dyDescent="0.25">
      <c r="A3529" s="2">
        <v>3527</v>
      </c>
      <c r="B3529" t="s">
        <v>1015</v>
      </c>
      <c r="C3529" s="1">
        <v>46213</v>
      </c>
      <c r="D3529">
        <v>81.733919999999998</v>
      </c>
      <c r="E3529">
        <v>580.12169346999997</v>
      </c>
      <c r="F3529">
        <v>581.97026804999996</v>
      </c>
      <c r="G3529">
        <v>580.12169346999997</v>
      </c>
    </row>
    <row r="3530" spans="1:7" x14ac:dyDescent="0.25">
      <c r="A3530" s="2">
        <v>3528</v>
      </c>
      <c r="B3530" t="s">
        <v>1017</v>
      </c>
      <c r="C3530" s="1">
        <v>46213</v>
      </c>
      <c r="D3530">
        <v>87.75</v>
      </c>
      <c r="F3530">
        <v>744.89454933000002</v>
      </c>
    </row>
    <row r="3531" spans="1:7" x14ac:dyDescent="0.25">
      <c r="A3531" s="2">
        <v>3529</v>
      </c>
      <c r="B3531" t="s">
        <v>1019</v>
      </c>
      <c r="C3531" s="1">
        <v>46213</v>
      </c>
      <c r="D3531">
        <v>86</v>
      </c>
      <c r="F3531">
        <v>835.56415656000001</v>
      </c>
    </row>
    <row r="3532" spans="1:7" x14ac:dyDescent="0.25">
      <c r="A3532" s="2">
        <v>3530</v>
      </c>
      <c r="B3532" t="s">
        <v>1021</v>
      </c>
      <c r="C3532" s="1">
        <v>46213</v>
      </c>
      <c r="D3532">
        <v>90.9375</v>
      </c>
      <c r="F3532">
        <v>949.12538252000002</v>
      </c>
    </row>
    <row r="3533" spans="1:7" x14ac:dyDescent="0.25">
      <c r="A3533" s="2">
        <v>3531</v>
      </c>
      <c r="B3533" t="s">
        <v>3496</v>
      </c>
      <c r="C3533" s="1">
        <v>46213</v>
      </c>
      <c r="D3533">
        <v>90</v>
      </c>
      <c r="F3533">
        <v>1441.17372963</v>
      </c>
    </row>
    <row r="3534" spans="1:7" x14ac:dyDescent="0.25">
      <c r="A3534" s="2">
        <v>3532</v>
      </c>
      <c r="B3534" t="s">
        <v>3500</v>
      </c>
      <c r="C3534" s="1">
        <v>46213</v>
      </c>
      <c r="D3534">
        <v>67.5</v>
      </c>
      <c r="F3534">
        <v>2276.0043791500002</v>
      </c>
    </row>
    <row r="3535" spans="1:7" x14ac:dyDescent="0.25">
      <c r="A3535" s="2">
        <v>3533</v>
      </c>
      <c r="B3535" t="s">
        <v>3502</v>
      </c>
      <c r="C3535" s="1">
        <v>46213</v>
      </c>
      <c r="D3535">
        <v>77</v>
      </c>
      <c r="F3535">
        <v>1627.1444328699999</v>
      </c>
    </row>
    <row r="3536" spans="1:7" x14ac:dyDescent="0.25">
      <c r="A3536" s="2">
        <v>3534</v>
      </c>
      <c r="B3536" t="s">
        <v>1665</v>
      </c>
      <c r="C3536" s="1">
        <v>46213</v>
      </c>
    </row>
    <row r="3537" spans="1:7" x14ac:dyDescent="0.25">
      <c r="A3537" s="2">
        <v>3535</v>
      </c>
      <c r="B3537" t="s">
        <v>1669</v>
      </c>
      <c r="C3537" s="1">
        <v>46213</v>
      </c>
      <c r="D3537">
        <v>32.5</v>
      </c>
      <c r="F3537">
        <v>4890.9363048200003</v>
      </c>
    </row>
    <row r="3538" spans="1:7" x14ac:dyDescent="0.25">
      <c r="A3538" s="2">
        <v>3536</v>
      </c>
      <c r="B3538" t="s">
        <v>1670</v>
      </c>
      <c r="C3538" s="1">
        <v>46213</v>
      </c>
      <c r="D3538">
        <v>69</v>
      </c>
      <c r="F3538">
        <v>2038.2711304100001</v>
      </c>
    </row>
    <row r="3539" spans="1:7" x14ac:dyDescent="0.25">
      <c r="A3539" s="2">
        <v>3537</v>
      </c>
      <c r="B3539" t="s">
        <v>1672</v>
      </c>
      <c r="C3539" s="1">
        <v>46213</v>
      </c>
      <c r="D3539">
        <v>101.5</v>
      </c>
      <c r="F3539">
        <v>399.63521536000002</v>
      </c>
    </row>
    <row r="3540" spans="1:7" x14ac:dyDescent="0.25">
      <c r="A3540" s="2">
        <v>3538</v>
      </c>
      <c r="B3540" t="s">
        <v>1673</v>
      </c>
      <c r="C3540" s="1">
        <v>46213</v>
      </c>
      <c r="D3540">
        <v>20.834050000000001</v>
      </c>
      <c r="F3540">
        <v>11357.66778598</v>
      </c>
    </row>
    <row r="3541" spans="1:7" x14ac:dyDescent="0.25">
      <c r="A3541" s="2">
        <v>3539</v>
      </c>
      <c r="B3541" t="s">
        <v>1675</v>
      </c>
      <c r="C3541" s="1">
        <v>46213</v>
      </c>
    </row>
    <row r="3542" spans="1:7" x14ac:dyDescent="0.25">
      <c r="A3542" s="2">
        <v>3540</v>
      </c>
      <c r="B3542" t="s">
        <v>1682</v>
      </c>
      <c r="C3542" s="1">
        <v>46213</v>
      </c>
    </row>
    <row r="3543" spans="1:7" x14ac:dyDescent="0.25">
      <c r="A3543" s="2">
        <v>3541</v>
      </c>
      <c r="B3543" t="s">
        <v>1684</v>
      </c>
      <c r="C3543" s="1">
        <v>46213</v>
      </c>
      <c r="D3543">
        <v>95.132540000000006</v>
      </c>
      <c r="E3543">
        <v>722.03707850000001</v>
      </c>
      <c r="F3543">
        <v>724.32098354000004</v>
      </c>
      <c r="G3543">
        <v>722.03707850000001</v>
      </c>
    </row>
    <row r="3544" spans="1:7" x14ac:dyDescent="0.25">
      <c r="A3544" s="2">
        <v>3542</v>
      </c>
      <c r="B3544" t="s">
        <v>1686</v>
      </c>
      <c r="C3544" s="1">
        <v>46213</v>
      </c>
    </row>
    <row r="3545" spans="1:7" x14ac:dyDescent="0.25">
      <c r="A3545" s="2">
        <v>3543</v>
      </c>
      <c r="B3545" t="s">
        <v>1688</v>
      </c>
      <c r="C3545" s="1">
        <v>46213</v>
      </c>
    </row>
    <row r="3546" spans="1:7" x14ac:dyDescent="0.25">
      <c r="A3546" s="2">
        <v>3544</v>
      </c>
      <c r="B3546" t="s">
        <v>1691</v>
      </c>
      <c r="C3546" s="1">
        <v>46213</v>
      </c>
    </row>
    <row r="3547" spans="1:7" x14ac:dyDescent="0.25">
      <c r="A3547" s="2">
        <v>3545</v>
      </c>
      <c r="B3547" t="s">
        <v>1692</v>
      </c>
      <c r="C3547" s="1">
        <v>46213</v>
      </c>
      <c r="D3547">
        <v>87</v>
      </c>
      <c r="F3547">
        <v>986.76842240999997</v>
      </c>
    </row>
    <row r="3548" spans="1:7" x14ac:dyDescent="0.25">
      <c r="A3548" s="2">
        <v>3546</v>
      </c>
      <c r="B3548" t="s">
        <v>1696</v>
      </c>
      <c r="C3548" s="1">
        <v>46213</v>
      </c>
      <c r="D3548">
        <v>87</v>
      </c>
      <c r="F3548">
        <v>1000.0042902599999</v>
      </c>
    </row>
    <row r="3549" spans="1:7" x14ac:dyDescent="0.25">
      <c r="A3549" s="2">
        <v>3547</v>
      </c>
      <c r="B3549" t="s">
        <v>1698</v>
      </c>
      <c r="C3549" s="1">
        <v>46213</v>
      </c>
      <c r="D3549">
        <v>91.25</v>
      </c>
      <c r="F3549">
        <v>833.21589227000004</v>
      </c>
    </row>
    <row r="3550" spans="1:7" x14ac:dyDescent="0.25">
      <c r="A3550" s="2">
        <v>3548</v>
      </c>
      <c r="B3550" t="s">
        <v>1700</v>
      </c>
      <c r="C3550" s="1">
        <v>46213</v>
      </c>
    </row>
    <row r="3551" spans="1:7" x14ac:dyDescent="0.25">
      <c r="A3551" s="2">
        <v>3549</v>
      </c>
      <c r="B3551" t="s">
        <v>1704</v>
      </c>
      <c r="C3551" s="1">
        <v>46213</v>
      </c>
    </row>
    <row r="3552" spans="1:7" x14ac:dyDescent="0.25">
      <c r="A3552" s="2">
        <v>3550</v>
      </c>
      <c r="B3552" t="s">
        <v>1706</v>
      </c>
      <c r="C3552" s="1">
        <v>46213</v>
      </c>
      <c r="D3552">
        <v>61.5</v>
      </c>
      <c r="F3552">
        <v>2505.3290858</v>
      </c>
    </row>
    <row r="3553" spans="1:7" x14ac:dyDescent="0.25">
      <c r="A3553" s="2">
        <v>3551</v>
      </c>
      <c r="B3553" t="s">
        <v>1718</v>
      </c>
      <c r="C3553" s="1">
        <v>46213</v>
      </c>
      <c r="D3553">
        <v>50</v>
      </c>
      <c r="F3553">
        <v>4711.3898968100002</v>
      </c>
    </row>
    <row r="3554" spans="1:7" x14ac:dyDescent="0.25">
      <c r="A3554" s="2">
        <v>3552</v>
      </c>
      <c r="B3554" t="s">
        <v>1722</v>
      </c>
      <c r="C3554" s="1">
        <v>46213</v>
      </c>
      <c r="D3554">
        <v>48.25</v>
      </c>
      <c r="F3554">
        <v>4271.0942384199998</v>
      </c>
    </row>
    <row r="3555" spans="1:7" x14ac:dyDescent="0.25">
      <c r="A3555" s="2">
        <v>3553</v>
      </c>
      <c r="B3555" t="s">
        <v>1724</v>
      </c>
      <c r="C3555" s="1">
        <v>46213</v>
      </c>
    </row>
    <row r="3556" spans="1:7" x14ac:dyDescent="0.25">
      <c r="A3556" s="2">
        <v>3554</v>
      </c>
      <c r="B3556" t="s">
        <v>1728</v>
      </c>
      <c r="C3556" s="1">
        <v>46213</v>
      </c>
      <c r="D3556">
        <v>76.5</v>
      </c>
      <c r="F3556">
        <v>2295.4668810500002</v>
      </c>
    </row>
    <row r="3557" spans="1:7" x14ac:dyDescent="0.25">
      <c r="A3557" s="2">
        <v>3555</v>
      </c>
      <c r="B3557" t="s">
        <v>1730</v>
      </c>
      <c r="C3557" s="1">
        <v>46213</v>
      </c>
      <c r="D3557">
        <v>100.75</v>
      </c>
      <c r="F3557">
        <v>574.30276824999999</v>
      </c>
    </row>
    <row r="3558" spans="1:7" x14ac:dyDescent="0.25">
      <c r="A3558" s="2">
        <v>3556</v>
      </c>
      <c r="B3558" t="s">
        <v>1023</v>
      </c>
      <c r="C3558" s="1">
        <v>46213</v>
      </c>
      <c r="D3558">
        <v>73.045879999999997</v>
      </c>
      <c r="E3558">
        <v>3084.7164243900002</v>
      </c>
      <c r="F3558">
        <v>3087.9843324100002</v>
      </c>
      <c r="G3558">
        <v>3084.7164243900002</v>
      </c>
    </row>
    <row r="3559" spans="1:7" x14ac:dyDescent="0.25">
      <c r="A3559" s="2">
        <v>3557</v>
      </c>
      <c r="B3559" t="s">
        <v>1027</v>
      </c>
      <c r="C3559" s="1">
        <v>46213</v>
      </c>
      <c r="D3559">
        <v>85.274649999999994</v>
      </c>
      <c r="E3559">
        <v>2119.4006721800001</v>
      </c>
      <c r="F3559">
        <v>2121.7646815500002</v>
      </c>
      <c r="G3559">
        <v>2119.4006721800001</v>
      </c>
    </row>
    <row r="3560" spans="1:7" x14ac:dyDescent="0.25">
      <c r="A3560" s="2">
        <v>3558</v>
      </c>
      <c r="B3560" t="s">
        <v>1029</v>
      </c>
      <c r="C3560" s="1">
        <v>46213</v>
      </c>
      <c r="D3560">
        <v>89.004999999999995</v>
      </c>
      <c r="E3560">
        <v>3284.87510496</v>
      </c>
      <c r="F3560">
        <v>3227.9054223600001</v>
      </c>
      <c r="G3560">
        <v>3284.87510496</v>
      </c>
    </row>
    <row r="3561" spans="1:7" x14ac:dyDescent="0.25">
      <c r="A3561" s="2">
        <v>3559</v>
      </c>
      <c r="B3561" t="s">
        <v>1031</v>
      </c>
      <c r="C3561" s="1">
        <v>46213</v>
      </c>
      <c r="D3561">
        <v>89.5</v>
      </c>
      <c r="F3561">
        <v>3524.0409809500002</v>
      </c>
    </row>
    <row r="3562" spans="1:7" x14ac:dyDescent="0.25">
      <c r="A3562" s="2">
        <v>3560</v>
      </c>
      <c r="B3562" t="s">
        <v>2025</v>
      </c>
      <c r="C3562" s="1">
        <v>46213</v>
      </c>
      <c r="D3562">
        <v>102.4118</v>
      </c>
      <c r="E3562">
        <v>542.70369101999995</v>
      </c>
      <c r="F3562">
        <v>545.17238978</v>
      </c>
      <c r="G3562">
        <v>542.70369101999995</v>
      </c>
    </row>
    <row r="3563" spans="1:7" x14ac:dyDescent="0.25">
      <c r="A3563" s="2">
        <v>3561</v>
      </c>
      <c r="B3563" t="s">
        <v>2029</v>
      </c>
      <c r="C3563" s="1">
        <v>46213</v>
      </c>
      <c r="D3563">
        <v>103.6365</v>
      </c>
      <c r="E3563">
        <v>347.08281534999998</v>
      </c>
      <c r="F3563">
        <v>349.56470052999998</v>
      </c>
      <c r="G3563">
        <v>347.08281534999998</v>
      </c>
    </row>
    <row r="3564" spans="1:7" x14ac:dyDescent="0.25">
      <c r="A3564" s="2">
        <v>3562</v>
      </c>
      <c r="B3564" t="s">
        <v>2031</v>
      </c>
      <c r="C3564" s="1">
        <v>46213</v>
      </c>
      <c r="D3564">
        <v>111.578</v>
      </c>
      <c r="E3564">
        <v>561.39545158999999</v>
      </c>
      <c r="F3564">
        <v>561.94597487999999</v>
      </c>
      <c r="G3564">
        <v>561.39545158999999</v>
      </c>
    </row>
    <row r="3565" spans="1:7" x14ac:dyDescent="0.25">
      <c r="A3565" s="2">
        <v>3563</v>
      </c>
      <c r="B3565" t="s">
        <v>2033</v>
      </c>
      <c r="C3565" s="1">
        <v>46213</v>
      </c>
      <c r="D3565">
        <v>94.152569999999997</v>
      </c>
      <c r="E3565">
        <v>499.73907273999998</v>
      </c>
      <c r="F3565">
        <v>501.78613473000001</v>
      </c>
      <c r="G3565">
        <v>499.73907273999998</v>
      </c>
    </row>
    <row r="3566" spans="1:7" x14ac:dyDescent="0.25">
      <c r="A3566" s="2">
        <v>3564</v>
      </c>
      <c r="B3566" t="s">
        <v>2035</v>
      </c>
      <c r="C3566" s="1">
        <v>46213</v>
      </c>
      <c r="D3566">
        <v>102.21729999999999</v>
      </c>
      <c r="E3566">
        <v>474.82030328000002</v>
      </c>
      <c r="F3566">
        <v>476.64055997999998</v>
      </c>
      <c r="G3566">
        <v>474.82030328000002</v>
      </c>
    </row>
    <row r="3567" spans="1:7" x14ac:dyDescent="0.25">
      <c r="A3567" s="2">
        <v>3565</v>
      </c>
      <c r="B3567" t="s">
        <v>3566</v>
      </c>
      <c r="C3567" s="1">
        <v>46213</v>
      </c>
      <c r="D3567">
        <v>92.535499999999999</v>
      </c>
      <c r="E3567">
        <v>880.84141509000005</v>
      </c>
      <c r="F3567">
        <v>895.72352059000002</v>
      </c>
      <c r="G3567">
        <v>880.84141509000005</v>
      </c>
    </row>
    <row r="3568" spans="1:7" x14ac:dyDescent="0.25">
      <c r="A3568" s="2">
        <v>3566</v>
      </c>
      <c r="B3568" t="s">
        <v>2037</v>
      </c>
      <c r="C3568" s="1">
        <v>46213</v>
      </c>
      <c r="D3568">
        <v>96.66216</v>
      </c>
      <c r="F3568">
        <v>787.37914178000005</v>
      </c>
    </row>
    <row r="3569" spans="1:7" x14ac:dyDescent="0.25">
      <c r="A3569" s="2">
        <v>3567</v>
      </c>
      <c r="B3569" t="s">
        <v>2039</v>
      </c>
      <c r="C3569" s="1">
        <v>46213</v>
      </c>
      <c r="D3569">
        <v>177.38910000000001</v>
      </c>
      <c r="F3569">
        <v>-468.83028679</v>
      </c>
    </row>
    <row r="3570" spans="1:7" x14ac:dyDescent="0.25">
      <c r="A3570" s="2">
        <v>3568</v>
      </c>
      <c r="B3570" t="s">
        <v>2041</v>
      </c>
      <c r="C3570" s="1">
        <v>46213</v>
      </c>
    </row>
    <row r="3571" spans="1:7" x14ac:dyDescent="0.25">
      <c r="A3571" s="2">
        <v>3569</v>
      </c>
      <c r="B3571" t="s">
        <v>2043</v>
      </c>
      <c r="C3571" s="1">
        <v>46213</v>
      </c>
      <c r="D3571">
        <v>101</v>
      </c>
      <c r="F3571">
        <v>538.71563234999996</v>
      </c>
    </row>
    <row r="3572" spans="1:7" x14ac:dyDescent="0.25">
      <c r="A3572" s="2">
        <v>3570</v>
      </c>
      <c r="B3572" t="s">
        <v>1732</v>
      </c>
      <c r="C3572" s="1">
        <v>46213</v>
      </c>
      <c r="D3572">
        <v>68</v>
      </c>
      <c r="F3572">
        <v>3009.4488253</v>
      </c>
    </row>
    <row r="3573" spans="1:7" x14ac:dyDescent="0.25">
      <c r="A3573" s="2">
        <v>3571</v>
      </c>
      <c r="B3573" t="s">
        <v>1736</v>
      </c>
      <c r="C3573" s="1">
        <v>46213</v>
      </c>
      <c r="D3573">
        <v>68.5</v>
      </c>
      <c r="F3573">
        <v>2507.1333085299998</v>
      </c>
    </row>
    <row r="3574" spans="1:7" x14ac:dyDescent="0.25">
      <c r="A3574" s="2">
        <v>3572</v>
      </c>
      <c r="B3574" t="s">
        <v>1740</v>
      </c>
      <c r="C3574" s="1">
        <v>46213</v>
      </c>
      <c r="D3574">
        <v>85.5</v>
      </c>
      <c r="F3574">
        <v>1509.0660925100001</v>
      </c>
    </row>
    <row r="3575" spans="1:7" x14ac:dyDescent="0.25">
      <c r="A3575" s="2">
        <v>3573</v>
      </c>
      <c r="B3575" t="s">
        <v>1775</v>
      </c>
      <c r="C3575" s="1">
        <v>46213</v>
      </c>
      <c r="D3575">
        <v>30</v>
      </c>
    </row>
    <row r="3576" spans="1:7" x14ac:dyDescent="0.25">
      <c r="A3576" s="2">
        <v>3574</v>
      </c>
      <c r="B3576" t="s">
        <v>1779</v>
      </c>
      <c r="C3576" s="1">
        <v>46213</v>
      </c>
      <c r="D3576">
        <v>20.802289999999999</v>
      </c>
      <c r="E3576">
        <v>6425.8755518300004</v>
      </c>
      <c r="F3576">
        <v>6428.6249901900001</v>
      </c>
      <c r="G3576">
        <v>6425.8755518300004</v>
      </c>
    </row>
    <row r="3577" spans="1:7" x14ac:dyDescent="0.25">
      <c r="A3577" s="2">
        <v>3575</v>
      </c>
      <c r="B3577" t="s">
        <v>1780</v>
      </c>
      <c r="C3577" s="1">
        <v>46213</v>
      </c>
      <c r="D3577">
        <v>99.547520000000006</v>
      </c>
      <c r="E3577">
        <v>7256.88820055</v>
      </c>
      <c r="F3577">
        <v>7259.6414579499997</v>
      </c>
      <c r="G3577">
        <v>7256.88820055</v>
      </c>
    </row>
    <row r="3578" spans="1:7" x14ac:dyDescent="0.25">
      <c r="A3578" s="2">
        <v>3576</v>
      </c>
      <c r="B3578" t="s">
        <v>1782</v>
      </c>
      <c r="C3578" s="1">
        <v>46213</v>
      </c>
      <c r="D3578">
        <v>96.75</v>
      </c>
      <c r="F3578">
        <v>728.94018844000004</v>
      </c>
    </row>
    <row r="3579" spans="1:7" x14ac:dyDescent="0.25">
      <c r="A3579" s="2">
        <v>3577</v>
      </c>
      <c r="B3579" t="s">
        <v>1784</v>
      </c>
      <c r="C3579" s="1">
        <v>46213</v>
      </c>
      <c r="D3579">
        <v>57</v>
      </c>
      <c r="F3579">
        <v>2342.80505743</v>
      </c>
    </row>
    <row r="3580" spans="1:7" x14ac:dyDescent="0.25">
      <c r="A3580" s="2">
        <v>3578</v>
      </c>
      <c r="B3580" t="s">
        <v>1786</v>
      </c>
      <c r="C3580" s="1">
        <v>46213</v>
      </c>
      <c r="D3580">
        <v>57</v>
      </c>
      <c r="F3580">
        <v>2820.1168572000001</v>
      </c>
    </row>
    <row r="3581" spans="1:7" x14ac:dyDescent="0.25">
      <c r="A3581" s="2">
        <v>3579</v>
      </c>
      <c r="B3581" t="s">
        <v>1788</v>
      </c>
      <c r="C3581" s="1">
        <v>46213</v>
      </c>
      <c r="D3581">
        <v>16.5</v>
      </c>
      <c r="F3581">
        <v>9357.2620825100003</v>
      </c>
    </row>
    <row r="3582" spans="1:7" x14ac:dyDescent="0.25">
      <c r="A3582" s="2">
        <v>3580</v>
      </c>
      <c r="B3582" t="s">
        <v>1790</v>
      </c>
      <c r="C3582" s="1">
        <v>46213</v>
      </c>
      <c r="D3582">
        <v>16</v>
      </c>
      <c r="F3582">
        <v>10123.95315209</v>
      </c>
    </row>
    <row r="3583" spans="1:7" x14ac:dyDescent="0.25">
      <c r="A3583" s="2">
        <v>3581</v>
      </c>
      <c r="B3583" t="s">
        <v>1792</v>
      </c>
      <c r="C3583" s="1">
        <v>46213</v>
      </c>
      <c r="D3583">
        <v>96.3125</v>
      </c>
      <c r="F3583">
        <v>702.49682927000003</v>
      </c>
    </row>
    <row r="3584" spans="1:7" x14ac:dyDescent="0.25">
      <c r="A3584" s="2">
        <v>3582</v>
      </c>
      <c r="B3584" t="s">
        <v>1794</v>
      </c>
      <c r="C3584" s="1">
        <v>46213</v>
      </c>
      <c r="D3584">
        <v>38.5</v>
      </c>
      <c r="F3584">
        <v>4830.6665604999998</v>
      </c>
    </row>
    <row r="3585" spans="1:7" x14ac:dyDescent="0.25">
      <c r="A3585" s="2">
        <v>3583</v>
      </c>
      <c r="B3585" t="s">
        <v>3727</v>
      </c>
      <c r="C3585" s="1">
        <v>46213</v>
      </c>
      <c r="D3585">
        <v>98.085679999999996</v>
      </c>
      <c r="E3585">
        <v>708.27697736000005</v>
      </c>
      <c r="F3585">
        <v>711.10515574999999</v>
      </c>
      <c r="G3585">
        <v>708.27697736000005</v>
      </c>
    </row>
    <row r="3586" spans="1:7" x14ac:dyDescent="0.25">
      <c r="A3586" s="2">
        <v>3584</v>
      </c>
      <c r="B3586" t="s">
        <v>3731</v>
      </c>
      <c r="C3586" s="1">
        <v>46213</v>
      </c>
      <c r="D3586">
        <v>99.992099999999994</v>
      </c>
      <c r="E3586">
        <v>-457.31564405</v>
      </c>
      <c r="F3586">
        <v>-440.95994069</v>
      </c>
      <c r="G3586">
        <v>-457.31564405</v>
      </c>
    </row>
    <row r="3587" spans="1:7" x14ac:dyDescent="0.25">
      <c r="A3587" s="2">
        <v>3585</v>
      </c>
      <c r="B3587" t="s">
        <v>3733</v>
      </c>
      <c r="C3587" s="1">
        <v>46213</v>
      </c>
      <c r="D3587">
        <v>97.977170000000001</v>
      </c>
      <c r="E3587">
        <v>584.16229490000001</v>
      </c>
      <c r="F3587">
        <v>586.19070158</v>
      </c>
      <c r="G3587">
        <v>584.16229490000001</v>
      </c>
    </row>
    <row r="3588" spans="1:7" x14ac:dyDescent="0.25">
      <c r="A3588" s="2">
        <v>3586</v>
      </c>
      <c r="B3588" t="s">
        <v>3735</v>
      </c>
      <c r="C3588" s="1">
        <v>46213</v>
      </c>
      <c r="D3588">
        <v>101.9481</v>
      </c>
      <c r="E3588">
        <v>264.38008353999999</v>
      </c>
      <c r="F3588">
        <v>267.32483021000002</v>
      </c>
      <c r="G3588">
        <v>264.38008353999999</v>
      </c>
    </row>
    <row r="3589" spans="1:7" x14ac:dyDescent="0.25">
      <c r="A3589" s="2">
        <v>3587</v>
      </c>
      <c r="B3589" t="s">
        <v>3737</v>
      </c>
      <c r="C3589" s="1">
        <v>46213</v>
      </c>
      <c r="D3589">
        <v>99.375</v>
      </c>
      <c r="F3589">
        <v>351.40214255000001</v>
      </c>
    </row>
    <row r="3590" spans="1:7" x14ac:dyDescent="0.25">
      <c r="A3590" s="2">
        <v>3588</v>
      </c>
      <c r="B3590" t="s">
        <v>3739</v>
      </c>
      <c r="C3590" s="1">
        <v>46213</v>
      </c>
      <c r="D3590">
        <v>99.4375</v>
      </c>
      <c r="F3590">
        <v>301.02428450999997</v>
      </c>
    </row>
    <row r="3591" spans="1:7" x14ac:dyDescent="0.25">
      <c r="A3591" s="2">
        <v>3589</v>
      </c>
      <c r="B3591" t="s">
        <v>3741</v>
      </c>
      <c r="C3591" s="1">
        <v>46213</v>
      </c>
    </row>
    <row r="3592" spans="1:7" x14ac:dyDescent="0.25">
      <c r="A3592" s="2">
        <v>3590</v>
      </c>
      <c r="B3592" t="s">
        <v>1813</v>
      </c>
      <c r="C3592" s="1">
        <v>46213</v>
      </c>
      <c r="D3592">
        <v>75.5</v>
      </c>
      <c r="F3592">
        <v>1668.6670089199999</v>
      </c>
    </row>
    <row r="3593" spans="1:7" x14ac:dyDescent="0.25">
      <c r="A3593" s="2">
        <v>3591</v>
      </c>
      <c r="B3593" t="s">
        <v>1819</v>
      </c>
      <c r="C3593" s="1">
        <v>46213</v>
      </c>
      <c r="D3593">
        <v>78.5</v>
      </c>
      <c r="F3593">
        <v>1088.80573867</v>
      </c>
    </row>
    <row r="3594" spans="1:7" x14ac:dyDescent="0.25">
      <c r="A3594" s="2">
        <v>3592</v>
      </c>
      <c r="B3594" t="s">
        <v>1823</v>
      </c>
      <c r="C3594" s="1">
        <v>46213</v>
      </c>
      <c r="D3594">
        <v>39</v>
      </c>
    </row>
    <row r="3595" spans="1:7" x14ac:dyDescent="0.25">
      <c r="A3595" s="2">
        <v>3593</v>
      </c>
      <c r="B3595" t="s">
        <v>1827</v>
      </c>
      <c r="C3595" s="1">
        <v>46213</v>
      </c>
      <c r="D3595">
        <v>48.49747</v>
      </c>
      <c r="E3595">
        <v>3401.8550479400001</v>
      </c>
      <c r="F3595">
        <v>3403.7816681999998</v>
      </c>
      <c r="G3595">
        <v>3401.8550479400001</v>
      </c>
    </row>
    <row r="3596" spans="1:7" x14ac:dyDescent="0.25">
      <c r="A3596" s="2">
        <v>3594</v>
      </c>
      <c r="B3596" t="s">
        <v>1829</v>
      </c>
      <c r="C3596" s="1">
        <v>46213</v>
      </c>
      <c r="D3596">
        <v>88.75</v>
      </c>
      <c r="F3596">
        <v>922.04629412999998</v>
      </c>
    </row>
    <row r="3597" spans="1:7" x14ac:dyDescent="0.25">
      <c r="A3597" s="2">
        <v>3595</v>
      </c>
      <c r="B3597" t="s">
        <v>1831</v>
      </c>
      <c r="C3597" s="1">
        <v>46213</v>
      </c>
      <c r="D3597">
        <v>102.125</v>
      </c>
      <c r="F3597">
        <v>454.26457765999999</v>
      </c>
    </row>
    <row r="3598" spans="1:7" x14ac:dyDescent="0.25">
      <c r="A3598" s="2">
        <v>3596</v>
      </c>
      <c r="B3598" t="s">
        <v>1832</v>
      </c>
      <c r="C3598" s="1">
        <v>46213</v>
      </c>
    </row>
    <row r="3599" spans="1:7" x14ac:dyDescent="0.25">
      <c r="A3599" s="2">
        <v>3597</v>
      </c>
      <c r="B3599" t="s">
        <v>2076</v>
      </c>
      <c r="C3599" s="1">
        <v>46213</v>
      </c>
      <c r="D3599">
        <v>60.110430000000001</v>
      </c>
      <c r="E3599">
        <v>3742.8343698600002</v>
      </c>
      <c r="F3599">
        <v>3745.0101791900001</v>
      </c>
      <c r="G3599">
        <v>3742.8343698600002</v>
      </c>
    </row>
    <row r="3600" spans="1:7" x14ac:dyDescent="0.25">
      <c r="A3600" s="2">
        <v>3598</v>
      </c>
      <c r="B3600" t="s">
        <v>2080</v>
      </c>
      <c r="C3600" s="1">
        <v>46213</v>
      </c>
      <c r="D3600">
        <v>57.15936</v>
      </c>
      <c r="E3600">
        <v>2591.6415940100001</v>
      </c>
      <c r="F3600">
        <v>2594.5406193399999</v>
      </c>
      <c r="G3600">
        <v>2591.6415940100001</v>
      </c>
    </row>
    <row r="3601" spans="1:7" x14ac:dyDescent="0.25">
      <c r="A3601" s="2">
        <v>3599</v>
      </c>
      <c r="B3601" t="s">
        <v>2082</v>
      </c>
      <c r="C3601" s="1">
        <v>46213</v>
      </c>
      <c r="D3601">
        <v>57.15936</v>
      </c>
      <c r="E3601">
        <v>2590.33145573</v>
      </c>
      <c r="F3601">
        <v>2593.2304893999999</v>
      </c>
      <c r="G3601">
        <v>2590.33145573</v>
      </c>
    </row>
    <row r="3602" spans="1:7" x14ac:dyDescent="0.25">
      <c r="A3602" s="2">
        <v>3600</v>
      </c>
      <c r="B3602" t="s">
        <v>2083</v>
      </c>
      <c r="C3602" s="1">
        <v>46213</v>
      </c>
    </row>
    <row r="3603" spans="1:7" x14ac:dyDescent="0.25">
      <c r="A3603" s="2">
        <v>3601</v>
      </c>
      <c r="B3603" t="s">
        <v>2085</v>
      </c>
      <c r="C3603" s="1">
        <v>46213</v>
      </c>
    </row>
    <row r="3604" spans="1:7" x14ac:dyDescent="0.25">
      <c r="A3604" s="2">
        <v>3602</v>
      </c>
      <c r="B3604" t="s">
        <v>3503</v>
      </c>
      <c r="C3604" s="1">
        <v>46213</v>
      </c>
      <c r="D3604">
        <v>94.5</v>
      </c>
      <c r="F3604">
        <v>664.3068356</v>
      </c>
    </row>
    <row r="3605" spans="1:7" x14ac:dyDescent="0.25">
      <c r="A3605" s="2">
        <v>3603</v>
      </c>
      <c r="B3605" t="s">
        <v>3507</v>
      </c>
      <c r="C3605" s="1">
        <v>46213</v>
      </c>
    </row>
    <row r="3606" spans="1:7" x14ac:dyDescent="0.25">
      <c r="A3606" s="2">
        <v>3604</v>
      </c>
      <c r="B3606" t="s">
        <v>3510</v>
      </c>
      <c r="C3606" s="1">
        <v>46213</v>
      </c>
    </row>
    <row r="3607" spans="1:7" x14ac:dyDescent="0.25">
      <c r="A3607" s="2">
        <v>3605</v>
      </c>
      <c r="B3607" t="s">
        <v>3512</v>
      </c>
      <c r="C3607" s="1">
        <v>46213</v>
      </c>
      <c r="D3607">
        <v>87.25</v>
      </c>
      <c r="F3607">
        <v>1208.5479415299999</v>
      </c>
    </row>
    <row r="3608" spans="1:7" x14ac:dyDescent="0.25">
      <c r="A3608" s="2">
        <v>3606</v>
      </c>
      <c r="B3608" t="s">
        <v>1835</v>
      </c>
      <c r="C3608" s="1">
        <v>46213</v>
      </c>
      <c r="D3608">
        <v>1.01447</v>
      </c>
    </row>
    <row r="3609" spans="1:7" x14ac:dyDescent="0.25">
      <c r="A3609" s="2">
        <v>3607</v>
      </c>
      <c r="B3609" t="s">
        <v>1839</v>
      </c>
      <c r="C3609" s="1">
        <v>46213</v>
      </c>
      <c r="D3609">
        <v>2.37</v>
      </c>
    </row>
    <row r="3610" spans="1:7" x14ac:dyDescent="0.25">
      <c r="A3610" s="2">
        <v>3608</v>
      </c>
      <c r="B3610" t="s">
        <v>1841</v>
      </c>
      <c r="C3610" s="1">
        <v>46213</v>
      </c>
      <c r="D3610">
        <v>100.80800000000001</v>
      </c>
      <c r="E3610">
        <v>190.02965964000001</v>
      </c>
      <c r="F3610">
        <v>187.95614481000001</v>
      </c>
      <c r="G3610">
        <v>190.02965964000001</v>
      </c>
    </row>
    <row r="3611" spans="1:7" x14ac:dyDescent="0.25">
      <c r="A3611" s="2">
        <v>3609</v>
      </c>
      <c r="B3611" t="s">
        <v>1843</v>
      </c>
      <c r="C3611" s="1">
        <v>46213</v>
      </c>
      <c r="D3611">
        <v>101.3518</v>
      </c>
      <c r="E3611">
        <v>179.04888048000001</v>
      </c>
      <c r="F3611">
        <v>181.23122799999999</v>
      </c>
      <c r="G3611">
        <v>179.04888048000001</v>
      </c>
    </row>
    <row r="3612" spans="1:7" x14ac:dyDescent="0.25">
      <c r="A3612" s="2">
        <v>3610</v>
      </c>
      <c r="B3612" t="s">
        <v>1845</v>
      </c>
      <c r="C3612" s="1">
        <v>46213</v>
      </c>
      <c r="D3612">
        <v>93.887950000000004</v>
      </c>
      <c r="F3612">
        <v>882.94752052000001</v>
      </c>
    </row>
    <row r="3613" spans="1:7" x14ac:dyDescent="0.25">
      <c r="A3613" s="2">
        <v>3611</v>
      </c>
      <c r="B3613" t="s">
        <v>1846</v>
      </c>
      <c r="C3613" s="1">
        <v>46213</v>
      </c>
      <c r="D3613">
        <v>94.143000000000001</v>
      </c>
      <c r="F3613">
        <v>989.53453230000002</v>
      </c>
    </row>
    <row r="3614" spans="1:7" x14ac:dyDescent="0.25">
      <c r="A3614" s="2">
        <v>3612</v>
      </c>
      <c r="B3614" t="s">
        <v>1848</v>
      </c>
      <c r="C3614" s="1">
        <v>46213</v>
      </c>
      <c r="D3614">
        <v>106.8426</v>
      </c>
      <c r="E3614">
        <v>315.10613235</v>
      </c>
      <c r="F3614">
        <v>315.46482077000002</v>
      </c>
      <c r="G3614">
        <v>315.10613235</v>
      </c>
    </row>
    <row r="3615" spans="1:7" x14ac:dyDescent="0.25">
      <c r="A3615" s="2">
        <v>3613</v>
      </c>
      <c r="B3615" t="s">
        <v>1850</v>
      </c>
      <c r="C3615" s="1">
        <v>46213</v>
      </c>
      <c r="D3615">
        <v>95.995999999999995</v>
      </c>
      <c r="E3615">
        <v>159.23157821999999</v>
      </c>
      <c r="F3615">
        <v>157.35607998</v>
      </c>
      <c r="G3615">
        <v>159.23157821999999</v>
      </c>
    </row>
    <row r="3616" spans="1:7" x14ac:dyDescent="0.25">
      <c r="A3616" s="2">
        <v>3614</v>
      </c>
      <c r="B3616" t="s">
        <v>1852</v>
      </c>
      <c r="C3616" s="1">
        <v>46213</v>
      </c>
      <c r="D3616">
        <v>97.183000000000007</v>
      </c>
      <c r="E3616">
        <v>63.87973144</v>
      </c>
      <c r="F3616">
        <v>61.991639749999997</v>
      </c>
      <c r="G3616">
        <v>63.87973144</v>
      </c>
    </row>
    <row r="3617" spans="1:7" x14ac:dyDescent="0.25">
      <c r="A3617" s="2">
        <v>3615</v>
      </c>
      <c r="B3617" t="s">
        <v>1854</v>
      </c>
      <c r="C3617" s="1">
        <v>46213</v>
      </c>
      <c r="D3617">
        <v>95.156549999999996</v>
      </c>
      <c r="E3617">
        <v>167.30491223999999</v>
      </c>
      <c r="F3617">
        <v>169.62343362999999</v>
      </c>
      <c r="G3617">
        <v>167.30491223999999</v>
      </c>
    </row>
    <row r="3618" spans="1:7" x14ac:dyDescent="0.25">
      <c r="A3618" s="2">
        <v>3616</v>
      </c>
      <c r="B3618" t="s">
        <v>1856</v>
      </c>
      <c r="C3618" s="1">
        <v>46213</v>
      </c>
      <c r="D3618">
        <v>95.978859999999997</v>
      </c>
      <c r="E3618">
        <v>123.27822782</v>
      </c>
      <c r="F3618">
        <v>125.99613840000001</v>
      </c>
      <c r="G3618">
        <v>123.27822782</v>
      </c>
    </row>
    <row r="3619" spans="1:7" x14ac:dyDescent="0.25">
      <c r="A3619" s="2">
        <v>3617</v>
      </c>
      <c r="B3619" t="s">
        <v>1858</v>
      </c>
      <c r="C3619" s="1">
        <v>46213</v>
      </c>
    </row>
    <row r="3620" spans="1:7" x14ac:dyDescent="0.25">
      <c r="A3620" s="2">
        <v>3618</v>
      </c>
      <c r="B3620" t="s">
        <v>310</v>
      </c>
      <c r="C3620" s="1">
        <v>46213</v>
      </c>
      <c r="D3620">
        <v>16.15917</v>
      </c>
    </row>
    <row r="3621" spans="1:7" x14ac:dyDescent="0.25">
      <c r="A3621" s="2">
        <v>3619</v>
      </c>
      <c r="B3621" t="s">
        <v>316</v>
      </c>
      <c r="C3621" s="1">
        <v>46213</v>
      </c>
      <c r="D3621">
        <v>35.493969999999997</v>
      </c>
    </row>
    <row r="3622" spans="1:7" x14ac:dyDescent="0.25">
      <c r="A3622" s="2">
        <v>3620</v>
      </c>
      <c r="B3622" t="s">
        <v>3215</v>
      </c>
      <c r="C3622" s="1">
        <v>46213</v>
      </c>
      <c r="D3622">
        <v>96.025570000000002</v>
      </c>
      <c r="E3622">
        <v>1106.5594764</v>
      </c>
      <c r="F3622">
        <v>1058.5085757100001</v>
      </c>
      <c r="G3622">
        <v>1106.5594764</v>
      </c>
    </row>
    <row r="3623" spans="1:7" x14ac:dyDescent="0.25">
      <c r="A3623" s="2">
        <v>3621</v>
      </c>
      <c r="B3623" t="s">
        <v>318</v>
      </c>
      <c r="C3623" s="1">
        <v>46213</v>
      </c>
      <c r="D3623">
        <v>16.779589999999999</v>
      </c>
    </row>
    <row r="3624" spans="1:7" x14ac:dyDescent="0.25">
      <c r="A3624" s="2">
        <v>3622</v>
      </c>
      <c r="B3624" t="s">
        <v>320</v>
      </c>
      <c r="C3624" s="1">
        <v>46213</v>
      </c>
    </row>
    <row r="3625" spans="1:7" x14ac:dyDescent="0.25">
      <c r="A3625" s="2">
        <v>3623</v>
      </c>
      <c r="B3625" t="s">
        <v>323</v>
      </c>
      <c r="C3625" s="1">
        <v>46213</v>
      </c>
      <c r="D3625">
        <v>56</v>
      </c>
    </row>
    <row r="3626" spans="1:7" x14ac:dyDescent="0.25">
      <c r="A3626" s="2">
        <v>3624</v>
      </c>
      <c r="B3626" t="s">
        <v>1193</v>
      </c>
      <c r="C3626" s="1">
        <v>46213</v>
      </c>
      <c r="D3626">
        <v>72.5</v>
      </c>
    </row>
    <row r="3627" spans="1:7" x14ac:dyDescent="0.25">
      <c r="A3627" s="2">
        <v>3625</v>
      </c>
      <c r="B3627" t="s">
        <v>325</v>
      </c>
      <c r="C3627" s="1">
        <v>46213</v>
      </c>
      <c r="D3627">
        <v>58</v>
      </c>
    </row>
    <row r="3628" spans="1:7" x14ac:dyDescent="0.25">
      <c r="A3628" s="2">
        <v>3626</v>
      </c>
      <c r="B3628" t="s">
        <v>3216</v>
      </c>
      <c r="C3628" s="1">
        <v>46213</v>
      </c>
    </row>
    <row r="3629" spans="1:7" x14ac:dyDescent="0.25">
      <c r="A3629" s="2">
        <v>3627</v>
      </c>
      <c r="B3629" t="s">
        <v>328</v>
      </c>
      <c r="C3629" s="1">
        <v>46213</v>
      </c>
    </row>
    <row r="3630" spans="1:7" x14ac:dyDescent="0.25">
      <c r="A3630" s="2">
        <v>3628</v>
      </c>
      <c r="B3630" t="s">
        <v>330</v>
      </c>
      <c r="C3630" s="1">
        <v>46213</v>
      </c>
      <c r="D3630">
        <v>1</v>
      </c>
    </row>
    <row r="3631" spans="1:7" x14ac:dyDescent="0.25">
      <c r="A3631" s="2">
        <v>3629</v>
      </c>
      <c r="B3631" t="s">
        <v>535</v>
      </c>
      <c r="C3631" s="1">
        <v>46213</v>
      </c>
      <c r="D3631">
        <v>98.775959999999998</v>
      </c>
      <c r="E3631">
        <v>572.85436635999997</v>
      </c>
      <c r="F3631">
        <v>575.26197571</v>
      </c>
      <c r="G3631">
        <v>572.85436635999997</v>
      </c>
    </row>
    <row r="3632" spans="1:7" x14ac:dyDescent="0.25">
      <c r="A3632" s="2">
        <v>3630</v>
      </c>
      <c r="B3632" t="s">
        <v>540</v>
      </c>
      <c r="C3632" s="1">
        <v>46213</v>
      </c>
      <c r="D3632">
        <v>94.833659999999995</v>
      </c>
      <c r="E3632">
        <v>559.74908023</v>
      </c>
      <c r="F3632">
        <v>561.91778470999998</v>
      </c>
      <c r="G3632">
        <v>559.74908023</v>
      </c>
    </row>
    <row r="3633" spans="1:7" x14ac:dyDescent="0.25">
      <c r="A3633" s="2">
        <v>3631</v>
      </c>
      <c r="B3633" t="s">
        <v>542</v>
      </c>
      <c r="C3633" s="1">
        <v>46213</v>
      </c>
      <c r="D3633">
        <v>88.114189999999994</v>
      </c>
      <c r="E3633">
        <v>708.25234693000004</v>
      </c>
      <c r="F3633">
        <v>707.26707154999997</v>
      </c>
      <c r="G3633">
        <v>708.25234693000004</v>
      </c>
    </row>
    <row r="3634" spans="1:7" x14ac:dyDescent="0.25">
      <c r="A3634" s="2">
        <v>3632</v>
      </c>
      <c r="B3634" t="s">
        <v>544</v>
      </c>
      <c r="C3634" s="1">
        <v>46213</v>
      </c>
      <c r="D3634">
        <v>89.744320000000002</v>
      </c>
      <c r="E3634">
        <v>615.65979970000001</v>
      </c>
      <c r="F3634">
        <v>617.55636615000003</v>
      </c>
      <c r="G3634">
        <v>615.65979970000001</v>
      </c>
    </row>
    <row r="3635" spans="1:7" x14ac:dyDescent="0.25">
      <c r="A3635" s="2">
        <v>3633</v>
      </c>
      <c r="B3635" t="s">
        <v>546</v>
      </c>
      <c r="C3635" s="1">
        <v>46213</v>
      </c>
      <c r="D3635">
        <v>91.063479999999998</v>
      </c>
      <c r="E3635">
        <v>600.63437732</v>
      </c>
      <c r="F3635">
        <v>602.64091464000001</v>
      </c>
      <c r="G3635">
        <v>600.63437732</v>
      </c>
    </row>
    <row r="3636" spans="1:7" x14ac:dyDescent="0.25">
      <c r="A3636" s="2">
        <v>3634</v>
      </c>
      <c r="B3636" t="s">
        <v>548</v>
      </c>
      <c r="C3636" s="1">
        <v>46213</v>
      </c>
      <c r="D3636">
        <v>88.729330000000004</v>
      </c>
      <c r="E3636">
        <v>600.60838906000004</v>
      </c>
      <c r="F3636">
        <v>602.78059983000003</v>
      </c>
      <c r="G3636">
        <v>600.60838906000004</v>
      </c>
    </row>
    <row r="3637" spans="1:7" x14ac:dyDescent="0.25">
      <c r="A3637" s="2">
        <v>3635</v>
      </c>
      <c r="B3637" t="s">
        <v>550</v>
      </c>
      <c r="C3637" s="1">
        <v>46213</v>
      </c>
    </row>
    <row r="3638" spans="1:7" x14ac:dyDescent="0.25">
      <c r="A3638" s="2">
        <v>3636</v>
      </c>
      <c r="B3638" t="s">
        <v>3515</v>
      </c>
      <c r="C3638" s="1">
        <v>46213</v>
      </c>
      <c r="D3638">
        <v>87.5</v>
      </c>
      <c r="F3638">
        <v>742.18017503999999</v>
      </c>
    </row>
    <row r="3639" spans="1:7" x14ac:dyDescent="0.25">
      <c r="A3639" s="2">
        <v>3637</v>
      </c>
      <c r="B3639" t="s">
        <v>3743</v>
      </c>
      <c r="C3639" s="1">
        <v>46213</v>
      </c>
      <c r="D3639">
        <v>96.412409999999994</v>
      </c>
      <c r="E3639">
        <v>501.92721203000002</v>
      </c>
      <c r="F3639">
        <v>505.15989396999998</v>
      </c>
      <c r="G3639">
        <v>501.92721203000002</v>
      </c>
    </row>
    <row r="3640" spans="1:7" x14ac:dyDescent="0.25">
      <c r="A3640" s="2">
        <v>3638</v>
      </c>
      <c r="B3640" t="s">
        <v>3747</v>
      </c>
      <c r="C3640" s="1">
        <v>46213</v>
      </c>
      <c r="D3640">
        <v>107.67910000000001</v>
      </c>
      <c r="E3640">
        <v>284.74784308</v>
      </c>
      <c r="F3640">
        <v>292.14240588000001</v>
      </c>
      <c r="G3640">
        <v>284.74784308</v>
      </c>
    </row>
    <row r="3641" spans="1:7" x14ac:dyDescent="0.25">
      <c r="A3641" s="2">
        <v>3639</v>
      </c>
      <c r="B3641" t="s">
        <v>3749</v>
      </c>
      <c r="C3641" s="1">
        <v>46213</v>
      </c>
      <c r="D3641">
        <v>108.4462</v>
      </c>
      <c r="E3641">
        <v>507.92016092</v>
      </c>
      <c r="F3641">
        <v>509.61814642000002</v>
      </c>
      <c r="G3641">
        <v>507.92016092</v>
      </c>
    </row>
    <row r="3642" spans="1:7" x14ac:dyDescent="0.25">
      <c r="A3642" s="2">
        <v>3640</v>
      </c>
      <c r="B3642" t="s">
        <v>3751</v>
      </c>
      <c r="C3642" s="1">
        <v>46213</v>
      </c>
      <c r="D3642">
        <v>104.2183</v>
      </c>
      <c r="E3642">
        <v>450.35136976000001</v>
      </c>
      <c r="F3642">
        <v>452.42028227999998</v>
      </c>
      <c r="G3642">
        <v>450.35136976000001</v>
      </c>
    </row>
    <row r="3643" spans="1:7" x14ac:dyDescent="0.25">
      <c r="A3643" s="2">
        <v>3641</v>
      </c>
      <c r="B3643" t="s">
        <v>3753</v>
      </c>
      <c r="C3643" s="1">
        <v>46213</v>
      </c>
      <c r="D3643">
        <v>94.309039999999996</v>
      </c>
      <c r="E3643">
        <v>295.16957740999999</v>
      </c>
      <c r="F3643">
        <v>296.98827080000001</v>
      </c>
      <c r="G3643">
        <v>295.16957740999999</v>
      </c>
    </row>
    <row r="3644" spans="1:7" x14ac:dyDescent="0.25">
      <c r="A3644" s="2">
        <v>3642</v>
      </c>
      <c r="B3644" t="s">
        <v>3755</v>
      </c>
      <c r="C3644" s="1">
        <v>46213</v>
      </c>
      <c r="D3644">
        <v>90.298869999999994</v>
      </c>
      <c r="E3644">
        <v>527.42648072999998</v>
      </c>
      <c r="F3644">
        <v>529.39600569000004</v>
      </c>
      <c r="G3644">
        <v>527.42648072999998</v>
      </c>
    </row>
    <row r="3645" spans="1:7" x14ac:dyDescent="0.25">
      <c r="A3645" s="2">
        <v>3643</v>
      </c>
      <c r="B3645" t="s">
        <v>3757</v>
      </c>
      <c r="C3645" s="1">
        <v>46213</v>
      </c>
      <c r="D3645">
        <v>92.282380000000003</v>
      </c>
      <c r="E3645">
        <v>272.45984941</v>
      </c>
      <c r="F3645">
        <v>274.53452013999998</v>
      </c>
      <c r="G3645">
        <v>272.45984941</v>
      </c>
    </row>
    <row r="3646" spans="1:7" x14ac:dyDescent="0.25">
      <c r="A3646" s="2">
        <v>3644</v>
      </c>
      <c r="B3646" t="s">
        <v>3759</v>
      </c>
      <c r="C3646" s="1">
        <v>46213</v>
      </c>
      <c r="D3646">
        <v>98.818790000000007</v>
      </c>
      <c r="E3646">
        <v>332.41290995999998</v>
      </c>
      <c r="F3646">
        <v>334.46352128000001</v>
      </c>
      <c r="G3646">
        <v>332.41290995999998</v>
      </c>
    </row>
    <row r="3647" spans="1:7" x14ac:dyDescent="0.25">
      <c r="A3647" s="2">
        <v>3645</v>
      </c>
      <c r="B3647" t="s">
        <v>3761</v>
      </c>
      <c r="C3647" s="1">
        <v>46213</v>
      </c>
      <c r="D3647">
        <v>99.314480000000003</v>
      </c>
      <c r="E3647">
        <v>226.66315173000001</v>
      </c>
      <c r="F3647">
        <v>229.22842828</v>
      </c>
      <c r="G3647">
        <v>226.66315173000001</v>
      </c>
    </row>
    <row r="3648" spans="1:7" x14ac:dyDescent="0.25">
      <c r="A3648" s="2">
        <v>3646</v>
      </c>
      <c r="B3648" t="s">
        <v>3763</v>
      </c>
      <c r="C3648" s="1">
        <v>46213</v>
      </c>
    </row>
    <row r="3649" spans="1:7" x14ac:dyDescent="0.25">
      <c r="A3649" s="2">
        <v>3647</v>
      </c>
      <c r="B3649" t="s">
        <v>3765</v>
      </c>
      <c r="C3649" s="1">
        <v>46213</v>
      </c>
    </row>
    <row r="3650" spans="1:7" x14ac:dyDescent="0.25">
      <c r="A3650" s="2">
        <v>3648</v>
      </c>
      <c r="B3650" t="s">
        <v>3766</v>
      </c>
      <c r="C3650" s="1">
        <v>46213</v>
      </c>
    </row>
    <row r="3651" spans="1:7" x14ac:dyDescent="0.25">
      <c r="A3651" s="2">
        <v>3649</v>
      </c>
      <c r="B3651" t="s">
        <v>3768</v>
      </c>
      <c r="C3651" s="1">
        <v>46213</v>
      </c>
      <c r="D3651">
        <v>100.25</v>
      </c>
      <c r="F3651">
        <v>738.53966146000005</v>
      </c>
    </row>
    <row r="3652" spans="1:7" x14ac:dyDescent="0.25">
      <c r="A3652" s="2">
        <v>3650</v>
      </c>
      <c r="B3652" t="s">
        <v>1860</v>
      </c>
      <c r="C3652" s="1">
        <v>46213</v>
      </c>
      <c r="D3652">
        <v>86.572000000000003</v>
      </c>
      <c r="E3652">
        <v>889.27700000000004</v>
      </c>
      <c r="F3652">
        <v>851.25300000000004</v>
      </c>
      <c r="G3652">
        <v>889.27700000000004</v>
      </c>
    </row>
    <row r="3653" spans="1:7" x14ac:dyDescent="0.25">
      <c r="A3653" s="2">
        <v>3651</v>
      </c>
      <c r="B3653" t="s">
        <v>1864</v>
      </c>
      <c r="C3653" s="1">
        <v>46213</v>
      </c>
      <c r="D3653">
        <v>86.745999999999995</v>
      </c>
      <c r="E3653">
        <v>764.06387689999997</v>
      </c>
      <c r="F3653">
        <v>762.05401645999996</v>
      </c>
      <c r="G3653">
        <v>764.06387689999997</v>
      </c>
    </row>
    <row r="3654" spans="1:7" x14ac:dyDescent="0.25">
      <c r="A3654" s="2">
        <v>3652</v>
      </c>
      <c r="B3654" t="s">
        <v>1866</v>
      </c>
      <c r="C3654" s="1">
        <v>46213</v>
      </c>
      <c r="D3654">
        <v>86.875</v>
      </c>
      <c r="F3654">
        <v>1076.03675535</v>
      </c>
    </row>
    <row r="3655" spans="1:7" x14ac:dyDescent="0.25">
      <c r="A3655" s="2">
        <v>3653</v>
      </c>
      <c r="B3655" t="s">
        <v>1868</v>
      </c>
      <c r="C3655" s="1">
        <v>46213</v>
      </c>
      <c r="D3655">
        <v>84</v>
      </c>
      <c r="F3655">
        <v>1191.6900015599999</v>
      </c>
    </row>
    <row r="3656" spans="1:7" x14ac:dyDescent="0.25">
      <c r="A3656" s="2">
        <v>3654</v>
      </c>
      <c r="B3656" t="s">
        <v>1870</v>
      </c>
      <c r="C3656" s="1">
        <v>46213</v>
      </c>
      <c r="D3656">
        <v>87</v>
      </c>
      <c r="F3656">
        <v>1027.48870444</v>
      </c>
    </row>
    <row r="3657" spans="1:7" x14ac:dyDescent="0.25">
      <c r="A3657" s="2">
        <v>3655</v>
      </c>
      <c r="B3657" t="s">
        <v>1871</v>
      </c>
      <c r="C3657" s="1">
        <v>46213</v>
      </c>
    </row>
    <row r="3658" spans="1:7" x14ac:dyDescent="0.25">
      <c r="A3658" s="2">
        <v>3656</v>
      </c>
      <c r="B3658" t="s">
        <v>1485</v>
      </c>
      <c r="C3658" s="1">
        <v>46213</v>
      </c>
    </row>
    <row r="3659" spans="1:7" x14ac:dyDescent="0.25">
      <c r="A3659" s="2">
        <v>3657</v>
      </c>
      <c r="B3659" t="s">
        <v>1491</v>
      </c>
      <c r="C3659" s="1">
        <v>46213</v>
      </c>
    </row>
    <row r="3660" spans="1:7" x14ac:dyDescent="0.25">
      <c r="A3660" s="2">
        <v>3658</v>
      </c>
      <c r="B3660" t="s">
        <v>1493</v>
      </c>
      <c r="C3660" s="1">
        <v>46213</v>
      </c>
    </row>
    <row r="3661" spans="1:7" x14ac:dyDescent="0.25">
      <c r="A3661" s="2">
        <v>3659</v>
      </c>
      <c r="B3661" t="s">
        <v>1495</v>
      </c>
      <c r="C3661" s="1">
        <v>46213</v>
      </c>
      <c r="D3661">
        <v>79.00788</v>
      </c>
      <c r="E3661">
        <v>1402.65676811</v>
      </c>
      <c r="F3661">
        <v>1404.9559017399999</v>
      </c>
      <c r="G3661">
        <v>1402.65676811</v>
      </c>
    </row>
    <row r="3662" spans="1:7" x14ac:dyDescent="0.25">
      <c r="A3662" s="2">
        <v>3660</v>
      </c>
      <c r="B3662" t="s">
        <v>1497</v>
      </c>
      <c r="C3662" s="1">
        <v>46213</v>
      </c>
      <c r="D3662">
        <v>88</v>
      </c>
      <c r="F3662">
        <v>887.77220398999998</v>
      </c>
    </row>
    <row r="3663" spans="1:7" x14ac:dyDescent="0.25">
      <c r="A3663" s="2">
        <v>3661</v>
      </c>
      <c r="B3663" t="s">
        <v>1873</v>
      </c>
      <c r="C3663" s="1">
        <v>46213</v>
      </c>
    </row>
    <row r="3664" spans="1:7" x14ac:dyDescent="0.25">
      <c r="A3664" s="2">
        <v>3662</v>
      </c>
      <c r="B3664" t="s">
        <v>1877</v>
      </c>
      <c r="C3664" s="1">
        <v>46213</v>
      </c>
    </row>
    <row r="3665" spans="1:7" x14ac:dyDescent="0.25">
      <c r="A3665" s="2">
        <v>3663</v>
      </c>
      <c r="B3665" t="s">
        <v>1879</v>
      </c>
      <c r="C3665" s="1">
        <v>46213</v>
      </c>
      <c r="D3665">
        <v>91.5625</v>
      </c>
      <c r="F3665">
        <v>758.74542372999997</v>
      </c>
    </row>
    <row r="3666" spans="1:7" x14ac:dyDescent="0.25">
      <c r="A3666" s="2">
        <v>3664</v>
      </c>
      <c r="B3666" t="s">
        <v>1880</v>
      </c>
      <c r="C3666" s="1">
        <v>46213</v>
      </c>
    </row>
    <row r="3667" spans="1:7" x14ac:dyDescent="0.25">
      <c r="A3667" s="2">
        <v>3665</v>
      </c>
      <c r="B3667" t="s">
        <v>1882</v>
      </c>
      <c r="C3667" s="1">
        <v>46213</v>
      </c>
      <c r="D3667">
        <v>61.5</v>
      </c>
      <c r="F3667">
        <v>3342.0981824</v>
      </c>
    </row>
    <row r="3668" spans="1:7" x14ac:dyDescent="0.25">
      <c r="A3668" s="2">
        <v>3666</v>
      </c>
      <c r="B3668" t="s">
        <v>1884</v>
      </c>
      <c r="C3668" s="1">
        <v>46213</v>
      </c>
      <c r="D3668">
        <v>66.5</v>
      </c>
      <c r="F3668">
        <v>3706.8968318299999</v>
      </c>
    </row>
    <row r="3669" spans="1:7" x14ac:dyDescent="0.25">
      <c r="A3669" s="2">
        <v>3667</v>
      </c>
      <c r="B3669" t="s">
        <v>1885</v>
      </c>
      <c r="C3669" s="1">
        <v>46213</v>
      </c>
      <c r="D3669">
        <v>92.625</v>
      </c>
      <c r="F3669">
        <v>647.22411677000002</v>
      </c>
    </row>
    <row r="3670" spans="1:7" x14ac:dyDescent="0.25">
      <c r="A3670" s="2">
        <v>3668</v>
      </c>
      <c r="B3670" t="s">
        <v>3519</v>
      </c>
      <c r="C3670" s="1">
        <v>46213</v>
      </c>
      <c r="D3670">
        <v>33.75</v>
      </c>
      <c r="F3670">
        <v>4564.3196227600001</v>
      </c>
    </row>
    <row r="3671" spans="1:7" x14ac:dyDescent="0.25">
      <c r="A3671" s="2">
        <v>3669</v>
      </c>
      <c r="B3671" t="s">
        <v>3524</v>
      </c>
      <c r="C3671" s="1">
        <v>46213</v>
      </c>
      <c r="D3671">
        <v>67</v>
      </c>
      <c r="F3671">
        <v>1919.8057696000001</v>
      </c>
    </row>
    <row r="3672" spans="1:7" x14ac:dyDescent="0.25">
      <c r="A3672" s="2">
        <v>3670</v>
      </c>
      <c r="B3672" t="s">
        <v>3526</v>
      </c>
      <c r="C3672" s="1">
        <v>46213</v>
      </c>
      <c r="D3672">
        <v>80</v>
      </c>
      <c r="F3672">
        <v>1019.88466428</v>
      </c>
    </row>
    <row r="3673" spans="1:7" x14ac:dyDescent="0.25">
      <c r="A3673" s="2">
        <v>3671</v>
      </c>
      <c r="B3673" t="s">
        <v>3532</v>
      </c>
      <c r="C3673" s="1">
        <v>46213</v>
      </c>
      <c r="D3673">
        <v>83</v>
      </c>
      <c r="F3673">
        <v>950.65898217999995</v>
      </c>
    </row>
    <row r="3674" spans="1:7" x14ac:dyDescent="0.25">
      <c r="A3674" s="2">
        <v>3672</v>
      </c>
      <c r="B3674" t="s">
        <v>3534</v>
      </c>
      <c r="C3674" s="1">
        <v>46213</v>
      </c>
      <c r="D3674">
        <v>80.25</v>
      </c>
      <c r="F3674">
        <v>1074.94927985</v>
      </c>
    </row>
    <row r="3675" spans="1:7" x14ac:dyDescent="0.25">
      <c r="A3675" s="2">
        <v>3673</v>
      </c>
      <c r="B3675" t="s">
        <v>1910</v>
      </c>
      <c r="C3675" s="1">
        <v>46213</v>
      </c>
      <c r="D3675">
        <v>55.5</v>
      </c>
      <c r="F3675">
        <v>3250.92258283</v>
      </c>
    </row>
    <row r="3676" spans="1:7" x14ac:dyDescent="0.25">
      <c r="A3676" s="2">
        <v>3674</v>
      </c>
      <c r="B3676" t="s">
        <v>1914</v>
      </c>
      <c r="C3676" s="1">
        <v>46213</v>
      </c>
      <c r="D3676">
        <v>52.5</v>
      </c>
      <c r="F3676">
        <v>2389.99945269</v>
      </c>
    </row>
    <row r="3677" spans="1:7" x14ac:dyDescent="0.25">
      <c r="A3677" s="2">
        <v>3675</v>
      </c>
      <c r="B3677" t="s">
        <v>1915</v>
      </c>
      <c r="C3677" s="1">
        <v>46213</v>
      </c>
      <c r="D3677">
        <v>62.5</v>
      </c>
    </row>
    <row r="3678" spans="1:7" x14ac:dyDescent="0.25">
      <c r="A3678" s="2">
        <v>3676</v>
      </c>
      <c r="B3678" t="s">
        <v>3536</v>
      </c>
      <c r="C3678" s="1">
        <v>46213</v>
      </c>
      <c r="D3678">
        <v>44.065240000000003</v>
      </c>
      <c r="E3678">
        <v>7180.21670395</v>
      </c>
      <c r="F3678">
        <v>7183.9785447000004</v>
      </c>
      <c r="G3678">
        <v>7180.21670395</v>
      </c>
    </row>
    <row r="3679" spans="1:7" x14ac:dyDescent="0.25">
      <c r="A3679" s="2">
        <v>3677</v>
      </c>
      <c r="B3679" t="s">
        <v>3540</v>
      </c>
      <c r="C3679" s="1">
        <v>46213</v>
      </c>
      <c r="D3679">
        <v>20.621500000000001</v>
      </c>
      <c r="E3679">
        <v>6324.5883618099997</v>
      </c>
      <c r="F3679">
        <v>6327.2321621700003</v>
      </c>
      <c r="G3679">
        <v>6324.5883618099997</v>
      </c>
    </row>
    <row r="3680" spans="1:7" x14ac:dyDescent="0.25">
      <c r="A3680" s="2">
        <v>3678</v>
      </c>
      <c r="B3680" t="s">
        <v>3542</v>
      </c>
      <c r="C3680" s="1">
        <v>46213</v>
      </c>
      <c r="D3680">
        <v>44.5</v>
      </c>
      <c r="F3680">
        <v>2171.5488473300002</v>
      </c>
    </row>
    <row r="3681" spans="1:6" x14ac:dyDescent="0.25">
      <c r="A3681" s="2">
        <v>3679</v>
      </c>
      <c r="B3681" t="s">
        <v>3544</v>
      </c>
      <c r="C3681" s="1">
        <v>46213</v>
      </c>
      <c r="D3681">
        <v>48</v>
      </c>
      <c r="F3681">
        <v>2828.8591732</v>
      </c>
    </row>
    <row r="3682" spans="1:6" x14ac:dyDescent="0.25">
      <c r="A3682" s="2">
        <v>3680</v>
      </c>
      <c r="B3682" t="s">
        <v>3546</v>
      </c>
      <c r="C3682" s="1">
        <v>46213</v>
      </c>
      <c r="D3682">
        <v>48</v>
      </c>
      <c r="F3682">
        <v>2747.4934546899999</v>
      </c>
    </row>
    <row r="3683" spans="1:6" x14ac:dyDescent="0.25">
      <c r="A3683" s="2">
        <v>3681</v>
      </c>
      <c r="B3683" t="s">
        <v>3548</v>
      </c>
      <c r="C3683" s="1">
        <v>46213</v>
      </c>
      <c r="D3683">
        <v>100.25</v>
      </c>
      <c r="F3683">
        <v>611.16290222999999</v>
      </c>
    </row>
    <row r="3684" spans="1:6" x14ac:dyDescent="0.25">
      <c r="A3684" s="2">
        <v>3682</v>
      </c>
      <c r="B3684" t="s">
        <v>3550</v>
      </c>
      <c r="C3684" s="1">
        <v>46213</v>
      </c>
      <c r="D3684">
        <v>100.125</v>
      </c>
      <c r="F3684">
        <v>691.82927367000002</v>
      </c>
    </row>
    <row r="3685" spans="1:6" x14ac:dyDescent="0.25">
      <c r="A3685" s="2">
        <v>3683</v>
      </c>
      <c r="B3685" t="s">
        <v>1932</v>
      </c>
      <c r="C3685" s="1">
        <v>46213</v>
      </c>
      <c r="D3685">
        <v>94.25</v>
      </c>
      <c r="F3685">
        <v>556.64766047000001</v>
      </c>
    </row>
    <row r="3686" spans="1:6" x14ac:dyDescent="0.25">
      <c r="A3686" s="2">
        <v>3684</v>
      </c>
      <c r="B3686" t="s">
        <v>1946</v>
      </c>
      <c r="C3686" s="1">
        <v>46213</v>
      </c>
      <c r="D3686">
        <v>86</v>
      </c>
      <c r="F3686">
        <v>2773.42957897</v>
      </c>
    </row>
    <row r="3687" spans="1:6" x14ac:dyDescent="0.25">
      <c r="A3687" s="2">
        <v>3685</v>
      </c>
      <c r="B3687" t="s">
        <v>1936</v>
      </c>
      <c r="C3687" s="1">
        <v>46213</v>
      </c>
    </row>
    <row r="3688" spans="1:6" x14ac:dyDescent="0.25">
      <c r="A3688" s="2">
        <v>3686</v>
      </c>
      <c r="B3688" t="s">
        <v>1940</v>
      </c>
      <c r="C3688" s="1">
        <v>46213</v>
      </c>
      <c r="D3688">
        <v>68.5</v>
      </c>
    </row>
    <row r="3689" spans="1:6" x14ac:dyDescent="0.25">
      <c r="A3689" s="2">
        <v>3687</v>
      </c>
      <c r="B3689" t="s">
        <v>1942</v>
      </c>
      <c r="C3689" s="1">
        <v>46213</v>
      </c>
    </row>
    <row r="3690" spans="1:6" x14ac:dyDescent="0.25">
      <c r="A3690" s="2">
        <v>3688</v>
      </c>
      <c r="B3690" t="s">
        <v>1944</v>
      </c>
      <c r="C3690" s="1">
        <v>46213</v>
      </c>
      <c r="D3690">
        <v>70</v>
      </c>
      <c r="F3690">
        <v>5782.5105889699998</v>
      </c>
    </row>
    <row r="3691" spans="1:6" x14ac:dyDescent="0.25">
      <c r="A3691" s="2">
        <v>3689</v>
      </c>
      <c r="B3691" t="s">
        <v>1950</v>
      </c>
      <c r="C3691" s="1">
        <v>46213</v>
      </c>
      <c r="D3691">
        <v>94.5</v>
      </c>
      <c r="F3691">
        <v>657.39518081999995</v>
      </c>
    </row>
    <row r="3692" spans="1:6" x14ac:dyDescent="0.25">
      <c r="A3692" s="2">
        <v>3690</v>
      </c>
      <c r="B3692" t="s">
        <v>1954</v>
      </c>
      <c r="C3692" s="1">
        <v>46213</v>
      </c>
      <c r="D3692">
        <v>98.5</v>
      </c>
      <c r="F3692">
        <v>687.75729978000004</v>
      </c>
    </row>
    <row r="3693" spans="1:6" x14ac:dyDescent="0.25">
      <c r="A3693" s="2">
        <v>3691</v>
      </c>
      <c r="B3693" t="s">
        <v>1956</v>
      </c>
      <c r="C3693" s="1">
        <v>46213</v>
      </c>
      <c r="D3693">
        <v>59</v>
      </c>
      <c r="F3693">
        <v>2488.7036147899998</v>
      </c>
    </row>
    <row r="3694" spans="1:6" x14ac:dyDescent="0.25">
      <c r="A3694" s="2">
        <v>3692</v>
      </c>
      <c r="B3694" t="s">
        <v>1958</v>
      </c>
      <c r="C3694" s="1">
        <v>46213</v>
      </c>
      <c r="D3694">
        <v>59</v>
      </c>
      <c r="F3694">
        <v>3268.9878918300001</v>
      </c>
    </row>
    <row r="3695" spans="1:6" x14ac:dyDescent="0.25">
      <c r="A3695" s="2">
        <v>3693</v>
      </c>
      <c r="B3695" t="s">
        <v>1960</v>
      </c>
      <c r="C3695" s="1">
        <v>46213</v>
      </c>
      <c r="D3695">
        <v>9.5</v>
      </c>
      <c r="F3695">
        <v>13008.516261590001</v>
      </c>
    </row>
    <row r="3696" spans="1:6" x14ac:dyDescent="0.25">
      <c r="A3696" s="2">
        <v>3694</v>
      </c>
      <c r="B3696" t="s">
        <v>1962</v>
      </c>
      <c r="C3696" s="1">
        <v>46213</v>
      </c>
      <c r="D3696">
        <v>9.5</v>
      </c>
      <c r="F3696">
        <v>14565.027410410001</v>
      </c>
    </row>
    <row r="3697" spans="1:7" x14ac:dyDescent="0.25">
      <c r="A3697" s="2">
        <v>3695</v>
      </c>
      <c r="B3697" t="s">
        <v>1964</v>
      </c>
      <c r="C3697" s="1">
        <v>46213</v>
      </c>
      <c r="D3697">
        <v>15.91028</v>
      </c>
      <c r="F3697">
        <v>16260.43190401</v>
      </c>
    </row>
    <row r="3698" spans="1:7" x14ac:dyDescent="0.25">
      <c r="A3698" s="2">
        <v>3696</v>
      </c>
      <c r="B3698" t="s">
        <v>1966</v>
      </c>
      <c r="C3698" s="1">
        <v>46213</v>
      </c>
      <c r="D3698">
        <v>42.781440000000003</v>
      </c>
      <c r="F3698">
        <v>9661.8300624000003</v>
      </c>
    </row>
    <row r="3699" spans="1:7" x14ac:dyDescent="0.25">
      <c r="A3699" s="2">
        <v>3697</v>
      </c>
      <c r="B3699" t="s">
        <v>1917</v>
      </c>
      <c r="C3699" s="1">
        <v>46213</v>
      </c>
      <c r="D3699">
        <v>68.207440000000005</v>
      </c>
      <c r="E3699">
        <v>1392.0259807499999</v>
      </c>
      <c r="F3699">
        <v>1393.1410183800001</v>
      </c>
      <c r="G3699">
        <v>1392.0259807499999</v>
      </c>
    </row>
    <row r="3700" spans="1:7" x14ac:dyDescent="0.25">
      <c r="A3700" s="2">
        <v>3698</v>
      </c>
      <c r="B3700" t="s">
        <v>1921</v>
      </c>
      <c r="C3700" s="1">
        <v>46213</v>
      </c>
      <c r="D3700">
        <v>67.914460000000005</v>
      </c>
      <c r="E3700">
        <v>1396.32428802</v>
      </c>
      <c r="F3700">
        <v>1397.4387664999999</v>
      </c>
      <c r="G3700">
        <v>1396.32428802</v>
      </c>
    </row>
    <row r="3701" spans="1:7" x14ac:dyDescent="0.25">
      <c r="A3701" s="2">
        <v>3699</v>
      </c>
      <c r="B3701" t="s">
        <v>1922</v>
      </c>
      <c r="C3701" s="1">
        <v>46213</v>
      </c>
      <c r="D3701">
        <v>93.533259999999999</v>
      </c>
      <c r="E3701">
        <v>646.51932854999995</v>
      </c>
      <c r="F3701">
        <v>648.23310928000001</v>
      </c>
      <c r="G3701">
        <v>646.51932854999995</v>
      </c>
    </row>
    <row r="3702" spans="1:7" x14ac:dyDescent="0.25">
      <c r="A3702" s="2">
        <v>3700</v>
      </c>
      <c r="B3702" t="s">
        <v>1924</v>
      </c>
      <c r="C3702" s="1">
        <v>46213</v>
      </c>
      <c r="D3702">
        <v>57.944769999999998</v>
      </c>
      <c r="E3702">
        <v>1962.0769815900001</v>
      </c>
      <c r="F3702">
        <v>1964.1086037600001</v>
      </c>
      <c r="G3702">
        <v>1962.0769815900001</v>
      </c>
    </row>
    <row r="3703" spans="1:7" x14ac:dyDescent="0.25">
      <c r="A3703" s="2">
        <v>3701</v>
      </c>
      <c r="B3703" t="s">
        <v>1926</v>
      </c>
      <c r="C3703" s="1">
        <v>46213</v>
      </c>
      <c r="D3703">
        <v>77.970070000000007</v>
      </c>
      <c r="E3703">
        <v>1059.6700847</v>
      </c>
      <c r="F3703">
        <v>1062.9055106799999</v>
      </c>
      <c r="G3703">
        <v>1059.6700847</v>
      </c>
    </row>
    <row r="3704" spans="1:7" x14ac:dyDescent="0.25">
      <c r="A3704" s="2">
        <v>3702</v>
      </c>
      <c r="B3704" t="s">
        <v>1928</v>
      </c>
      <c r="C3704" s="1">
        <v>46213</v>
      </c>
      <c r="D3704">
        <v>95</v>
      </c>
      <c r="F3704">
        <v>586.69308664000005</v>
      </c>
    </row>
    <row r="3705" spans="1:7" x14ac:dyDescent="0.25">
      <c r="A3705" s="2">
        <v>3703</v>
      </c>
      <c r="B3705" t="s">
        <v>1930</v>
      </c>
      <c r="C3705" s="1">
        <v>46213</v>
      </c>
    </row>
    <row r="3706" spans="1:7" x14ac:dyDescent="0.25">
      <c r="A3706" s="2">
        <v>3704</v>
      </c>
      <c r="B3706" t="s">
        <v>1291</v>
      </c>
      <c r="C3706" s="1">
        <v>46213</v>
      </c>
      <c r="D3706">
        <v>98.539069999999995</v>
      </c>
      <c r="E3706">
        <v>561.74506164000002</v>
      </c>
      <c r="F3706">
        <v>563.66349035999997</v>
      </c>
      <c r="G3706">
        <v>561.74506164000002</v>
      </c>
    </row>
    <row r="3707" spans="1:7" x14ac:dyDescent="0.25">
      <c r="A3707" s="2">
        <v>3705</v>
      </c>
      <c r="B3707" t="s">
        <v>1295</v>
      </c>
      <c r="C3707" s="1">
        <v>46213</v>
      </c>
      <c r="D3707">
        <v>85.986720000000005</v>
      </c>
      <c r="E3707">
        <v>628.77953656</v>
      </c>
      <c r="F3707">
        <v>630.03331478999996</v>
      </c>
      <c r="G3707">
        <v>628.77953656</v>
      </c>
    </row>
    <row r="3708" spans="1:7" x14ac:dyDescent="0.25">
      <c r="A3708" s="2">
        <v>3706</v>
      </c>
      <c r="B3708" t="s">
        <v>1297</v>
      </c>
      <c r="C3708" s="1">
        <v>46213</v>
      </c>
      <c r="D3708">
        <v>88.860519999999994</v>
      </c>
      <c r="E3708">
        <v>662.92783757999996</v>
      </c>
      <c r="F3708">
        <v>664.00763833999997</v>
      </c>
      <c r="G3708">
        <v>662.92783757999996</v>
      </c>
    </row>
    <row r="3709" spans="1:7" x14ac:dyDescent="0.25">
      <c r="A3709" s="2">
        <v>3707</v>
      </c>
      <c r="B3709" t="s">
        <v>1299</v>
      </c>
      <c r="C3709" s="1">
        <v>46213</v>
      </c>
      <c r="D3709">
        <v>95.58614</v>
      </c>
      <c r="E3709">
        <v>423.07863115999999</v>
      </c>
      <c r="F3709">
        <v>425.02140434</v>
      </c>
      <c r="G3709">
        <v>423.07863115999999</v>
      </c>
    </row>
    <row r="3710" spans="1:7" x14ac:dyDescent="0.25">
      <c r="A3710" s="2">
        <v>3708</v>
      </c>
      <c r="B3710" t="s">
        <v>1301</v>
      </c>
      <c r="C3710" s="1">
        <v>46213</v>
      </c>
      <c r="D3710">
        <v>98.914950000000005</v>
      </c>
      <c r="E3710">
        <v>286.51985908</v>
      </c>
      <c r="F3710">
        <v>289.51495743999999</v>
      </c>
      <c r="G3710">
        <v>286.51985908</v>
      </c>
    </row>
    <row r="3711" spans="1:7" x14ac:dyDescent="0.25">
      <c r="A3711" s="2">
        <v>3709</v>
      </c>
      <c r="B3711" t="s">
        <v>3769</v>
      </c>
      <c r="C3711" s="1">
        <v>46213</v>
      </c>
      <c r="D3711">
        <v>95.473860000000002</v>
      </c>
      <c r="E3711">
        <v>557.55257800000004</v>
      </c>
      <c r="F3711">
        <v>559.84169616999998</v>
      </c>
      <c r="G3711">
        <v>557.55257800000004</v>
      </c>
    </row>
    <row r="3712" spans="1:7" x14ac:dyDescent="0.25">
      <c r="A3712" s="2">
        <v>3710</v>
      </c>
      <c r="B3712" t="s">
        <v>3773</v>
      </c>
      <c r="C3712" s="1">
        <v>46213</v>
      </c>
      <c r="D3712">
        <v>102.81319999999999</v>
      </c>
      <c r="E3712">
        <v>-43.396392200000001</v>
      </c>
      <c r="F3712">
        <v>-34.848461899999997</v>
      </c>
      <c r="G3712">
        <v>-43.396392200000001</v>
      </c>
    </row>
    <row r="3713" spans="1:7" x14ac:dyDescent="0.25">
      <c r="A3713" s="2">
        <v>3711</v>
      </c>
      <c r="B3713" t="s">
        <v>3775</v>
      </c>
      <c r="C3713" s="1">
        <v>46213</v>
      </c>
      <c r="D3713">
        <v>108.1949</v>
      </c>
      <c r="E3713">
        <v>-73.145020209999998</v>
      </c>
      <c r="F3713">
        <v>-65.49880727</v>
      </c>
      <c r="G3713">
        <v>-73.145020209999998</v>
      </c>
    </row>
    <row r="3714" spans="1:7" x14ac:dyDescent="0.25">
      <c r="A3714" s="2">
        <v>3712</v>
      </c>
      <c r="B3714" t="s">
        <v>3777</v>
      </c>
      <c r="C3714" s="1">
        <v>46213</v>
      </c>
      <c r="D3714">
        <v>297.2133</v>
      </c>
      <c r="F3714">
        <v>-2517.38731912</v>
      </c>
    </row>
    <row r="3715" spans="1:7" x14ac:dyDescent="0.25">
      <c r="A3715" s="2">
        <v>3713</v>
      </c>
      <c r="B3715" t="s">
        <v>3779</v>
      </c>
      <c r="C3715" s="1">
        <v>46213</v>
      </c>
      <c r="D3715">
        <v>101.5586</v>
      </c>
      <c r="F3715">
        <v>157.22875782</v>
      </c>
    </row>
    <row r="3716" spans="1:7" x14ac:dyDescent="0.25">
      <c r="A3716" s="2">
        <v>3714</v>
      </c>
      <c r="B3716" t="s">
        <v>3781</v>
      </c>
      <c r="C3716" s="1">
        <v>46213</v>
      </c>
      <c r="D3716">
        <v>98.863780000000006</v>
      </c>
      <c r="E3716">
        <v>392.92657064999997</v>
      </c>
      <c r="F3716">
        <v>-363.6344206</v>
      </c>
      <c r="G3716">
        <v>392.92657064999997</v>
      </c>
    </row>
    <row r="3717" spans="1:7" x14ac:dyDescent="0.25">
      <c r="A3717" s="2">
        <v>3715</v>
      </c>
      <c r="B3717" t="s">
        <v>3783</v>
      </c>
      <c r="C3717" s="1">
        <v>46213</v>
      </c>
      <c r="D3717">
        <v>99.060299999999998</v>
      </c>
      <c r="E3717">
        <v>3016.7275768700001</v>
      </c>
      <c r="F3717">
        <v>2815.0049037399999</v>
      </c>
      <c r="G3717">
        <v>3016.7275768700001</v>
      </c>
    </row>
    <row r="3718" spans="1:7" x14ac:dyDescent="0.25">
      <c r="A3718" s="2">
        <v>3716</v>
      </c>
      <c r="B3718" t="s">
        <v>3785</v>
      </c>
      <c r="C3718" s="1">
        <v>46213</v>
      </c>
      <c r="D3718">
        <v>48.201059999999998</v>
      </c>
      <c r="E3718">
        <v>89075.267770570004</v>
      </c>
      <c r="F3718">
        <v>98486.024278319994</v>
      </c>
      <c r="G3718">
        <v>89075.267770570004</v>
      </c>
    </row>
    <row r="3719" spans="1:7" x14ac:dyDescent="0.25">
      <c r="A3719" s="2">
        <v>3717</v>
      </c>
      <c r="B3719" t="s">
        <v>3787</v>
      </c>
      <c r="C3719" s="1">
        <v>46213</v>
      </c>
      <c r="D3719">
        <v>79.514399999999995</v>
      </c>
      <c r="E3719">
        <v>79506.544860990005</v>
      </c>
      <c r="F3719">
        <v>55045.647578999997</v>
      </c>
      <c r="G3719">
        <v>79506.544860990005</v>
      </c>
    </row>
    <row r="3720" spans="1:7" x14ac:dyDescent="0.25">
      <c r="A3720" s="2">
        <v>3718</v>
      </c>
      <c r="B3720" t="s">
        <v>3789</v>
      </c>
      <c r="C3720" s="1">
        <v>46213</v>
      </c>
      <c r="D3720">
        <v>98.863780000000006</v>
      </c>
      <c r="E3720">
        <v>392.92657064999997</v>
      </c>
      <c r="F3720">
        <v>-363.6344206</v>
      </c>
      <c r="G3720">
        <v>392.92657064999997</v>
      </c>
    </row>
    <row r="3721" spans="1:7" x14ac:dyDescent="0.25">
      <c r="A3721" s="2">
        <v>3719</v>
      </c>
      <c r="B3721" t="s">
        <v>3790</v>
      </c>
      <c r="C3721" s="1">
        <v>46213</v>
      </c>
      <c r="D3721">
        <v>96.827749999999995</v>
      </c>
      <c r="E3721">
        <v>314.20637281</v>
      </c>
      <c r="F3721">
        <v>316.58370709000002</v>
      </c>
      <c r="G3721">
        <v>314.20637281</v>
      </c>
    </row>
    <row r="3722" spans="1:7" x14ac:dyDescent="0.25">
      <c r="A3722" s="2">
        <v>3720</v>
      </c>
      <c r="B3722" t="s">
        <v>3792</v>
      </c>
      <c r="C3722" s="1">
        <v>46213</v>
      </c>
      <c r="D3722">
        <v>99.281300000000002</v>
      </c>
      <c r="E3722">
        <v>271.97769627000002</v>
      </c>
      <c r="F3722">
        <v>277.66352995</v>
      </c>
      <c r="G3722">
        <v>271.97769627000002</v>
      </c>
    </row>
    <row r="3723" spans="1:7" x14ac:dyDescent="0.25">
      <c r="A3723" s="2">
        <v>3721</v>
      </c>
      <c r="B3723" t="s">
        <v>3794</v>
      </c>
      <c r="C3723" s="1">
        <v>46213</v>
      </c>
      <c r="D3723">
        <v>90.771169999999998</v>
      </c>
      <c r="E3723">
        <v>496.82758717000002</v>
      </c>
      <c r="F3723">
        <v>499.17462971999998</v>
      </c>
      <c r="G3723">
        <v>496.82758717000002</v>
      </c>
    </row>
    <row r="3724" spans="1:7" x14ac:dyDescent="0.25">
      <c r="A3724" s="2">
        <v>3722</v>
      </c>
      <c r="B3724" t="s">
        <v>3796</v>
      </c>
      <c r="C3724" s="1">
        <v>46213</v>
      </c>
      <c r="D3724">
        <v>90.771169999999998</v>
      </c>
      <c r="E3724">
        <v>496.82758717000002</v>
      </c>
      <c r="F3724">
        <v>499.17462971999998</v>
      </c>
      <c r="G3724">
        <v>496.82758717000002</v>
      </c>
    </row>
    <row r="3725" spans="1:7" x14ac:dyDescent="0.25">
      <c r="A3725" s="2">
        <v>3723</v>
      </c>
      <c r="B3725" t="s">
        <v>3797</v>
      </c>
      <c r="C3725" s="1">
        <v>46213</v>
      </c>
      <c r="D3725">
        <v>95.473860000000002</v>
      </c>
      <c r="E3725">
        <v>557.55257800000004</v>
      </c>
      <c r="F3725">
        <v>559.84169616999998</v>
      </c>
      <c r="G3725">
        <v>557.55257800000004</v>
      </c>
    </row>
    <row r="3726" spans="1:7" x14ac:dyDescent="0.25">
      <c r="A3726" s="2">
        <v>3724</v>
      </c>
      <c r="B3726" t="s">
        <v>3798</v>
      </c>
      <c r="C3726" s="1">
        <v>46213</v>
      </c>
      <c r="D3726">
        <v>48.201059999999998</v>
      </c>
      <c r="E3726">
        <v>89075.267770570004</v>
      </c>
      <c r="F3726">
        <v>98486.024278319994</v>
      </c>
      <c r="G3726">
        <v>89075.267770570004</v>
      </c>
    </row>
    <row r="3727" spans="1:7" x14ac:dyDescent="0.25">
      <c r="A3727" s="2">
        <v>3725</v>
      </c>
      <c r="B3727" t="s">
        <v>3799</v>
      </c>
      <c r="C3727" s="1">
        <v>46213</v>
      </c>
      <c r="D3727">
        <v>79.514399999999995</v>
      </c>
      <c r="E3727">
        <v>79506.544860990005</v>
      </c>
      <c r="F3727">
        <v>55045.647578999997</v>
      </c>
      <c r="G3727">
        <v>79506.544860990005</v>
      </c>
    </row>
    <row r="3728" spans="1:7" x14ac:dyDescent="0.25">
      <c r="A3728" s="2">
        <v>3726</v>
      </c>
      <c r="B3728" t="s">
        <v>3552</v>
      </c>
      <c r="C3728" s="1">
        <v>46213</v>
      </c>
      <c r="D3728">
        <v>82.5</v>
      </c>
      <c r="F3728">
        <v>707.71202233999998</v>
      </c>
    </row>
    <row r="3729" spans="1:7" x14ac:dyDescent="0.25">
      <c r="A3729" s="2">
        <v>3727</v>
      </c>
      <c r="B3729" t="s">
        <v>1708</v>
      </c>
      <c r="C3729" s="1">
        <v>46213</v>
      </c>
      <c r="D3729">
        <v>21.304179999999999</v>
      </c>
      <c r="E3729">
        <v>12243.60003623</v>
      </c>
      <c r="F3729">
        <v>12245.99622015</v>
      </c>
      <c r="G3729">
        <v>12243.60003623</v>
      </c>
    </row>
    <row r="3730" spans="1:7" x14ac:dyDescent="0.25">
      <c r="A3730" s="2">
        <v>3728</v>
      </c>
      <c r="B3730" t="s">
        <v>1712</v>
      </c>
      <c r="C3730" s="1">
        <v>46213</v>
      </c>
      <c r="D3730">
        <v>76.852059999999994</v>
      </c>
      <c r="E3730">
        <v>1781.0152611399999</v>
      </c>
      <c r="F3730">
        <v>1783.7337508099999</v>
      </c>
      <c r="G3730">
        <v>1781.0152611399999</v>
      </c>
    </row>
    <row r="3731" spans="1:7" x14ac:dyDescent="0.25">
      <c r="A3731" s="2">
        <v>3729</v>
      </c>
      <c r="B3731" t="s">
        <v>1713</v>
      </c>
      <c r="C3731" s="1">
        <v>46213</v>
      </c>
      <c r="D3731">
        <v>100.4552</v>
      </c>
      <c r="E3731">
        <v>-82.595566890000001</v>
      </c>
      <c r="F3731">
        <v>-68.055483879999997</v>
      </c>
      <c r="G3731">
        <v>-82.595566890000001</v>
      </c>
    </row>
    <row r="3732" spans="1:7" x14ac:dyDescent="0.25">
      <c r="A3732" s="2">
        <v>3730</v>
      </c>
      <c r="B3732" t="s">
        <v>1715</v>
      </c>
      <c r="C3732" s="1">
        <v>46213</v>
      </c>
      <c r="D3732">
        <v>23</v>
      </c>
      <c r="F3732">
        <v>10865.708478750001</v>
      </c>
    </row>
    <row r="3733" spans="1:7" x14ac:dyDescent="0.25">
      <c r="A3733" s="2">
        <v>3731</v>
      </c>
      <c r="B3733" t="s">
        <v>1717</v>
      </c>
      <c r="C3733" s="1">
        <v>46213</v>
      </c>
      <c r="D3733">
        <v>82</v>
      </c>
      <c r="F3733">
        <v>1627.2754516699999</v>
      </c>
    </row>
    <row r="3734" spans="1:7" x14ac:dyDescent="0.25">
      <c r="A3734" s="2">
        <v>3732</v>
      </c>
      <c r="B3734" t="s">
        <v>1969</v>
      </c>
      <c r="C3734" s="1">
        <v>46213</v>
      </c>
      <c r="D3734">
        <v>93.38</v>
      </c>
      <c r="E3734">
        <v>754.35476251</v>
      </c>
      <c r="F3734">
        <v>751.67058040999996</v>
      </c>
      <c r="G3734">
        <v>754.35476251</v>
      </c>
    </row>
    <row r="3735" spans="1:7" x14ac:dyDescent="0.25">
      <c r="A3735" s="2">
        <v>3733</v>
      </c>
      <c r="B3735" t="s">
        <v>1973</v>
      </c>
      <c r="C3735" s="1">
        <v>46213</v>
      </c>
      <c r="D3735">
        <v>92.833439999999996</v>
      </c>
      <c r="E3735">
        <v>778.65942323000002</v>
      </c>
      <c r="F3735">
        <v>780.66418417</v>
      </c>
      <c r="G3735">
        <v>778.65942323000002</v>
      </c>
    </row>
    <row r="3736" spans="1:7" x14ac:dyDescent="0.25">
      <c r="A3736" s="2">
        <v>3734</v>
      </c>
      <c r="B3736" t="s">
        <v>2013</v>
      </c>
      <c r="C3736" s="1">
        <v>46213</v>
      </c>
      <c r="D3736">
        <v>88.5</v>
      </c>
      <c r="F3736">
        <v>598.98588872000005</v>
      </c>
    </row>
    <row r="3737" spans="1:7" x14ac:dyDescent="0.25">
      <c r="A3737" s="2">
        <v>3735</v>
      </c>
      <c r="B3737" t="s">
        <v>1975</v>
      </c>
      <c r="C3737" s="1">
        <v>46213</v>
      </c>
      <c r="E3737">
        <v>2898.0168617200002</v>
      </c>
      <c r="F3737">
        <v>2900.12173639</v>
      </c>
      <c r="G3737">
        <v>2898.0168617200002</v>
      </c>
    </row>
    <row r="3738" spans="1:7" x14ac:dyDescent="0.25">
      <c r="A3738" s="2">
        <v>3736</v>
      </c>
      <c r="B3738" t="s">
        <v>1979</v>
      </c>
      <c r="C3738" s="1">
        <v>46213</v>
      </c>
      <c r="D3738">
        <v>68.538640000000001</v>
      </c>
      <c r="E3738">
        <v>1887.3656733299999</v>
      </c>
      <c r="F3738">
        <v>1889.55504703</v>
      </c>
      <c r="G3738">
        <v>1887.3656733299999</v>
      </c>
    </row>
    <row r="3739" spans="1:7" x14ac:dyDescent="0.25">
      <c r="A3739" s="2">
        <v>3737</v>
      </c>
      <c r="B3739" t="s">
        <v>1981</v>
      </c>
      <c r="C3739" s="1">
        <v>46213</v>
      </c>
      <c r="D3739">
        <v>61.995420000000003</v>
      </c>
      <c r="E3739">
        <v>1735.8382385299999</v>
      </c>
      <c r="F3739">
        <v>1737.8611780399999</v>
      </c>
      <c r="G3739">
        <v>1735.8382385299999</v>
      </c>
    </row>
    <row r="3740" spans="1:7" x14ac:dyDescent="0.25">
      <c r="A3740" s="2">
        <v>3738</v>
      </c>
      <c r="B3740" t="s">
        <v>1983</v>
      </c>
      <c r="C3740" s="1">
        <v>46213</v>
      </c>
    </row>
    <row r="3741" spans="1:7" x14ac:dyDescent="0.25">
      <c r="A3741" s="2">
        <v>3739</v>
      </c>
      <c r="B3741" t="s">
        <v>1985</v>
      </c>
      <c r="C3741" s="1">
        <v>46213</v>
      </c>
      <c r="D3741">
        <v>96.5</v>
      </c>
      <c r="F3741">
        <v>696.38368475000004</v>
      </c>
    </row>
    <row r="3742" spans="1:7" x14ac:dyDescent="0.25">
      <c r="A3742" s="2">
        <v>3740</v>
      </c>
      <c r="B3742" t="s">
        <v>1987</v>
      </c>
      <c r="C3742" s="1">
        <v>46213</v>
      </c>
      <c r="D3742">
        <v>79</v>
      </c>
      <c r="F3742">
        <v>907.25346976000003</v>
      </c>
    </row>
    <row r="3743" spans="1:7" x14ac:dyDescent="0.25">
      <c r="A3743" s="2">
        <v>3741</v>
      </c>
      <c r="B3743" t="s">
        <v>3556</v>
      </c>
      <c r="C3743" s="1">
        <v>46213</v>
      </c>
    </row>
    <row r="3744" spans="1:7" x14ac:dyDescent="0.25">
      <c r="A3744" s="2">
        <v>3742</v>
      </c>
      <c r="B3744" t="s">
        <v>3560</v>
      </c>
      <c r="C3744" s="1">
        <v>46213</v>
      </c>
    </row>
    <row r="3745" spans="1:6" x14ac:dyDescent="0.25">
      <c r="A3745" s="2">
        <v>3743</v>
      </c>
      <c r="B3745" t="s">
        <v>3562</v>
      </c>
      <c r="C3745" s="1">
        <v>46213</v>
      </c>
    </row>
    <row r="3746" spans="1:6" x14ac:dyDescent="0.25">
      <c r="A3746" s="2">
        <v>3744</v>
      </c>
      <c r="B3746" t="s">
        <v>3564</v>
      </c>
      <c r="C3746" s="1">
        <v>46213</v>
      </c>
      <c r="D3746">
        <v>92.75</v>
      </c>
      <c r="F3746">
        <v>794.39561431000004</v>
      </c>
    </row>
    <row r="3747" spans="1:6" x14ac:dyDescent="0.25">
      <c r="A3747" s="2">
        <v>3745</v>
      </c>
      <c r="B3747" t="s">
        <v>1991</v>
      </c>
      <c r="C3747" s="1">
        <v>46213</v>
      </c>
      <c r="D3747">
        <v>1.9269719999999999</v>
      </c>
    </row>
    <row r="3748" spans="1:6" x14ac:dyDescent="0.25">
      <c r="A3748" s="2">
        <v>3746</v>
      </c>
      <c r="B3748" t="s">
        <v>1995</v>
      </c>
      <c r="C3748" s="1">
        <v>46213</v>
      </c>
    </row>
    <row r="3749" spans="1:6" x14ac:dyDescent="0.25">
      <c r="A3749" s="2">
        <v>3747</v>
      </c>
      <c r="B3749" t="s">
        <v>1997</v>
      </c>
      <c r="C3749" s="1">
        <v>46213</v>
      </c>
    </row>
    <row r="3750" spans="1:6" x14ac:dyDescent="0.25">
      <c r="A3750" s="2">
        <v>3748</v>
      </c>
      <c r="B3750" t="s">
        <v>1999</v>
      </c>
      <c r="C3750" s="1">
        <v>46213</v>
      </c>
    </row>
    <row r="3751" spans="1:6" x14ac:dyDescent="0.25">
      <c r="A3751" s="2">
        <v>3749</v>
      </c>
      <c r="B3751" t="s">
        <v>2001</v>
      </c>
      <c r="C3751" s="1">
        <v>46213</v>
      </c>
    </row>
    <row r="3752" spans="1:6" x14ac:dyDescent="0.25">
      <c r="A3752" s="2">
        <v>3750</v>
      </c>
      <c r="B3752" t="s">
        <v>2002</v>
      </c>
      <c r="C3752" s="1">
        <v>46213</v>
      </c>
      <c r="D3752">
        <v>74.5</v>
      </c>
    </row>
    <row r="3753" spans="1:6" x14ac:dyDescent="0.25">
      <c r="A3753" s="2">
        <v>3751</v>
      </c>
      <c r="B3753" t="s">
        <v>2004</v>
      </c>
      <c r="C3753" s="1">
        <v>46213</v>
      </c>
    </row>
    <row r="3754" spans="1:6" x14ac:dyDescent="0.25">
      <c r="A3754" s="2">
        <v>3752</v>
      </c>
      <c r="B3754" t="s">
        <v>2005</v>
      </c>
      <c r="C3754" s="1">
        <v>46213</v>
      </c>
      <c r="D3754">
        <v>97.5</v>
      </c>
    </row>
    <row r="3755" spans="1:6" x14ac:dyDescent="0.25">
      <c r="A3755" s="2">
        <v>3753</v>
      </c>
      <c r="B3755" t="s">
        <v>2006</v>
      </c>
      <c r="C3755" s="1">
        <v>46213</v>
      </c>
      <c r="D3755">
        <v>74.5</v>
      </c>
    </row>
    <row r="3756" spans="1:6" x14ac:dyDescent="0.25">
      <c r="A3756" s="2">
        <v>3754</v>
      </c>
      <c r="B3756" t="s">
        <v>2007</v>
      </c>
      <c r="C3756" s="1">
        <v>46213</v>
      </c>
      <c r="D3756">
        <v>14.25</v>
      </c>
    </row>
    <row r="3757" spans="1:6" x14ac:dyDescent="0.25">
      <c r="A3757" s="2">
        <v>3755</v>
      </c>
      <c r="B3757" t="s">
        <v>2009</v>
      </c>
      <c r="C3757" s="1">
        <v>46213</v>
      </c>
      <c r="D3757">
        <v>94</v>
      </c>
      <c r="F3757">
        <v>530.78710710999997</v>
      </c>
    </row>
    <row r="3758" spans="1:6" x14ac:dyDescent="0.25">
      <c r="A3758" s="2">
        <v>3756</v>
      </c>
      <c r="B3758" t="s">
        <v>2017</v>
      </c>
      <c r="C3758" s="1">
        <v>46213</v>
      </c>
      <c r="D3758">
        <v>93.75</v>
      </c>
      <c r="F3758">
        <v>782.19857883999998</v>
      </c>
    </row>
    <row r="3759" spans="1:6" x14ac:dyDescent="0.25">
      <c r="A3759" s="2">
        <v>3757</v>
      </c>
      <c r="B3759" t="s">
        <v>2021</v>
      </c>
      <c r="C3759" s="1">
        <v>46213</v>
      </c>
      <c r="D3759">
        <v>62.5</v>
      </c>
      <c r="F3759">
        <v>4483.3008453700004</v>
      </c>
    </row>
    <row r="3760" spans="1:6" x14ac:dyDescent="0.25">
      <c r="A3760" s="2">
        <v>3758</v>
      </c>
      <c r="B3760" t="s">
        <v>2023</v>
      </c>
      <c r="C3760" s="1">
        <v>46213</v>
      </c>
    </row>
    <row r="3761" spans="1:7" x14ac:dyDescent="0.25">
      <c r="A3761" s="2">
        <v>3759</v>
      </c>
      <c r="B3761" t="s">
        <v>1796</v>
      </c>
      <c r="C3761" s="1">
        <v>46213</v>
      </c>
      <c r="D3761">
        <v>75.750140000000002</v>
      </c>
      <c r="E3761">
        <v>807.88740910000001</v>
      </c>
      <c r="F3761">
        <v>809.50200583000003</v>
      </c>
      <c r="G3761">
        <v>807.88740910000001</v>
      </c>
    </row>
    <row r="3762" spans="1:7" x14ac:dyDescent="0.25">
      <c r="A3762" s="2">
        <v>3760</v>
      </c>
      <c r="B3762" t="s">
        <v>1800</v>
      </c>
      <c r="C3762" s="1">
        <v>46213</v>
      </c>
      <c r="D3762">
        <v>86.558170000000004</v>
      </c>
      <c r="E3762">
        <v>837.99946556999998</v>
      </c>
      <c r="F3762">
        <v>839.83290921000003</v>
      </c>
      <c r="G3762">
        <v>837.99946556999998</v>
      </c>
    </row>
    <row r="3763" spans="1:7" x14ac:dyDescent="0.25">
      <c r="A3763" s="2">
        <v>3761</v>
      </c>
      <c r="B3763" t="s">
        <v>1802</v>
      </c>
      <c r="C3763" s="1">
        <v>46213</v>
      </c>
      <c r="D3763">
        <v>104.3364</v>
      </c>
      <c r="E3763">
        <v>591.80469458000005</v>
      </c>
      <c r="F3763">
        <v>593.44804245</v>
      </c>
      <c r="G3763">
        <v>591.80469458000005</v>
      </c>
    </row>
    <row r="3764" spans="1:7" x14ac:dyDescent="0.25">
      <c r="A3764" s="2">
        <v>3762</v>
      </c>
      <c r="B3764" t="s">
        <v>1804</v>
      </c>
      <c r="C3764" s="1">
        <v>46213</v>
      </c>
      <c r="D3764">
        <v>99.979159999999993</v>
      </c>
      <c r="E3764">
        <v>431.76094681000001</v>
      </c>
      <c r="F3764">
        <v>434.03114945999999</v>
      </c>
      <c r="G3764">
        <v>431.76094681000001</v>
      </c>
    </row>
    <row r="3765" spans="1:7" x14ac:dyDescent="0.25">
      <c r="A3765" s="2">
        <v>3763</v>
      </c>
      <c r="B3765" t="s">
        <v>1806</v>
      </c>
      <c r="C3765" s="1">
        <v>46213</v>
      </c>
      <c r="D3765">
        <v>97.83278</v>
      </c>
      <c r="E3765">
        <v>492.01178419000001</v>
      </c>
      <c r="F3765">
        <v>495.11059639000001</v>
      </c>
      <c r="G3765">
        <v>492.01178419000001</v>
      </c>
    </row>
    <row r="3766" spans="1:7" x14ac:dyDescent="0.25">
      <c r="A3766" s="2">
        <v>3764</v>
      </c>
      <c r="B3766" t="s">
        <v>1808</v>
      </c>
      <c r="C3766" s="1">
        <v>46213</v>
      </c>
    </row>
    <row r="3767" spans="1:7" x14ac:dyDescent="0.25">
      <c r="A3767" s="2">
        <v>3765</v>
      </c>
      <c r="B3767" t="s">
        <v>1811</v>
      </c>
      <c r="C3767" s="1">
        <v>46213</v>
      </c>
      <c r="D3767">
        <v>99.125</v>
      </c>
      <c r="F3767">
        <v>428.92881358</v>
      </c>
    </row>
    <row r="3768" spans="1:7" x14ac:dyDescent="0.25">
      <c r="A3768" s="2">
        <v>3766</v>
      </c>
      <c r="B3768" t="s">
        <v>3800</v>
      </c>
      <c r="C3768" s="1">
        <v>46213</v>
      </c>
      <c r="D3768">
        <v>86.42868</v>
      </c>
      <c r="E3768">
        <v>490.82976008999998</v>
      </c>
      <c r="F3768">
        <v>492.89414871000002</v>
      </c>
      <c r="G3768">
        <v>490.82976008999998</v>
      </c>
    </row>
    <row r="3769" spans="1:7" x14ac:dyDescent="0.25">
      <c r="A3769" s="2">
        <v>3767</v>
      </c>
      <c r="B3769" t="s">
        <v>3805</v>
      </c>
      <c r="C3769" s="1">
        <v>46213</v>
      </c>
      <c r="D3769">
        <v>94.821560000000005</v>
      </c>
      <c r="E3769">
        <v>203.42057328000001</v>
      </c>
      <c r="F3769">
        <v>207.13677630999999</v>
      </c>
      <c r="G3769">
        <v>203.42057328000001</v>
      </c>
    </row>
    <row r="3770" spans="1:7" x14ac:dyDescent="0.25">
      <c r="A3770" s="2">
        <v>3768</v>
      </c>
      <c r="B3770" t="s">
        <v>2045</v>
      </c>
      <c r="C3770" s="1">
        <v>46213</v>
      </c>
      <c r="D3770">
        <v>98.743269999999995</v>
      </c>
      <c r="F3770">
        <v>905.93952152999998</v>
      </c>
    </row>
    <row r="3771" spans="1:7" x14ac:dyDescent="0.25">
      <c r="A3771" s="2">
        <v>3769</v>
      </c>
      <c r="B3771" t="s">
        <v>2049</v>
      </c>
      <c r="C3771" s="1">
        <v>46213</v>
      </c>
      <c r="D3771">
        <v>100.1836</v>
      </c>
      <c r="F3771">
        <v>246.13021771000001</v>
      </c>
    </row>
    <row r="3772" spans="1:7" x14ac:dyDescent="0.25">
      <c r="A3772" s="2">
        <v>3770</v>
      </c>
      <c r="B3772" t="s">
        <v>2051</v>
      </c>
      <c r="C3772" s="1">
        <v>46213</v>
      </c>
    </row>
    <row r="3773" spans="1:7" x14ac:dyDescent="0.25">
      <c r="A3773" s="2">
        <v>3771</v>
      </c>
      <c r="B3773" t="s">
        <v>2053</v>
      </c>
      <c r="C3773" s="1">
        <v>46213</v>
      </c>
    </row>
    <row r="3774" spans="1:7" x14ac:dyDescent="0.25">
      <c r="A3774" s="2">
        <v>3772</v>
      </c>
      <c r="B3774" t="s">
        <v>2054</v>
      </c>
      <c r="C3774" s="1">
        <v>46213</v>
      </c>
    </row>
    <row r="3775" spans="1:7" x14ac:dyDescent="0.25">
      <c r="A3775" s="2">
        <v>3773</v>
      </c>
      <c r="B3775" t="s">
        <v>2055</v>
      </c>
      <c r="C3775" s="1">
        <v>46213</v>
      </c>
    </row>
    <row r="3776" spans="1:7" x14ac:dyDescent="0.25">
      <c r="A3776" s="2">
        <v>3774</v>
      </c>
      <c r="B3776" t="s">
        <v>2057</v>
      </c>
      <c r="C3776" s="1">
        <v>46213</v>
      </c>
    </row>
    <row r="3777" spans="1:7" x14ac:dyDescent="0.25">
      <c r="A3777" s="2">
        <v>3775</v>
      </c>
      <c r="B3777" t="s">
        <v>2059</v>
      </c>
      <c r="C3777" s="1">
        <v>46213</v>
      </c>
    </row>
    <row r="3778" spans="1:7" x14ac:dyDescent="0.25">
      <c r="A3778" s="2">
        <v>3776</v>
      </c>
      <c r="B3778" t="s">
        <v>2061</v>
      </c>
      <c r="C3778" s="1">
        <v>46213</v>
      </c>
      <c r="D3778">
        <v>100.625</v>
      </c>
      <c r="F3778">
        <v>347.69877430999998</v>
      </c>
    </row>
    <row r="3779" spans="1:7" x14ac:dyDescent="0.25">
      <c r="A3779" s="2">
        <v>3777</v>
      </c>
      <c r="B3779" t="s">
        <v>2063</v>
      </c>
      <c r="C3779" s="1">
        <v>46213</v>
      </c>
      <c r="D3779">
        <v>100.25</v>
      </c>
      <c r="F3779">
        <v>345.94513625000002</v>
      </c>
    </row>
    <row r="3780" spans="1:7" x14ac:dyDescent="0.25">
      <c r="A3780" s="2">
        <v>3778</v>
      </c>
      <c r="B3780" t="s">
        <v>2065</v>
      </c>
      <c r="C3780" s="1">
        <v>46213</v>
      </c>
      <c r="D3780">
        <v>78.5</v>
      </c>
      <c r="F3780">
        <v>1749.8211162600001</v>
      </c>
    </row>
    <row r="3781" spans="1:7" x14ac:dyDescent="0.25">
      <c r="A3781" s="2">
        <v>3779</v>
      </c>
      <c r="B3781" t="s">
        <v>2069</v>
      </c>
      <c r="C3781" s="1">
        <v>46213</v>
      </c>
    </row>
    <row r="3782" spans="1:7" x14ac:dyDescent="0.25">
      <c r="A3782" s="2">
        <v>3780</v>
      </c>
      <c r="B3782" t="s">
        <v>2073</v>
      </c>
      <c r="C3782" s="1">
        <v>46213</v>
      </c>
    </row>
    <row r="3783" spans="1:7" x14ac:dyDescent="0.25">
      <c r="A3783" s="2">
        <v>3781</v>
      </c>
      <c r="B3783" t="s">
        <v>2075</v>
      </c>
      <c r="C3783" s="1">
        <v>46213</v>
      </c>
      <c r="D3783">
        <v>47.5</v>
      </c>
      <c r="F3783">
        <v>3983.33550771</v>
      </c>
    </row>
    <row r="3784" spans="1:7" x14ac:dyDescent="0.25">
      <c r="A3784" s="2">
        <v>3782</v>
      </c>
      <c r="B3784" t="s">
        <v>2087</v>
      </c>
      <c r="C3784" s="1">
        <v>46213</v>
      </c>
      <c r="D3784">
        <v>70</v>
      </c>
      <c r="F3784">
        <v>357.11572912999998</v>
      </c>
    </row>
    <row r="3785" spans="1:7" x14ac:dyDescent="0.25">
      <c r="A3785" s="2">
        <v>3783</v>
      </c>
      <c r="B3785" t="s">
        <v>2091</v>
      </c>
      <c r="C3785" s="1">
        <v>46213</v>
      </c>
      <c r="D3785">
        <v>92.5</v>
      </c>
    </row>
    <row r="3786" spans="1:7" x14ac:dyDescent="0.25">
      <c r="A3786" s="2">
        <v>3784</v>
      </c>
      <c r="B3786" t="s">
        <v>2093</v>
      </c>
      <c r="C3786" s="1">
        <v>46213</v>
      </c>
      <c r="D3786">
        <v>68.5</v>
      </c>
      <c r="F3786">
        <v>2851.91233904</v>
      </c>
    </row>
    <row r="3787" spans="1:7" x14ac:dyDescent="0.25">
      <c r="A3787" s="2">
        <v>3785</v>
      </c>
      <c r="B3787" t="s">
        <v>3568</v>
      </c>
      <c r="C3787" s="1">
        <v>46213</v>
      </c>
    </row>
    <row r="3788" spans="1:7" x14ac:dyDescent="0.25">
      <c r="A3788" s="2">
        <v>3786</v>
      </c>
      <c r="B3788" t="s">
        <v>3574</v>
      </c>
      <c r="C3788" s="1">
        <v>46213</v>
      </c>
      <c r="D3788">
        <v>66.25</v>
      </c>
      <c r="F3788">
        <v>2429.9889649299998</v>
      </c>
    </row>
    <row r="3789" spans="1:7" x14ac:dyDescent="0.25">
      <c r="A3789" s="2">
        <v>3787</v>
      </c>
      <c r="B3789" t="s">
        <v>3576</v>
      </c>
      <c r="C3789" s="1">
        <v>46213</v>
      </c>
      <c r="E3789">
        <v>9191.2090663300005</v>
      </c>
      <c r="F3789">
        <v>9193.2408173999993</v>
      </c>
      <c r="G3789">
        <v>9191.2090663300005</v>
      </c>
    </row>
    <row r="3790" spans="1:7" x14ac:dyDescent="0.25">
      <c r="A3790" s="2">
        <v>3788</v>
      </c>
      <c r="B3790" t="s">
        <v>3581</v>
      </c>
      <c r="C3790" s="1">
        <v>46213</v>
      </c>
    </row>
    <row r="3791" spans="1:7" x14ac:dyDescent="0.25">
      <c r="A3791" s="2">
        <v>3789</v>
      </c>
      <c r="B3791" t="s">
        <v>3582</v>
      </c>
      <c r="C3791" s="1">
        <v>46213</v>
      </c>
    </row>
    <row r="3792" spans="1:7" x14ac:dyDescent="0.25">
      <c r="A3792" s="2">
        <v>3790</v>
      </c>
      <c r="B3792" t="s">
        <v>3583</v>
      </c>
      <c r="C3792" s="1">
        <v>46213</v>
      </c>
      <c r="D3792">
        <v>32.5</v>
      </c>
      <c r="F3792">
        <v>804.22231953000005</v>
      </c>
    </row>
    <row r="3793" spans="1:7" x14ac:dyDescent="0.25">
      <c r="A3793" s="2">
        <v>3791</v>
      </c>
      <c r="B3793" t="s">
        <v>3585</v>
      </c>
      <c r="C3793" s="1">
        <v>46213</v>
      </c>
      <c r="D3793">
        <v>47.5</v>
      </c>
      <c r="F3793">
        <v>831.51891640999997</v>
      </c>
    </row>
    <row r="3794" spans="1:7" x14ac:dyDescent="0.25">
      <c r="A3794" s="2">
        <v>3792</v>
      </c>
      <c r="B3794" t="s">
        <v>3587</v>
      </c>
      <c r="C3794" s="1">
        <v>46213</v>
      </c>
      <c r="D3794">
        <v>54.5</v>
      </c>
      <c r="F3794">
        <v>2688.3521260699999</v>
      </c>
    </row>
    <row r="3795" spans="1:7" x14ac:dyDescent="0.25">
      <c r="A3795" s="2">
        <v>3793</v>
      </c>
      <c r="B3795" t="s">
        <v>3589</v>
      </c>
      <c r="C3795" s="1">
        <v>46213</v>
      </c>
      <c r="D3795">
        <v>100.5</v>
      </c>
      <c r="F3795">
        <v>475.20264478000001</v>
      </c>
    </row>
    <row r="3796" spans="1:7" x14ac:dyDescent="0.25">
      <c r="A3796" s="2">
        <v>3794</v>
      </c>
      <c r="B3796" t="s">
        <v>3591</v>
      </c>
      <c r="C3796" s="1">
        <v>46213</v>
      </c>
    </row>
    <row r="3797" spans="1:7" x14ac:dyDescent="0.25">
      <c r="A3797" s="2">
        <v>3795</v>
      </c>
      <c r="B3797" t="s">
        <v>3593</v>
      </c>
      <c r="C3797" s="1">
        <v>46213</v>
      </c>
      <c r="D3797">
        <v>60.600610000000003</v>
      </c>
      <c r="F3797">
        <v>4518.1138944900003</v>
      </c>
    </row>
    <row r="3798" spans="1:7" x14ac:dyDescent="0.25">
      <c r="A3798" s="2">
        <v>3796</v>
      </c>
      <c r="B3798" t="s">
        <v>3595</v>
      </c>
      <c r="C3798" s="1">
        <v>46213</v>
      </c>
    </row>
    <row r="3799" spans="1:7" x14ac:dyDescent="0.25">
      <c r="A3799" s="2">
        <v>3797</v>
      </c>
      <c r="B3799" t="s">
        <v>3600</v>
      </c>
      <c r="C3799" s="1">
        <v>46213</v>
      </c>
      <c r="D3799">
        <v>63.5</v>
      </c>
      <c r="F3799">
        <v>2736.83777392</v>
      </c>
    </row>
    <row r="3800" spans="1:7" x14ac:dyDescent="0.25">
      <c r="A3800" s="2">
        <v>3798</v>
      </c>
      <c r="B3800" t="s">
        <v>3602</v>
      </c>
      <c r="C3800" s="1">
        <v>46213</v>
      </c>
    </row>
    <row r="3801" spans="1:7" x14ac:dyDescent="0.25">
      <c r="A3801" s="2">
        <v>3799</v>
      </c>
      <c r="B3801" t="s">
        <v>3603</v>
      </c>
      <c r="C3801" s="1">
        <v>46213</v>
      </c>
      <c r="D3801">
        <v>59.5</v>
      </c>
      <c r="F3801">
        <v>2542.02230482</v>
      </c>
    </row>
    <row r="3802" spans="1:7" x14ac:dyDescent="0.25">
      <c r="A3802" s="2">
        <v>3800</v>
      </c>
      <c r="B3802" t="s">
        <v>3604</v>
      </c>
      <c r="C3802" s="1">
        <v>46213</v>
      </c>
      <c r="D3802">
        <v>91.75</v>
      </c>
      <c r="F3802">
        <v>535.04015588000004</v>
      </c>
    </row>
    <row r="3803" spans="1:7" x14ac:dyDescent="0.25">
      <c r="A3803" s="2">
        <v>3801</v>
      </c>
      <c r="B3803" t="s">
        <v>2107</v>
      </c>
      <c r="C3803" s="1">
        <v>46213</v>
      </c>
      <c r="D3803">
        <v>26.19014</v>
      </c>
      <c r="F3803">
        <v>6085.8193899099997</v>
      </c>
    </row>
    <row r="3804" spans="1:7" x14ac:dyDescent="0.25">
      <c r="A3804" s="2">
        <v>3802</v>
      </c>
      <c r="B3804" t="s">
        <v>2111</v>
      </c>
      <c r="C3804" s="1">
        <v>46213</v>
      </c>
    </row>
    <row r="3805" spans="1:7" x14ac:dyDescent="0.25">
      <c r="A3805" s="2">
        <v>3803</v>
      </c>
      <c r="B3805" t="s">
        <v>2113</v>
      </c>
      <c r="C3805" s="1">
        <v>46213</v>
      </c>
    </row>
    <row r="3806" spans="1:7" x14ac:dyDescent="0.25">
      <c r="A3806" s="2">
        <v>3804</v>
      </c>
      <c r="B3806" t="s">
        <v>2114</v>
      </c>
      <c r="C3806" s="1">
        <v>46213</v>
      </c>
      <c r="D3806">
        <v>84.580740000000006</v>
      </c>
      <c r="E3806">
        <v>1210.8077717199999</v>
      </c>
      <c r="F3806">
        <v>1212.9904865000001</v>
      </c>
      <c r="G3806">
        <v>1210.8077717199999</v>
      </c>
    </row>
    <row r="3807" spans="1:7" x14ac:dyDescent="0.25">
      <c r="A3807" s="2">
        <v>3805</v>
      </c>
      <c r="B3807" t="s">
        <v>2115</v>
      </c>
      <c r="C3807" s="1">
        <v>46213</v>
      </c>
    </row>
    <row r="3808" spans="1:7" x14ac:dyDescent="0.25">
      <c r="A3808" s="2">
        <v>3806</v>
      </c>
      <c r="B3808" t="s">
        <v>2101</v>
      </c>
      <c r="C3808" s="1">
        <v>46213</v>
      </c>
      <c r="D3808">
        <v>93.625</v>
      </c>
      <c r="F3808">
        <v>716.64069582000002</v>
      </c>
    </row>
    <row r="3809" spans="1:7" x14ac:dyDescent="0.25">
      <c r="A3809" s="2">
        <v>3807</v>
      </c>
      <c r="B3809" t="s">
        <v>2105</v>
      </c>
      <c r="C3809" s="1">
        <v>46213</v>
      </c>
      <c r="D3809">
        <v>101.125</v>
      </c>
      <c r="F3809">
        <v>466.66427169000002</v>
      </c>
    </row>
    <row r="3810" spans="1:7" x14ac:dyDescent="0.25">
      <c r="A3810" s="2">
        <v>3808</v>
      </c>
      <c r="B3810" t="s">
        <v>2117</v>
      </c>
      <c r="C3810" s="1">
        <v>46213</v>
      </c>
      <c r="D3810">
        <v>68.159739999999999</v>
      </c>
      <c r="E3810">
        <v>207.03579486000001</v>
      </c>
      <c r="F3810">
        <v>208.53011874000001</v>
      </c>
      <c r="G3810">
        <v>207.03579486000001</v>
      </c>
    </row>
    <row r="3811" spans="1:7" x14ac:dyDescent="0.25">
      <c r="A3811" s="2">
        <v>3809</v>
      </c>
      <c r="B3811" t="s">
        <v>2122</v>
      </c>
      <c r="C3811" s="1">
        <v>46213</v>
      </c>
      <c r="D3811">
        <v>93.701080000000005</v>
      </c>
      <c r="E3811">
        <v>83.029897790000007</v>
      </c>
      <c r="F3811">
        <v>84.683522350000004</v>
      </c>
      <c r="G3811">
        <v>83.029897790000007</v>
      </c>
    </row>
    <row r="3812" spans="1:7" x14ac:dyDescent="0.25">
      <c r="A3812" s="2">
        <v>3810</v>
      </c>
      <c r="B3812" t="s">
        <v>2124</v>
      </c>
      <c r="C3812" s="1">
        <v>46213</v>
      </c>
      <c r="D3812">
        <v>88.610050000000001</v>
      </c>
      <c r="E3812">
        <v>73.455120309999998</v>
      </c>
      <c r="F3812">
        <v>75.215406020000003</v>
      </c>
      <c r="G3812">
        <v>73.455120309999998</v>
      </c>
    </row>
    <row r="3813" spans="1:7" x14ac:dyDescent="0.25">
      <c r="A3813" s="2">
        <v>3811</v>
      </c>
      <c r="B3813" t="s">
        <v>2126</v>
      </c>
      <c r="C3813" s="1">
        <v>46213</v>
      </c>
      <c r="D3813">
        <v>93.028760000000005</v>
      </c>
      <c r="E3813">
        <v>147.87246909000001</v>
      </c>
      <c r="F3813">
        <v>148.67675027000001</v>
      </c>
      <c r="G3813">
        <v>147.87246909000001</v>
      </c>
    </row>
    <row r="3814" spans="1:7" x14ac:dyDescent="0.25">
      <c r="A3814" s="2">
        <v>3812</v>
      </c>
      <c r="B3814" t="s">
        <v>2128</v>
      </c>
      <c r="C3814" s="1">
        <v>46213</v>
      </c>
      <c r="D3814">
        <v>99.658429999999996</v>
      </c>
      <c r="E3814">
        <v>94.935743740000007</v>
      </c>
      <c r="F3814">
        <v>96.50197</v>
      </c>
      <c r="G3814">
        <v>94.935743740000007</v>
      </c>
    </row>
    <row r="3815" spans="1:7" x14ac:dyDescent="0.25">
      <c r="A3815" s="2">
        <v>3813</v>
      </c>
      <c r="B3815" t="s">
        <v>2130</v>
      </c>
      <c r="C3815" s="1">
        <v>46213</v>
      </c>
      <c r="D3815">
        <v>101.172</v>
      </c>
      <c r="E3815">
        <v>111.54270373</v>
      </c>
      <c r="F3815">
        <v>113.23345200999999</v>
      </c>
      <c r="G3815">
        <v>111.54270373</v>
      </c>
    </row>
    <row r="3816" spans="1:7" x14ac:dyDescent="0.25">
      <c r="A3816" s="2">
        <v>3814</v>
      </c>
      <c r="B3816" t="s">
        <v>2132</v>
      </c>
      <c r="C3816" s="1">
        <v>46213</v>
      </c>
      <c r="D3816">
        <v>101.1532</v>
      </c>
      <c r="E3816">
        <v>37.553232209999997</v>
      </c>
      <c r="F3816">
        <v>41.89258976</v>
      </c>
      <c r="G3816">
        <v>37.553232209999997</v>
      </c>
    </row>
    <row r="3817" spans="1:7" x14ac:dyDescent="0.25">
      <c r="A3817" s="2">
        <v>3815</v>
      </c>
      <c r="B3817" t="s">
        <v>2134</v>
      </c>
      <c r="C3817" s="1">
        <v>46213</v>
      </c>
      <c r="D3817">
        <v>94.578990000000005</v>
      </c>
      <c r="E3817">
        <v>138.80260991</v>
      </c>
      <c r="F3817">
        <v>139.26355244999999</v>
      </c>
      <c r="G3817">
        <v>138.80260991</v>
      </c>
    </row>
    <row r="3818" spans="1:7" x14ac:dyDescent="0.25">
      <c r="A3818" s="2">
        <v>3816</v>
      </c>
      <c r="B3818" t="s">
        <v>2136</v>
      </c>
      <c r="C3818" s="1">
        <v>46213</v>
      </c>
      <c r="D3818">
        <v>99.321879999999993</v>
      </c>
      <c r="E3818">
        <v>141.36670129999999</v>
      </c>
      <c r="F3818">
        <v>142.83234476999999</v>
      </c>
      <c r="G3818">
        <v>141.36670129999999</v>
      </c>
    </row>
    <row r="3819" spans="1:7" x14ac:dyDescent="0.25">
      <c r="A3819" s="2">
        <v>3817</v>
      </c>
      <c r="B3819" t="s">
        <v>2139</v>
      </c>
      <c r="C3819" s="1">
        <v>46213</v>
      </c>
      <c r="D3819">
        <v>101.2443</v>
      </c>
      <c r="E3819">
        <v>50.092576800000003</v>
      </c>
      <c r="F3819">
        <v>52.779901690000003</v>
      </c>
      <c r="G3819">
        <v>50.092576800000003</v>
      </c>
    </row>
    <row r="3820" spans="1:7" x14ac:dyDescent="0.25">
      <c r="A3820" s="2">
        <v>3818</v>
      </c>
      <c r="B3820" t="s">
        <v>2141</v>
      </c>
      <c r="C3820" s="1">
        <v>46213</v>
      </c>
      <c r="D3820">
        <v>100.0545</v>
      </c>
      <c r="E3820">
        <v>88.690486509999999</v>
      </c>
      <c r="F3820">
        <v>100.00556376999999</v>
      </c>
      <c r="G3820">
        <v>88.690486509999999</v>
      </c>
    </row>
    <row r="3821" spans="1:7" x14ac:dyDescent="0.25">
      <c r="A3821" s="2">
        <v>3819</v>
      </c>
      <c r="B3821" t="s">
        <v>2143</v>
      </c>
      <c r="C3821" s="1">
        <v>46213</v>
      </c>
      <c r="D3821">
        <v>119.49379999999999</v>
      </c>
      <c r="E3821">
        <v>-12657.253889199999</v>
      </c>
      <c r="F3821">
        <v>-17871.914162689998</v>
      </c>
      <c r="G3821">
        <v>-12657.253889199999</v>
      </c>
    </row>
    <row r="3822" spans="1:7" x14ac:dyDescent="0.25">
      <c r="A3822" s="2">
        <v>3820</v>
      </c>
      <c r="B3822" t="s">
        <v>2145</v>
      </c>
      <c r="C3822" s="1">
        <v>46213</v>
      </c>
      <c r="D3822">
        <v>103.7213</v>
      </c>
      <c r="E3822">
        <v>136.70912118000001</v>
      </c>
      <c r="F3822">
        <v>137.50041831999999</v>
      </c>
      <c r="G3822">
        <v>136.70912118000001</v>
      </c>
    </row>
    <row r="3823" spans="1:7" x14ac:dyDescent="0.25">
      <c r="A3823" s="2">
        <v>3821</v>
      </c>
      <c r="B3823" t="s">
        <v>2147</v>
      </c>
      <c r="C3823" s="1">
        <v>46213</v>
      </c>
      <c r="D3823">
        <v>100.39960000000001</v>
      </c>
      <c r="E3823">
        <v>101.75534158000001</v>
      </c>
      <c r="F3823">
        <v>103.24264537000001</v>
      </c>
      <c r="G3823">
        <v>101.75534158000001</v>
      </c>
    </row>
    <row r="3824" spans="1:7" x14ac:dyDescent="0.25">
      <c r="A3824" s="2">
        <v>3822</v>
      </c>
      <c r="B3824" t="s">
        <v>2149</v>
      </c>
      <c r="C3824" s="1">
        <v>46213</v>
      </c>
      <c r="D3824">
        <v>101.8691</v>
      </c>
      <c r="E3824">
        <v>62.710942670000001</v>
      </c>
      <c r="F3824">
        <v>64.702619670000004</v>
      </c>
      <c r="G3824">
        <v>62.710942670000001</v>
      </c>
    </row>
    <row r="3825" spans="1:7" x14ac:dyDescent="0.25">
      <c r="A3825" s="2">
        <v>3823</v>
      </c>
      <c r="B3825" t="s">
        <v>2151</v>
      </c>
      <c r="C3825" s="1">
        <v>46213</v>
      </c>
      <c r="D3825">
        <v>101.0921</v>
      </c>
      <c r="E3825">
        <v>114.87225728999999</v>
      </c>
      <c r="F3825">
        <v>116.21155412</v>
      </c>
      <c r="G3825">
        <v>114.87225728999999</v>
      </c>
    </row>
    <row r="3826" spans="1:7" x14ac:dyDescent="0.25">
      <c r="A3826" s="2">
        <v>3824</v>
      </c>
      <c r="B3826" t="s">
        <v>2153</v>
      </c>
      <c r="C3826" s="1">
        <v>46213</v>
      </c>
      <c r="D3826">
        <v>105.06319999999999</v>
      </c>
      <c r="E3826">
        <v>199.929</v>
      </c>
      <c r="F3826">
        <v>200.96799999999999</v>
      </c>
      <c r="G3826">
        <v>199.929</v>
      </c>
    </row>
    <row r="3827" spans="1:7" x14ac:dyDescent="0.25">
      <c r="A3827" s="2">
        <v>3825</v>
      </c>
      <c r="B3827" t="s">
        <v>2155</v>
      </c>
      <c r="C3827" s="1">
        <v>46213</v>
      </c>
      <c r="D3827">
        <v>103.584</v>
      </c>
      <c r="E3827">
        <v>179.71597216999999</v>
      </c>
      <c r="F3827">
        <v>182.02031409</v>
      </c>
      <c r="G3827">
        <v>179.71597216999999</v>
      </c>
    </row>
    <row r="3828" spans="1:7" x14ac:dyDescent="0.25">
      <c r="A3828" s="2">
        <v>3826</v>
      </c>
      <c r="B3828" t="s">
        <v>2157</v>
      </c>
      <c r="C3828" s="1">
        <v>46213</v>
      </c>
      <c r="D3828">
        <v>99.124949999999998</v>
      </c>
      <c r="E3828">
        <v>109.22511625</v>
      </c>
      <c r="F3828">
        <v>110.32283051</v>
      </c>
      <c r="G3828">
        <v>109.22511625</v>
      </c>
    </row>
    <row r="3829" spans="1:7" x14ac:dyDescent="0.25">
      <c r="A3829" s="2">
        <v>3827</v>
      </c>
      <c r="B3829" t="s">
        <v>2159</v>
      </c>
      <c r="C3829" s="1">
        <v>46213</v>
      </c>
      <c r="D3829">
        <v>102.75149999999999</v>
      </c>
      <c r="E3829">
        <v>182.09153072000001</v>
      </c>
      <c r="F3829">
        <v>184.50144078</v>
      </c>
      <c r="G3829">
        <v>182.09153072000001</v>
      </c>
    </row>
    <row r="3830" spans="1:7" x14ac:dyDescent="0.25">
      <c r="A3830" s="2">
        <v>3828</v>
      </c>
      <c r="B3830" t="s">
        <v>2161</v>
      </c>
      <c r="C3830" s="1">
        <v>46213</v>
      </c>
      <c r="D3830">
        <v>100.2894</v>
      </c>
      <c r="E3830">
        <v>65.858893969999997</v>
      </c>
      <c r="F3830">
        <v>68.20886256</v>
      </c>
      <c r="G3830">
        <v>65.858893969999997</v>
      </c>
    </row>
    <row r="3831" spans="1:7" x14ac:dyDescent="0.25">
      <c r="A3831" s="2">
        <v>3829</v>
      </c>
      <c r="B3831" t="s">
        <v>2163</v>
      </c>
      <c r="C3831" s="1">
        <v>46213</v>
      </c>
      <c r="D3831">
        <v>98.433359999999993</v>
      </c>
      <c r="E3831">
        <v>111.23230443999999</v>
      </c>
      <c r="F3831">
        <v>112.36106562000001</v>
      </c>
      <c r="G3831">
        <v>111.23230443999999</v>
      </c>
    </row>
    <row r="3832" spans="1:7" x14ac:dyDescent="0.25">
      <c r="A3832" s="2">
        <v>3830</v>
      </c>
      <c r="B3832" t="s">
        <v>2166</v>
      </c>
      <c r="C3832" s="1">
        <v>46213</v>
      </c>
      <c r="D3832">
        <v>105.7427</v>
      </c>
      <c r="E3832">
        <v>-385.93064199000003</v>
      </c>
      <c r="F3832">
        <v>-383.39609177</v>
      </c>
      <c r="G3832">
        <v>-385.93064199000003</v>
      </c>
    </row>
    <row r="3833" spans="1:7" x14ac:dyDescent="0.25">
      <c r="A3833" s="2">
        <v>3831</v>
      </c>
      <c r="B3833" t="s">
        <v>2168</v>
      </c>
      <c r="C3833" s="1">
        <v>46213</v>
      </c>
      <c r="D3833">
        <v>99.868930000000006</v>
      </c>
      <c r="E3833">
        <v>198.32679938000001</v>
      </c>
      <c r="F3833">
        <v>200.32926375</v>
      </c>
      <c r="G3833">
        <v>198.32679938000001</v>
      </c>
    </row>
    <row r="3834" spans="1:7" x14ac:dyDescent="0.25">
      <c r="A3834" s="2">
        <v>3832</v>
      </c>
      <c r="B3834" t="s">
        <v>2170</v>
      </c>
      <c r="C3834" s="1">
        <v>46213</v>
      </c>
      <c r="D3834">
        <v>96.527379999999994</v>
      </c>
      <c r="E3834">
        <v>112.46103543</v>
      </c>
      <c r="F3834">
        <v>113.24048216</v>
      </c>
      <c r="G3834">
        <v>112.46103543</v>
      </c>
    </row>
    <row r="3835" spans="1:7" x14ac:dyDescent="0.25">
      <c r="A3835" s="2">
        <v>3833</v>
      </c>
      <c r="B3835" t="s">
        <v>2173</v>
      </c>
      <c r="C3835" s="1">
        <v>46213</v>
      </c>
      <c r="D3835">
        <v>96.706649999999996</v>
      </c>
      <c r="E3835">
        <v>105.36279967</v>
      </c>
      <c r="F3835">
        <v>107.02356503</v>
      </c>
      <c r="G3835">
        <v>105.36279967</v>
      </c>
    </row>
    <row r="3836" spans="1:7" x14ac:dyDescent="0.25">
      <c r="A3836" s="2">
        <v>3834</v>
      </c>
      <c r="B3836" t="s">
        <v>2176</v>
      </c>
      <c r="C3836" s="1">
        <v>46213</v>
      </c>
      <c r="D3836">
        <v>99.152619999999999</v>
      </c>
      <c r="E3836">
        <v>31.650883279999999</v>
      </c>
      <c r="F3836">
        <v>33.711917939999999</v>
      </c>
      <c r="G3836">
        <v>31.650883279999999</v>
      </c>
    </row>
    <row r="3837" spans="1:7" x14ac:dyDescent="0.25">
      <c r="A3837" s="2">
        <v>3835</v>
      </c>
      <c r="B3837" t="s">
        <v>2179</v>
      </c>
      <c r="C3837" s="1">
        <v>46213</v>
      </c>
      <c r="D3837">
        <v>99.79298</v>
      </c>
      <c r="E3837">
        <v>52.03187475</v>
      </c>
      <c r="F3837">
        <v>65.714067069999999</v>
      </c>
      <c r="G3837">
        <v>52.03187475</v>
      </c>
    </row>
    <row r="3838" spans="1:7" x14ac:dyDescent="0.25">
      <c r="A3838" s="2">
        <v>3836</v>
      </c>
      <c r="B3838" t="s">
        <v>2182</v>
      </c>
      <c r="C3838" s="1">
        <v>46213</v>
      </c>
      <c r="D3838">
        <v>101.60339999999999</v>
      </c>
      <c r="E3838">
        <v>83.415042540000002</v>
      </c>
      <c r="F3838">
        <v>86.96715537</v>
      </c>
      <c r="G3838">
        <v>83.415042540000002</v>
      </c>
    </row>
    <row r="3839" spans="1:7" x14ac:dyDescent="0.25">
      <c r="A3839" s="2">
        <v>3837</v>
      </c>
      <c r="B3839" t="s">
        <v>2185</v>
      </c>
      <c r="C3839" s="1">
        <v>46213</v>
      </c>
      <c r="D3839">
        <v>102.1164</v>
      </c>
      <c r="E3839">
        <v>124.9754435</v>
      </c>
      <c r="F3839">
        <v>125.94227037</v>
      </c>
      <c r="G3839">
        <v>124.9754435</v>
      </c>
    </row>
    <row r="3840" spans="1:7" x14ac:dyDescent="0.25">
      <c r="A3840" s="2">
        <v>3838</v>
      </c>
      <c r="B3840" t="s">
        <v>2187</v>
      </c>
      <c r="C3840" s="1">
        <v>46213</v>
      </c>
      <c r="D3840">
        <v>100.63460000000001</v>
      </c>
      <c r="E3840">
        <v>128.82098486000001</v>
      </c>
      <c r="F3840">
        <v>129.79834894000001</v>
      </c>
      <c r="G3840">
        <v>128.82098486000001</v>
      </c>
    </row>
    <row r="3841" spans="1:7" x14ac:dyDescent="0.25">
      <c r="A3841" s="2">
        <v>3839</v>
      </c>
      <c r="B3841" t="s">
        <v>2189</v>
      </c>
      <c r="C3841" s="1">
        <v>46213</v>
      </c>
      <c r="D3841">
        <v>86.221869999999996</v>
      </c>
      <c r="E3841">
        <v>141.11613893000001</v>
      </c>
      <c r="F3841">
        <v>142.68041438</v>
      </c>
      <c r="G3841">
        <v>141.11613893000001</v>
      </c>
    </row>
    <row r="3842" spans="1:7" x14ac:dyDescent="0.25">
      <c r="A3842" s="2">
        <v>3840</v>
      </c>
      <c r="B3842" t="s">
        <v>2191</v>
      </c>
      <c r="C3842" s="1">
        <v>46213</v>
      </c>
      <c r="D3842">
        <v>77.823149999999998</v>
      </c>
      <c r="E3842">
        <v>136.35694583</v>
      </c>
      <c r="F3842">
        <v>138.76247047000001</v>
      </c>
      <c r="G3842">
        <v>136.35694583</v>
      </c>
    </row>
    <row r="3843" spans="1:7" x14ac:dyDescent="0.25">
      <c r="A3843" s="2">
        <v>3841</v>
      </c>
      <c r="B3843" t="s">
        <v>2193</v>
      </c>
      <c r="C3843" s="1">
        <v>46213</v>
      </c>
      <c r="D3843">
        <v>101.4228</v>
      </c>
      <c r="E3843">
        <v>144.72581597000001</v>
      </c>
      <c r="F3843">
        <v>144.62426167000001</v>
      </c>
      <c r="G3843">
        <v>144.72581597000001</v>
      </c>
    </row>
    <row r="3844" spans="1:7" x14ac:dyDescent="0.25">
      <c r="A3844" s="2">
        <v>3842</v>
      </c>
      <c r="B3844" t="s">
        <v>2195</v>
      </c>
      <c r="C3844" s="1">
        <v>46213</v>
      </c>
      <c r="D3844">
        <v>109.1918</v>
      </c>
      <c r="E3844">
        <v>137.62685812999999</v>
      </c>
      <c r="F3844">
        <v>137.72919518</v>
      </c>
      <c r="G3844">
        <v>137.62685812999999</v>
      </c>
    </row>
    <row r="3845" spans="1:7" x14ac:dyDescent="0.25">
      <c r="A3845" s="2">
        <v>3843</v>
      </c>
      <c r="B3845" t="s">
        <v>2197</v>
      </c>
      <c r="C3845" s="1">
        <v>46213</v>
      </c>
      <c r="D3845">
        <v>104.9969</v>
      </c>
      <c r="E3845">
        <v>155.34877598</v>
      </c>
      <c r="F3845">
        <v>155.93423357</v>
      </c>
      <c r="G3845">
        <v>155.34877598</v>
      </c>
    </row>
    <row r="3846" spans="1:7" x14ac:dyDescent="0.25">
      <c r="A3846" s="2">
        <v>3844</v>
      </c>
      <c r="B3846" t="s">
        <v>2199</v>
      </c>
      <c r="C3846" s="1">
        <v>46213</v>
      </c>
      <c r="D3846">
        <v>110.5134</v>
      </c>
      <c r="E3846">
        <v>101.41229038</v>
      </c>
      <c r="F3846">
        <v>102.76376628</v>
      </c>
      <c r="G3846">
        <v>101.41229038</v>
      </c>
    </row>
    <row r="3847" spans="1:7" x14ac:dyDescent="0.25">
      <c r="A3847" s="2">
        <v>3845</v>
      </c>
      <c r="B3847" t="s">
        <v>2202</v>
      </c>
      <c r="C3847" s="1">
        <v>46213</v>
      </c>
      <c r="D3847">
        <v>106.10550000000001</v>
      </c>
      <c r="E3847">
        <v>89.409115869999994</v>
      </c>
      <c r="F3847">
        <v>91.566910530000001</v>
      </c>
      <c r="G3847">
        <v>89.409115869999994</v>
      </c>
    </row>
    <row r="3848" spans="1:7" x14ac:dyDescent="0.25">
      <c r="A3848" s="2">
        <v>3846</v>
      </c>
      <c r="B3848" t="s">
        <v>2205</v>
      </c>
      <c r="C3848" s="1">
        <v>46213</v>
      </c>
      <c r="D3848">
        <v>28.640129999999999</v>
      </c>
      <c r="F3848">
        <v>2446.62462121</v>
      </c>
    </row>
    <row r="3849" spans="1:7" x14ac:dyDescent="0.25">
      <c r="A3849" s="2">
        <v>3847</v>
      </c>
      <c r="B3849" t="s">
        <v>2207</v>
      </c>
      <c r="C3849" s="1">
        <v>46213</v>
      </c>
      <c r="D3849">
        <v>103.6614</v>
      </c>
      <c r="E3849">
        <v>88.731639830000006</v>
      </c>
      <c r="F3849">
        <v>90.913309339999998</v>
      </c>
      <c r="G3849">
        <v>88.731639830000006</v>
      </c>
    </row>
    <row r="3850" spans="1:7" x14ac:dyDescent="0.25">
      <c r="A3850" s="2">
        <v>3848</v>
      </c>
      <c r="B3850" t="s">
        <v>2209</v>
      </c>
      <c r="C3850" s="1">
        <v>46213</v>
      </c>
      <c r="D3850">
        <v>97.010660000000001</v>
      </c>
      <c r="E3850">
        <v>110.49039347999999</v>
      </c>
      <c r="F3850">
        <v>111.56881434</v>
      </c>
      <c r="G3850">
        <v>110.49039347999999</v>
      </c>
    </row>
    <row r="3851" spans="1:7" x14ac:dyDescent="0.25">
      <c r="A3851" s="2">
        <v>3849</v>
      </c>
      <c r="B3851" t="s">
        <v>2212</v>
      </c>
      <c r="C3851" s="1">
        <v>46213</v>
      </c>
      <c r="D3851">
        <v>100.3819</v>
      </c>
      <c r="E3851">
        <v>-135.54114702000001</v>
      </c>
      <c r="F3851">
        <v>-133.67724742999999</v>
      </c>
      <c r="G3851">
        <v>-135.54114702000001</v>
      </c>
    </row>
    <row r="3852" spans="1:7" x14ac:dyDescent="0.25">
      <c r="A3852" s="2">
        <v>3850</v>
      </c>
      <c r="B3852" t="s">
        <v>2214</v>
      </c>
      <c r="C3852" s="1">
        <v>46213</v>
      </c>
      <c r="D3852">
        <v>87.585390000000004</v>
      </c>
      <c r="E3852">
        <v>143.05005679999999</v>
      </c>
      <c r="F3852">
        <v>144.01823698999999</v>
      </c>
      <c r="G3852">
        <v>143.05005679999999</v>
      </c>
    </row>
    <row r="3853" spans="1:7" x14ac:dyDescent="0.25">
      <c r="A3853" s="2">
        <v>3851</v>
      </c>
      <c r="B3853" t="s">
        <v>2217</v>
      </c>
      <c r="C3853" s="1">
        <v>46213</v>
      </c>
      <c r="D3853">
        <v>97.471369999999993</v>
      </c>
      <c r="E3853">
        <v>89.526913489999998</v>
      </c>
      <c r="F3853">
        <v>91.268931539999997</v>
      </c>
      <c r="G3853">
        <v>89.526913489999998</v>
      </c>
    </row>
    <row r="3854" spans="1:7" x14ac:dyDescent="0.25">
      <c r="A3854" s="2">
        <v>3852</v>
      </c>
      <c r="B3854" t="s">
        <v>2220</v>
      </c>
      <c r="C3854" s="1">
        <v>46213</v>
      </c>
      <c r="D3854">
        <v>100.1391</v>
      </c>
      <c r="E3854">
        <v>171.91081273</v>
      </c>
      <c r="F3854">
        <v>171.61251003000001</v>
      </c>
      <c r="G3854">
        <v>171.91081273</v>
      </c>
    </row>
    <row r="3855" spans="1:7" x14ac:dyDescent="0.25">
      <c r="A3855" s="2">
        <v>3853</v>
      </c>
      <c r="B3855" t="s">
        <v>2222</v>
      </c>
      <c r="C3855" s="1">
        <v>46213</v>
      </c>
      <c r="D3855">
        <v>100.0792</v>
      </c>
      <c r="E3855">
        <v>92.20459803</v>
      </c>
      <c r="F3855">
        <v>99.068416350000007</v>
      </c>
      <c r="G3855">
        <v>92.20459803</v>
      </c>
    </row>
    <row r="3856" spans="1:7" x14ac:dyDescent="0.25">
      <c r="A3856" s="2">
        <v>3854</v>
      </c>
      <c r="B3856" t="s">
        <v>2224</v>
      </c>
      <c r="C3856" s="1">
        <v>46213</v>
      </c>
      <c r="D3856">
        <v>91.935829999999996</v>
      </c>
      <c r="E3856">
        <v>152.13246601</v>
      </c>
      <c r="F3856">
        <v>152.92245740000001</v>
      </c>
      <c r="G3856">
        <v>152.13246601</v>
      </c>
    </row>
    <row r="3857" spans="1:7" x14ac:dyDescent="0.25">
      <c r="A3857" s="2">
        <v>3855</v>
      </c>
      <c r="B3857" t="s">
        <v>2226</v>
      </c>
      <c r="C3857" s="1">
        <v>46213</v>
      </c>
      <c r="D3857">
        <v>79.318759999999997</v>
      </c>
      <c r="E3857">
        <v>195.73100711999999</v>
      </c>
      <c r="F3857">
        <v>197.3137218</v>
      </c>
      <c r="G3857">
        <v>195.73100711999999</v>
      </c>
    </row>
    <row r="3858" spans="1:7" x14ac:dyDescent="0.25">
      <c r="A3858" s="2">
        <v>3856</v>
      </c>
      <c r="B3858" t="s">
        <v>2228</v>
      </c>
      <c r="C3858" s="1">
        <v>46213</v>
      </c>
      <c r="D3858">
        <v>79.621830000000003</v>
      </c>
      <c r="E3858">
        <v>185.39055961</v>
      </c>
      <c r="F3858">
        <v>186.0159658</v>
      </c>
      <c r="G3858">
        <v>185.39055961</v>
      </c>
    </row>
    <row r="3859" spans="1:7" x14ac:dyDescent="0.25">
      <c r="A3859" s="2">
        <v>3857</v>
      </c>
      <c r="B3859" t="s">
        <v>2230</v>
      </c>
      <c r="C3859" s="1">
        <v>46213</v>
      </c>
      <c r="D3859">
        <v>97.097430000000003</v>
      </c>
      <c r="E3859">
        <v>92.878425660000005</v>
      </c>
      <c r="F3859">
        <v>94.595407710000003</v>
      </c>
      <c r="G3859">
        <v>92.878425660000005</v>
      </c>
    </row>
    <row r="3860" spans="1:7" x14ac:dyDescent="0.25">
      <c r="A3860" s="2">
        <v>3858</v>
      </c>
      <c r="B3860" t="s">
        <v>2232</v>
      </c>
      <c r="C3860" s="1">
        <v>46213</v>
      </c>
      <c r="D3860">
        <v>70.920199999999994</v>
      </c>
      <c r="E3860">
        <v>143.10365286000001</v>
      </c>
      <c r="F3860">
        <v>144.75661547999999</v>
      </c>
      <c r="G3860">
        <v>143.10365286000001</v>
      </c>
    </row>
    <row r="3861" spans="1:7" x14ac:dyDescent="0.25">
      <c r="A3861" s="2">
        <v>3859</v>
      </c>
      <c r="B3861" t="s">
        <v>2235</v>
      </c>
      <c r="C3861" s="1">
        <v>46213</v>
      </c>
      <c r="D3861">
        <v>90.878640000000004</v>
      </c>
      <c r="E3861">
        <v>82.802833030000002</v>
      </c>
      <c r="F3861">
        <v>84.423685570000004</v>
      </c>
      <c r="G3861">
        <v>82.802833030000002</v>
      </c>
    </row>
    <row r="3862" spans="1:7" x14ac:dyDescent="0.25">
      <c r="A3862" s="2">
        <v>3860</v>
      </c>
      <c r="B3862" t="s">
        <v>2238</v>
      </c>
      <c r="C3862" s="1">
        <v>46213</v>
      </c>
      <c r="D3862">
        <v>89.411770000000004</v>
      </c>
      <c r="E3862">
        <v>119.21048915</v>
      </c>
      <c r="F3862">
        <v>120.95991834</v>
      </c>
      <c r="G3862">
        <v>119.21048915</v>
      </c>
    </row>
    <row r="3863" spans="1:7" x14ac:dyDescent="0.25">
      <c r="A3863" s="2">
        <v>3861</v>
      </c>
      <c r="B3863" t="s">
        <v>2240</v>
      </c>
      <c r="C3863" s="1">
        <v>46213</v>
      </c>
      <c r="D3863">
        <v>68.014849999999996</v>
      </c>
      <c r="E3863">
        <v>143.48284702999999</v>
      </c>
      <c r="F3863">
        <v>145.19324789000001</v>
      </c>
      <c r="G3863">
        <v>143.48284702999999</v>
      </c>
    </row>
    <row r="3864" spans="1:7" x14ac:dyDescent="0.25">
      <c r="A3864" s="2">
        <v>3862</v>
      </c>
      <c r="B3864" t="s">
        <v>2243</v>
      </c>
      <c r="C3864" s="1">
        <v>46213</v>
      </c>
      <c r="D3864">
        <v>89.915570000000002</v>
      </c>
      <c r="E3864">
        <v>73.840001619999995</v>
      </c>
      <c r="F3864">
        <v>75.448300369999998</v>
      </c>
      <c r="G3864">
        <v>73.840001619999995</v>
      </c>
    </row>
    <row r="3865" spans="1:7" x14ac:dyDescent="0.25">
      <c r="A3865" s="2">
        <v>3863</v>
      </c>
      <c r="B3865" t="s">
        <v>2246</v>
      </c>
      <c r="C3865" s="1">
        <v>46213</v>
      </c>
      <c r="D3865">
        <v>62.81241</v>
      </c>
      <c r="E3865">
        <v>141.52930301000001</v>
      </c>
      <c r="F3865">
        <v>144.03327242</v>
      </c>
      <c r="G3865">
        <v>141.52930301000001</v>
      </c>
    </row>
    <row r="3866" spans="1:7" x14ac:dyDescent="0.25">
      <c r="A3866" s="2">
        <v>3864</v>
      </c>
      <c r="B3866" t="s">
        <v>2249</v>
      </c>
      <c r="C3866" s="1">
        <v>46213</v>
      </c>
      <c r="D3866">
        <v>80.297759999999997</v>
      </c>
      <c r="E3866">
        <v>146.73718911</v>
      </c>
      <c r="F3866">
        <v>148.29391626</v>
      </c>
      <c r="G3866">
        <v>146.73718911</v>
      </c>
    </row>
    <row r="3867" spans="1:7" x14ac:dyDescent="0.25">
      <c r="A3867" s="2">
        <v>3865</v>
      </c>
      <c r="B3867" t="s">
        <v>2252</v>
      </c>
      <c r="C3867" s="1">
        <v>46213</v>
      </c>
      <c r="D3867">
        <v>98.516300000000001</v>
      </c>
      <c r="E3867">
        <v>97.420872889999998</v>
      </c>
      <c r="F3867">
        <v>100.08297171</v>
      </c>
      <c r="G3867">
        <v>97.420872889999998</v>
      </c>
    </row>
    <row r="3868" spans="1:7" x14ac:dyDescent="0.25">
      <c r="A3868" s="2">
        <v>3866</v>
      </c>
      <c r="B3868" t="s">
        <v>2254</v>
      </c>
      <c r="C3868" s="1">
        <v>46213</v>
      </c>
      <c r="D3868">
        <v>99.158420000000007</v>
      </c>
      <c r="E3868">
        <v>51.452844140000003</v>
      </c>
      <c r="F3868">
        <v>54.791601479999997</v>
      </c>
      <c r="G3868">
        <v>51.452844140000003</v>
      </c>
    </row>
    <row r="3869" spans="1:7" x14ac:dyDescent="0.25">
      <c r="A3869" s="2">
        <v>3867</v>
      </c>
      <c r="B3869" t="s">
        <v>2256</v>
      </c>
      <c r="C3869" s="1">
        <v>46213</v>
      </c>
      <c r="D3869">
        <v>77.263919999999999</v>
      </c>
      <c r="E3869">
        <v>144.48847559000001</v>
      </c>
      <c r="F3869">
        <v>146.2465583</v>
      </c>
      <c r="G3869">
        <v>144.48847559000001</v>
      </c>
    </row>
    <row r="3870" spans="1:7" x14ac:dyDescent="0.25">
      <c r="A3870" s="2">
        <v>3868</v>
      </c>
      <c r="B3870" t="s">
        <v>2258</v>
      </c>
      <c r="C3870" s="1">
        <v>46213</v>
      </c>
      <c r="D3870">
        <v>76.465710000000001</v>
      </c>
      <c r="E3870">
        <v>173.22701656000001</v>
      </c>
      <c r="F3870">
        <v>174.57592302</v>
      </c>
      <c r="G3870">
        <v>173.22701656000001</v>
      </c>
    </row>
    <row r="3871" spans="1:7" x14ac:dyDescent="0.25">
      <c r="A3871" s="2">
        <v>3869</v>
      </c>
      <c r="B3871" t="s">
        <v>2260</v>
      </c>
      <c r="C3871" s="1">
        <v>46213</v>
      </c>
      <c r="D3871">
        <v>99.315539999999999</v>
      </c>
      <c r="E3871">
        <v>33.164122769999999</v>
      </c>
      <c r="F3871">
        <v>41.527755419999998</v>
      </c>
      <c r="G3871">
        <v>33.164122769999999</v>
      </c>
    </row>
    <row r="3872" spans="1:7" x14ac:dyDescent="0.25">
      <c r="A3872" s="2">
        <v>3870</v>
      </c>
      <c r="B3872" t="s">
        <v>3608</v>
      </c>
      <c r="C3872" s="1">
        <v>46213</v>
      </c>
      <c r="D3872">
        <v>94.5</v>
      </c>
      <c r="F3872">
        <v>594.35567084000002</v>
      </c>
    </row>
    <row r="3873" spans="1:7" x14ac:dyDescent="0.25">
      <c r="A3873" s="2">
        <v>3871</v>
      </c>
      <c r="B3873" t="s">
        <v>3612</v>
      </c>
      <c r="C3873" s="1">
        <v>46213</v>
      </c>
    </row>
    <row r="3874" spans="1:7" x14ac:dyDescent="0.25">
      <c r="A3874" s="2">
        <v>3872</v>
      </c>
      <c r="B3874" t="s">
        <v>3614</v>
      </c>
      <c r="C3874" s="1">
        <v>46213</v>
      </c>
      <c r="D3874">
        <v>90.75</v>
      </c>
      <c r="F3874">
        <v>1283.66037506</v>
      </c>
    </row>
    <row r="3875" spans="1:7" x14ac:dyDescent="0.25">
      <c r="A3875" s="2">
        <v>3873</v>
      </c>
      <c r="B3875" t="s">
        <v>2263</v>
      </c>
      <c r="C3875" s="1">
        <v>46213</v>
      </c>
      <c r="D3875">
        <v>84.954139999999995</v>
      </c>
      <c r="E3875">
        <v>783.84808391000001</v>
      </c>
      <c r="F3875">
        <v>785.66660654999998</v>
      </c>
      <c r="G3875">
        <v>783.84808391000001</v>
      </c>
    </row>
    <row r="3876" spans="1:7" x14ac:dyDescent="0.25">
      <c r="A3876" s="2">
        <v>3874</v>
      </c>
      <c r="B3876" t="s">
        <v>2267</v>
      </c>
      <c r="C3876" s="1">
        <v>46213</v>
      </c>
      <c r="D3876">
        <v>98.8125</v>
      </c>
      <c r="F3876">
        <v>330.68243622</v>
      </c>
    </row>
    <row r="3877" spans="1:7" x14ac:dyDescent="0.25">
      <c r="A3877" s="2">
        <v>3875</v>
      </c>
      <c r="B3877" t="s">
        <v>2269</v>
      </c>
      <c r="C3877" s="1">
        <v>46213</v>
      </c>
      <c r="D3877">
        <v>99</v>
      </c>
      <c r="F3877">
        <v>389.69922960000002</v>
      </c>
    </row>
    <row r="3878" spans="1:7" x14ac:dyDescent="0.25">
      <c r="A3878" s="2">
        <v>3876</v>
      </c>
      <c r="B3878" t="s">
        <v>3807</v>
      </c>
      <c r="C3878" s="1">
        <v>46213</v>
      </c>
      <c r="D3878">
        <v>105.1551</v>
      </c>
      <c r="E3878">
        <v>313.92646321000001</v>
      </c>
      <c r="F3878">
        <v>316.39668437</v>
      </c>
      <c r="G3878">
        <v>313.92646321000001</v>
      </c>
    </row>
    <row r="3879" spans="1:7" x14ac:dyDescent="0.25">
      <c r="A3879" s="2">
        <v>3877</v>
      </c>
      <c r="B3879" t="s">
        <v>3811</v>
      </c>
      <c r="C3879" s="1">
        <v>46213</v>
      </c>
      <c r="D3879">
        <v>100.37130000000001</v>
      </c>
      <c r="E3879">
        <v>580.40287749000004</v>
      </c>
      <c r="F3879">
        <v>582.71136679999995</v>
      </c>
      <c r="G3879">
        <v>580.40287749000004</v>
      </c>
    </row>
    <row r="3880" spans="1:7" x14ac:dyDescent="0.25">
      <c r="A3880" s="2">
        <v>3878</v>
      </c>
      <c r="B3880" t="s">
        <v>3813</v>
      </c>
      <c r="C3880" s="1">
        <v>46213</v>
      </c>
      <c r="D3880">
        <v>103.8177</v>
      </c>
      <c r="E3880">
        <v>312.55632052999999</v>
      </c>
      <c r="F3880">
        <v>315.06561204000002</v>
      </c>
      <c r="G3880">
        <v>312.55632052999999</v>
      </c>
    </row>
    <row r="3881" spans="1:7" x14ac:dyDescent="0.25">
      <c r="A3881" s="2">
        <v>3879</v>
      </c>
      <c r="B3881" t="s">
        <v>3815</v>
      </c>
      <c r="C3881" s="1">
        <v>46213</v>
      </c>
      <c r="D3881">
        <v>95.7791</v>
      </c>
      <c r="E3881">
        <v>367.35328181</v>
      </c>
      <c r="F3881">
        <v>368.37957545</v>
      </c>
      <c r="G3881">
        <v>367.35328181</v>
      </c>
    </row>
    <row r="3882" spans="1:7" x14ac:dyDescent="0.25">
      <c r="A3882" s="2">
        <v>3880</v>
      </c>
      <c r="B3882" t="s">
        <v>3817</v>
      </c>
      <c r="C3882" s="1">
        <v>46213</v>
      </c>
      <c r="D3882">
        <v>96.008420000000001</v>
      </c>
      <c r="E3882">
        <v>307.04766036000001</v>
      </c>
      <c r="F3882">
        <v>309.61169656999999</v>
      </c>
      <c r="G3882">
        <v>307.04766036000001</v>
      </c>
    </row>
    <row r="3883" spans="1:7" x14ac:dyDescent="0.25">
      <c r="A3883" s="2">
        <v>3881</v>
      </c>
      <c r="B3883" t="s">
        <v>3819</v>
      </c>
      <c r="C3883" s="1">
        <v>46213</v>
      </c>
      <c r="D3883">
        <v>98.25</v>
      </c>
      <c r="F3883">
        <v>380.36651225999998</v>
      </c>
    </row>
    <row r="3884" spans="1:7" x14ac:dyDescent="0.25">
      <c r="A3884" s="2">
        <v>3882</v>
      </c>
      <c r="B3884" t="s">
        <v>3821</v>
      </c>
      <c r="C3884" s="1">
        <v>46213</v>
      </c>
      <c r="D3884">
        <v>98.5</v>
      </c>
      <c r="F3884">
        <v>398.36748210000002</v>
      </c>
    </row>
    <row r="3885" spans="1:7" x14ac:dyDescent="0.25">
      <c r="A3885" s="2">
        <v>3883</v>
      </c>
      <c r="B3885" t="s">
        <v>3822</v>
      </c>
      <c r="C3885" s="1">
        <v>46213</v>
      </c>
    </row>
    <row r="3886" spans="1:7" x14ac:dyDescent="0.25">
      <c r="A3886" s="2">
        <v>3884</v>
      </c>
      <c r="B3886" t="s">
        <v>3824</v>
      </c>
      <c r="C3886" s="1">
        <v>46213</v>
      </c>
      <c r="D3886">
        <v>101.25</v>
      </c>
      <c r="F3886">
        <v>311.78532645000001</v>
      </c>
    </row>
    <row r="3887" spans="1:7" x14ac:dyDescent="0.25">
      <c r="A3887" s="2">
        <v>3885</v>
      </c>
      <c r="B3887" t="s">
        <v>2285</v>
      </c>
      <c r="C3887" s="1">
        <v>46213</v>
      </c>
      <c r="D3887">
        <v>100.4277</v>
      </c>
      <c r="E3887">
        <v>479.84112757000003</v>
      </c>
      <c r="F3887">
        <v>496.42127133999998</v>
      </c>
      <c r="G3887">
        <v>479.84112757000003</v>
      </c>
    </row>
    <row r="3888" spans="1:7" x14ac:dyDescent="0.25">
      <c r="A3888" s="2">
        <v>3886</v>
      </c>
      <c r="B3888" t="s">
        <v>2289</v>
      </c>
      <c r="C3888" s="1">
        <v>46213</v>
      </c>
      <c r="D3888">
        <v>99.499790000000004</v>
      </c>
      <c r="F3888">
        <v>720.12283179999997</v>
      </c>
    </row>
    <row r="3889" spans="1:7" x14ac:dyDescent="0.25">
      <c r="A3889" s="2">
        <v>3887</v>
      </c>
      <c r="B3889" t="s">
        <v>2291</v>
      </c>
      <c r="C3889" s="1">
        <v>46213</v>
      </c>
      <c r="D3889">
        <v>105.12730000000001</v>
      </c>
      <c r="E3889">
        <v>299.00739960999999</v>
      </c>
      <c r="F3889">
        <v>301.01411325999999</v>
      </c>
      <c r="G3889">
        <v>299.00739960999999</v>
      </c>
    </row>
    <row r="3890" spans="1:7" x14ac:dyDescent="0.25">
      <c r="A3890" s="2">
        <v>3888</v>
      </c>
      <c r="B3890" t="s">
        <v>2293</v>
      </c>
      <c r="C3890" s="1">
        <v>46213</v>
      </c>
      <c r="D3890">
        <v>100.5625</v>
      </c>
      <c r="F3890">
        <v>396.96413676999998</v>
      </c>
    </row>
    <row r="3891" spans="1:7" x14ac:dyDescent="0.25">
      <c r="A3891" s="2">
        <v>3889</v>
      </c>
      <c r="B3891" t="s">
        <v>2295</v>
      </c>
      <c r="C3891" s="1">
        <v>46213</v>
      </c>
      <c r="D3891">
        <v>96.071539999999999</v>
      </c>
      <c r="E3891">
        <v>687.64783579000004</v>
      </c>
      <c r="F3891">
        <v>689.54983701000003</v>
      </c>
      <c r="G3891">
        <v>687.64783579000004</v>
      </c>
    </row>
    <row r="3892" spans="1:7" x14ac:dyDescent="0.25">
      <c r="A3892" s="2">
        <v>3890</v>
      </c>
      <c r="B3892" t="s">
        <v>2299</v>
      </c>
      <c r="C3892" s="1">
        <v>46213</v>
      </c>
      <c r="D3892">
        <v>52.3</v>
      </c>
      <c r="F3892">
        <v>2159.3419309800001</v>
      </c>
    </row>
    <row r="3893" spans="1:7" x14ac:dyDescent="0.25">
      <c r="A3893" s="2">
        <v>3891</v>
      </c>
      <c r="B3893" t="s">
        <v>2303</v>
      </c>
      <c r="C3893" s="1">
        <v>46213</v>
      </c>
      <c r="D3893">
        <v>100.25</v>
      </c>
      <c r="F3893">
        <v>540.61908126000003</v>
      </c>
    </row>
    <row r="3894" spans="1:7" x14ac:dyDescent="0.25">
      <c r="A3894" s="2">
        <v>3892</v>
      </c>
      <c r="B3894" t="s">
        <v>2304</v>
      </c>
      <c r="C3894" s="1">
        <v>46213</v>
      </c>
    </row>
    <row r="3895" spans="1:7" x14ac:dyDescent="0.25">
      <c r="A3895" s="2">
        <v>3893</v>
      </c>
      <c r="B3895" t="s">
        <v>2306</v>
      </c>
      <c r="C3895" s="1">
        <v>46213</v>
      </c>
      <c r="D3895">
        <v>52.983490000000003</v>
      </c>
      <c r="E3895">
        <v>3078.4790045499999</v>
      </c>
      <c r="F3895">
        <v>3080.6539464900002</v>
      </c>
      <c r="G3895">
        <v>3078.4790045499999</v>
      </c>
    </row>
    <row r="3896" spans="1:7" x14ac:dyDescent="0.25">
      <c r="A3896" s="2">
        <v>3894</v>
      </c>
      <c r="B3896" t="s">
        <v>1889</v>
      </c>
      <c r="C3896" s="1">
        <v>46213</v>
      </c>
      <c r="D3896">
        <v>87.553330000000003</v>
      </c>
      <c r="E3896">
        <v>1005.70303244</v>
      </c>
      <c r="F3896">
        <v>1007.9112721499999</v>
      </c>
      <c r="G3896">
        <v>1005.70303244</v>
      </c>
    </row>
    <row r="3897" spans="1:7" x14ac:dyDescent="0.25">
      <c r="A3897" s="2">
        <v>3895</v>
      </c>
      <c r="B3897" t="s">
        <v>1893</v>
      </c>
      <c r="C3897" s="1">
        <v>46213</v>
      </c>
    </row>
    <row r="3898" spans="1:7" x14ac:dyDescent="0.25">
      <c r="A3898" s="2">
        <v>3896</v>
      </c>
      <c r="B3898" t="s">
        <v>1895</v>
      </c>
      <c r="C3898" s="1">
        <v>46213</v>
      </c>
      <c r="D3898">
        <v>58.907809999999998</v>
      </c>
      <c r="E3898">
        <v>1555.4525149000001</v>
      </c>
      <c r="F3898">
        <v>1557.4669630200001</v>
      </c>
      <c r="G3898">
        <v>1555.4525149000001</v>
      </c>
    </row>
    <row r="3899" spans="1:7" x14ac:dyDescent="0.25">
      <c r="A3899" s="2">
        <v>3897</v>
      </c>
      <c r="B3899" t="s">
        <v>1897</v>
      </c>
      <c r="C3899" s="1">
        <v>46213</v>
      </c>
      <c r="D3899">
        <v>92.102500000000006</v>
      </c>
      <c r="E3899">
        <v>330.09130892000002</v>
      </c>
      <c r="F3899">
        <v>332.65365243999997</v>
      </c>
      <c r="G3899">
        <v>330.09130892000002</v>
      </c>
    </row>
    <row r="3900" spans="1:7" x14ac:dyDescent="0.25">
      <c r="A3900" s="2">
        <v>3898</v>
      </c>
      <c r="B3900" t="s">
        <v>1899</v>
      </c>
      <c r="C3900" s="1">
        <v>46213</v>
      </c>
    </row>
    <row r="3901" spans="1:7" x14ac:dyDescent="0.25">
      <c r="A3901" s="2">
        <v>3899</v>
      </c>
      <c r="B3901" t="s">
        <v>1901</v>
      </c>
      <c r="C3901" s="1">
        <v>46213</v>
      </c>
      <c r="D3901">
        <v>95.5</v>
      </c>
      <c r="F3901">
        <v>467.28173292000002</v>
      </c>
    </row>
    <row r="3902" spans="1:7" x14ac:dyDescent="0.25">
      <c r="A3902" s="2">
        <v>3900</v>
      </c>
      <c r="B3902" t="s">
        <v>1903</v>
      </c>
      <c r="C3902" s="1">
        <v>46213</v>
      </c>
      <c r="D3902">
        <v>99.875</v>
      </c>
      <c r="F3902">
        <v>566.30670261</v>
      </c>
    </row>
    <row r="3903" spans="1:7" x14ac:dyDescent="0.25">
      <c r="A3903" s="2">
        <v>3901</v>
      </c>
      <c r="B3903" t="s">
        <v>1905</v>
      </c>
      <c r="C3903" s="1">
        <v>46213</v>
      </c>
    </row>
    <row r="3904" spans="1:7" x14ac:dyDescent="0.25">
      <c r="A3904" s="2">
        <v>3902</v>
      </c>
      <c r="B3904" t="s">
        <v>1907</v>
      </c>
      <c r="C3904" s="1">
        <v>46213</v>
      </c>
    </row>
    <row r="3905" spans="1:7" x14ac:dyDescent="0.25">
      <c r="A3905" s="2">
        <v>3903</v>
      </c>
      <c r="B3905" t="s">
        <v>1908</v>
      </c>
      <c r="C3905" s="1">
        <v>46213</v>
      </c>
    </row>
    <row r="3906" spans="1:7" x14ac:dyDescent="0.25">
      <c r="A3906" s="2">
        <v>3904</v>
      </c>
      <c r="B3906" t="s">
        <v>2327</v>
      </c>
      <c r="C3906" s="1">
        <v>46213</v>
      </c>
      <c r="D3906">
        <v>67.374799999999993</v>
      </c>
      <c r="E3906">
        <v>314.960058</v>
      </c>
      <c r="F3906">
        <v>314.78739325999999</v>
      </c>
      <c r="G3906">
        <v>314.960058</v>
      </c>
    </row>
    <row r="3907" spans="1:7" x14ac:dyDescent="0.25">
      <c r="A3907" s="2">
        <v>3905</v>
      </c>
      <c r="B3907" t="s">
        <v>2331</v>
      </c>
      <c r="C3907" s="1">
        <v>46213</v>
      </c>
      <c r="D3907">
        <v>92.820430000000002</v>
      </c>
      <c r="E3907">
        <v>193.74588122</v>
      </c>
      <c r="F3907">
        <v>195.8556403</v>
      </c>
      <c r="G3907">
        <v>193.74588122</v>
      </c>
    </row>
    <row r="3908" spans="1:7" x14ac:dyDescent="0.25">
      <c r="A3908" s="2">
        <v>3906</v>
      </c>
      <c r="B3908" t="s">
        <v>2333</v>
      </c>
      <c r="C3908" s="1">
        <v>46213</v>
      </c>
      <c r="D3908">
        <v>80.809250000000006</v>
      </c>
      <c r="E3908">
        <v>383.49307026999998</v>
      </c>
      <c r="F3908">
        <v>381.88574686999999</v>
      </c>
      <c r="G3908">
        <v>383.49307026999998</v>
      </c>
    </row>
    <row r="3909" spans="1:7" x14ac:dyDescent="0.25">
      <c r="A3909" s="2">
        <v>3907</v>
      </c>
      <c r="B3909" t="s">
        <v>2335</v>
      </c>
      <c r="C3909" s="1">
        <v>46213</v>
      </c>
      <c r="D3909">
        <v>91.150750000000002</v>
      </c>
      <c r="E3909">
        <v>326.31757961</v>
      </c>
      <c r="F3909">
        <v>327.72378836000001</v>
      </c>
      <c r="G3909">
        <v>326.31757961</v>
      </c>
    </row>
    <row r="3910" spans="1:7" x14ac:dyDescent="0.25">
      <c r="A3910" s="2">
        <v>3908</v>
      </c>
      <c r="B3910" t="s">
        <v>2337</v>
      </c>
      <c r="C3910" s="1">
        <v>46213</v>
      </c>
      <c r="D3910">
        <v>79.677970000000002</v>
      </c>
      <c r="E3910">
        <v>1138.9244679000001</v>
      </c>
      <c r="F3910">
        <v>1141.0998894300001</v>
      </c>
      <c r="G3910">
        <v>1138.9244679000001</v>
      </c>
    </row>
    <row r="3911" spans="1:7" x14ac:dyDescent="0.25">
      <c r="A3911" s="2">
        <v>3909</v>
      </c>
      <c r="B3911" t="s">
        <v>2339</v>
      </c>
      <c r="C3911" s="1">
        <v>46213</v>
      </c>
      <c r="D3911">
        <v>104.3935</v>
      </c>
      <c r="E3911">
        <v>267.32691455999998</v>
      </c>
      <c r="F3911">
        <v>269.49666375999999</v>
      </c>
      <c r="G3911">
        <v>267.32691455999998</v>
      </c>
    </row>
    <row r="3912" spans="1:7" x14ac:dyDescent="0.25">
      <c r="A3912" s="2">
        <v>3910</v>
      </c>
      <c r="B3912" t="s">
        <v>2341</v>
      </c>
      <c r="C3912" s="1">
        <v>46213</v>
      </c>
    </row>
    <row r="3913" spans="1:7" x14ac:dyDescent="0.25">
      <c r="A3913" s="2">
        <v>3911</v>
      </c>
      <c r="B3913" t="s">
        <v>2310</v>
      </c>
      <c r="C3913" s="1">
        <v>46213</v>
      </c>
      <c r="D3913">
        <v>98.224729999999994</v>
      </c>
      <c r="E3913">
        <v>726.79911593999998</v>
      </c>
      <c r="F3913">
        <v>727.32270136</v>
      </c>
      <c r="G3913">
        <v>726.79911593999998</v>
      </c>
    </row>
    <row r="3914" spans="1:7" x14ac:dyDescent="0.25">
      <c r="A3914" s="2">
        <v>3912</v>
      </c>
      <c r="B3914" t="s">
        <v>2313</v>
      </c>
      <c r="C3914" s="1">
        <v>46213</v>
      </c>
      <c r="D3914">
        <v>99.453779999999995</v>
      </c>
      <c r="E3914">
        <v>457.41057898999998</v>
      </c>
      <c r="F3914">
        <v>458.66912697999999</v>
      </c>
      <c r="G3914">
        <v>457.41057898999998</v>
      </c>
    </row>
    <row r="3915" spans="1:7" x14ac:dyDescent="0.25">
      <c r="A3915" s="2">
        <v>3913</v>
      </c>
      <c r="B3915" t="s">
        <v>2315</v>
      </c>
      <c r="C3915" s="1">
        <v>46213</v>
      </c>
      <c r="D3915">
        <v>99.875</v>
      </c>
      <c r="F3915">
        <v>480.72433308000001</v>
      </c>
    </row>
    <row r="3916" spans="1:7" x14ac:dyDescent="0.25">
      <c r="A3916" s="2">
        <v>3914</v>
      </c>
      <c r="B3916" t="s">
        <v>3627</v>
      </c>
      <c r="C3916" s="1">
        <v>46213</v>
      </c>
      <c r="D3916">
        <v>90.125</v>
      </c>
      <c r="F3916">
        <v>951.80341705000001</v>
      </c>
    </row>
    <row r="3917" spans="1:7" x14ac:dyDescent="0.25">
      <c r="A3917" s="2">
        <v>3915</v>
      </c>
      <c r="B3917" t="s">
        <v>3630</v>
      </c>
      <c r="C3917" s="1">
        <v>46213</v>
      </c>
      <c r="D3917">
        <v>73.5</v>
      </c>
      <c r="F3917">
        <v>1219.88662125</v>
      </c>
    </row>
    <row r="3918" spans="1:7" x14ac:dyDescent="0.25">
      <c r="A3918" s="2">
        <v>3916</v>
      </c>
      <c r="B3918" t="s">
        <v>3632</v>
      </c>
      <c r="C3918" s="1">
        <v>46213</v>
      </c>
    </row>
    <row r="3919" spans="1:7" x14ac:dyDescent="0.25">
      <c r="A3919" s="2">
        <v>3917</v>
      </c>
      <c r="B3919" t="s">
        <v>2343</v>
      </c>
      <c r="C3919" s="1">
        <v>46213</v>
      </c>
      <c r="D3919">
        <v>82</v>
      </c>
      <c r="F3919">
        <v>1398.9704670000001</v>
      </c>
    </row>
    <row r="3920" spans="1:7" x14ac:dyDescent="0.25">
      <c r="A3920" s="2">
        <v>3918</v>
      </c>
      <c r="B3920" t="s">
        <v>2348</v>
      </c>
      <c r="C3920" s="1">
        <v>46213</v>
      </c>
    </row>
    <row r="3921" spans="1:7" x14ac:dyDescent="0.25">
      <c r="A3921" s="2">
        <v>3919</v>
      </c>
      <c r="B3921" t="s">
        <v>2352</v>
      </c>
      <c r="C3921" s="1">
        <v>46213</v>
      </c>
    </row>
    <row r="3922" spans="1:7" x14ac:dyDescent="0.25">
      <c r="A3922" s="2">
        <v>3920</v>
      </c>
      <c r="B3922" t="s">
        <v>2354</v>
      </c>
      <c r="C3922" s="1">
        <v>46213</v>
      </c>
      <c r="D3922">
        <v>93.8125</v>
      </c>
      <c r="F3922">
        <v>1131.4985299099999</v>
      </c>
    </row>
    <row r="3923" spans="1:7" x14ac:dyDescent="0.25">
      <c r="A3923" s="2">
        <v>3921</v>
      </c>
      <c r="B3923" t="s">
        <v>2355</v>
      </c>
      <c r="C3923" s="1">
        <v>46213</v>
      </c>
    </row>
    <row r="3924" spans="1:7" x14ac:dyDescent="0.25">
      <c r="A3924" s="2">
        <v>3922</v>
      </c>
      <c r="B3924" t="s">
        <v>2356</v>
      </c>
      <c r="C3924" s="1">
        <v>46213</v>
      </c>
      <c r="D3924">
        <v>98.001639999999995</v>
      </c>
      <c r="E3924">
        <v>716.39073516999997</v>
      </c>
      <c r="F3924">
        <v>718.54834089999997</v>
      </c>
      <c r="G3924">
        <v>716.39073516999997</v>
      </c>
    </row>
    <row r="3925" spans="1:7" x14ac:dyDescent="0.25">
      <c r="A3925" s="2">
        <v>3923</v>
      </c>
      <c r="B3925" t="s">
        <v>3248</v>
      </c>
      <c r="C3925" s="1">
        <v>46213</v>
      </c>
      <c r="D3925">
        <v>99.124369999999999</v>
      </c>
      <c r="E3925">
        <v>678.82785865000005</v>
      </c>
      <c r="F3925">
        <v>681.04155738999998</v>
      </c>
      <c r="G3925">
        <v>678.82785865000005</v>
      </c>
    </row>
    <row r="3926" spans="1:7" x14ac:dyDescent="0.25">
      <c r="A3926" s="2">
        <v>3924</v>
      </c>
      <c r="B3926" t="s">
        <v>3634</v>
      </c>
      <c r="C3926" s="1">
        <v>46213</v>
      </c>
      <c r="D3926">
        <v>95.25</v>
      </c>
      <c r="F3926">
        <v>718.03264918000002</v>
      </c>
    </row>
    <row r="3927" spans="1:7" x14ac:dyDescent="0.25">
      <c r="A3927" s="2">
        <v>3925</v>
      </c>
      <c r="B3927" t="s">
        <v>2370</v>
      </c>
      <c r="C3927" s="1">
        <v>46213</v>
      </c>
      <c r="D3927">
        <v>83.57105</v>
      </c>
      <c r="E3927">
        <v>754.45941147999997</v>
      </c>
      <c r="F3927">
        <v>756.15452309</v>
      </c>
      <c r="G3927">
        <v>754.45941147999997</v>
      </c>
    </row>
    <row r="3928" spans="1:7" x14ac:dyDescent="0.25">
      <c r="A3928" s="2">
        <v>3926</v>
      </c>
      <c r="B3928" t="s">
        <v>2374</v>
      </c>
      <c r="C3928" s="1">
        <v>46213</v>
      </c>
      <c r="D3928">
        <v>98.5</v>
      </c>
      <c r="F3928">
        <v>492.58418999999998</v>
      </c>
    </row>
    <row r="3929" spans="1:7" x14ac:dyDescent="0.25">
      <c r="A3929" s="2">
        <v>3927</v>
      </c>
      <c r="B3929" t="s">
        <v>2376</v>
      </c>
      <c r="C3929" s="1">
        <v>46213</v>
      </c>
      <c r="D3929">
        <v>98.5</v>
      </c>
      <c r="F3929">
        <v>493.27863392</v>
      </c>
    </row>
    <row r="3930" spans="1:7" x14ac:dyDescent="0.25">
      <c r="A3930" s="2">
        <v>3928</v>
      </c>
      <c r="B3930" t="s">
        <v>2377</v>
      </c>
      <c r="C3930" s="1">
        <v>46213</v>
      </c>
      <c r="D3930">
        <v>97.75</v>
      </c>
      <c r="F3930">
        <v>555.05674022999995</v>
      </c>
    </row>
    <row r="3931" spans="1:7" x14ac:dyDescent="0.25">
      <c r="A3931" s="2">
        <v>3929</v>
      </c>
      <c r="B3931" t="s">
        <v>2379</v>
      </c>
      <c r="C3931" s="1">
        <v>46213</v>
      </c>
      <c r="D3931">
        <v>97.25</v>
      </c>
      <c r="F3931">
        <v>510.85615960000001</v>
      </c>
    </row>
    <row r="3932" spans="1:7" x14ac:dyDescent="0.25">
      <c r="A3932" s="2">
        <v>3930</v>
      </c>
      <c r="B3932" t="s">
        <v>2380</v>
      </c>
      <c r="C3932" s="1">
        <v>46213</v>
      </c>
      <c r="D3932">
        <v>87.5</v>
      </c>
    </row>
    <row r="3933" spans="1:7" x14ac:dyDescent="0.25">
      <c r="A3933" s="2">
        <v>3931</v>
      </c>
      <c r="B3933" t="s">
        <v>3826</v>
      </c>
      <c r="C3933" s="1">
        <v>46213</v>
      </c>
    </row>
    <row r="3934" spans="1:7" x14ac:dyDescent="0.25">
      <c r="A3934" s="2">
        <v>3932</v>
      </c>
      <c r="B3934" t="s">
        <v>3828</v>
      </c>
      <c r="C3934" s="1">
        <v>46213</v>
      </c>
      <c r="D3934">
        <v>92.5</v>
      </c>
    </row>
    <row r="3935" spans="1:7" x14ac:dyDescent="0.25">
      <c r="A3935" s="2">
        <v>3933</v>
      </c>
      <c r="B3935" t="s">
        <v>2388</v>
      </c>
      <c r="C3935" s="1">
        <v>46213</v>
      </c>
      <c r="D3935">
        <v>82.275869999999998</v>
      </c>
      <c r="E3935">
        <v>814.75174879999997</v>
      </c>
      <c r="F3935">
        <v>817.65417668999999</v>
      </c>
      <c r="G3935">
        <v>814.75174879999997</v>
      </c>
    </row>
    <row r="3936" spans="1:7" x14ac:dyDescent="0.25">
      <c r="A3936" s="2">
        <v>3934</v>
      </c>
      <c r="B3936" t="s">
        <v>2392</v>
      </c>
      <c r="C3936" s="1">
        <v>46213</v>
      </c>
      <c r="D3936">
        <v>89.5</v>
      </c>
      <c r="F3936">
        <v>538.53040857999997</v>
      </c>
    </row>
    <row r="3937" spans="1:7" x14ac:dyDescent="0.25">
      <c r="A3937" s="2">
        <v>3935</v>
      </c>
      <c r="B3937" t="s">
        <v>2394</v>
      </c>
      <c r="C3937" s="1">
        <v>46213</v>
      </c>
    </row>
    <row r="3938" spans="1:7" x14ac:dyDescent="0.25">
      <c r="A3938" s="2">
        <v>3936</v>
      </c>
      <c r="B3938" t="s">
        <v>2396</v>
      </c>
      <c r="C3938" s="1">
        <v>46213</v>
      </c>
      <c r="D3938">
        <v>86.339230000000001</v>
      </c>
      <c r="E3938">
        <v>708.47358168999995</v>
      </c>
      <c r="F3938">
        <v>710.18342708</v>
      </c>
      <c r="G3938">
        <v>708.47358168999995</v>
      </c>
    </row>
    <row r="3939" spans="1:7" x14ac:dyDescent="0.25">
      <c r="A3939" s="2">
        <v>3937</v>
      </c>
      <c r="B3939" t="s">
        <v>2400</v>
      </c>
      <c r="C3939" s="1">
        <v>46213</v>
      </c>
      <c r="D3939">
        <v>96.125</v>
      </c>
      <c r="F3939">
        <v>446.71370845000001</v>
      </c>
    </row>
    <row r="3940" spans="1:7" x14ac:dyDescent="0.25">
      <c r="A3940" s="2">
        <v>3938</v>
      </c>
      <c r="B3940" t="s">
        <v>2402</v>
      </c>
      <c r="C3940" s="1">
        <v>46213</v>
      </c>
      <c r="D3940">
        <v>99</v>
      </c>
      <c r="F3940">
        <v>263.13319399</v>
      </c>
    </row>
    <row r="3941" spans="1:7" x14ac:dyDescent="0.25">
      <c r="A3941" s="2">
        <v>3939</v>
      </c>
      <c r="B3941" t="s">
        <v>2404</v>
      </c>
      <c r="C3941" s="1">
        <v>46213</v>
      </c>
      <c r="D3941">
        <v>38.744459999999997</v>
      </c>
      <c r="E3941">
        <v>1458.7373872200001</v>
      </c>
      <c r="F3941">
        <v>1449.13095391</v>
      </c>
      <c r="G3941">
        <v>1458.7373872200001</v>
      </c>
    </row>
    <row r="3942" spans="1:7" x14ac:dyDescent="0.25">
      <c r="A3942" s="2">
        <v>3940</v>
      </c>
      <c r="B3942" t="s">
        <v>2408</v>
      </c>
      <c r="C3942" s="1">
        <v>46213</v>
      </c>
      <c r="D3942">
        <v>36.982579999999999</v>
      </c>
      <c r="E3942">
        <v>1467.06422314</v>
      </c>
      <c r="F3942">
        <v>1459.2955568699999</v>
      </c>
      <c r="G3942">
        <v>1467.06422314</v>
      </c>
    </row>
    <row r="3943" spans="1:7" x14ac:dyDescent="0.25">
      <c r="A3943" s="2">
        <v>3941</v>
      </c>
      <c r="B3943" t="s">
        <v>2410</v>
      </c>
      <c r="C3943" s="1">
        <v>46213</v>
      </c>
      <c r="D3943">
        <v>70.291240000000002</v>
      </c>
      <c r="E3943">
        <v>2090.46212148</v>
      </c>
      <c r="F3943">
        <v>2092.8171701000001</v>
      </c>
      <c r="G3943">
        <v>2090.46212148</v>
      </c>
    </row>
    <row r="3944" spans="1:7" x14ac:dyDescent="0.25">
      <c r="A3944" s="2">
        <v>3942</v>
      </c>
      <c r="B3944" t="s">
        <v>2412</v>
      </c>
      <c r="C3944" s="1">
        <v>46213</v>
      </c>
      <c r="D3944">
        <v>101.3125</v>
      </c>
      <c r="F3944">
        <v>398.88741851999998</v>
      </c>
    </row>
    <row r="3945" spans="1:7" x14ac:dyDescent="0.25">
      <c r="A3945" s="2">
        <v>3943</v>
      </c>
      <c r="B3945" t="s">
        <v>2414</v>
      </c>
      <c r="C3945" s="1">
        <v>46213</v>
      </c>
      <c r="D3945">
        <v>101.4375</v>
      </c>
      <c r="F3945">
        <v>468.16399367000002</v>
      </c>
    </row>
    <row r="3946" spans="1:7" x14ac:dyDescent="0.25">
      <c r="A3946" s="2">
        <v>3944</v>
      </c>
      <c r="B3946" t="s">
        <v>2416</v>
      </c>
      <c r="C3946" s="1">
        <v>46213</v>
      </c>
      <c r="D3946">
        <v>101.625</v>
      </c>
      <c r="F3946">
        <v>511.17005344</v>
      </c>
    </row>
    <row r="3947" spans="1:7" x14ac:dyDescent="0.25">
      <c r="A3947" s="2">
        <v>3945</v>
      </c>
      <c r="B3947" t="s">
        <v>2418</v>
      </c>
      <c r="C3947" s="1">
        <v>46213</v>
      </c>
    </row>
    <row r="3948" spans="1:7" x14ac:dyDescent="0.25">
      <c r="A3948" s="2">
        <v>3946</v>
      </c>
      <c r="B3948" t="s">
        <v>2420</v>
      </c>
      <c r="C3948" s="1">
        <v>46213</v>
      </c>
      <c r="D3948">
        <v>70.75</v>
      </c>
      <c r="F3948">
        <v>2354.4909423499998</v>
      </c>
    </row>
    <row r="3949" spans="1:7" x14ac:dyDescent="0.25">
      <c r="A3949" s="2">
        <v>3947</v>
      </c>
      <c r="B3949" t="s">
        <v>2421</v>
      </c>
      <c r="C3949" s="1">
        <v>46213</v>
      </c>
      <c r="D3949">
        <v>39.744210000000002</v>
      </c>
      <c r="E3949">
        <v>4215.5711569900004</v>
      </c>
      <c r="F3949">
        <v>4218.2772694599998</v>
      </c>
      <c r="G3949">
        <v>4215.5711569900004</v>
      </c>
    </row>
    <row r="3950" spans="1:7" x14ac:dyDescent="0.25">
      <c r="A3950" s="2">
        <v>3948</v>
      </c>
      <c r="B3950" t="s">
        <v>1742</v>
      </c>
      <c r="C3950" s="1">
        <v>46213</v>
      </c>
      <c r="D3950">
        <v>40.626170000000002</v>
      </c>
    </row>
    <row r="3951" spans="1:7" x14ac:dyDescent="0.25">
      <c r="A3951" s="2">
        <v>3949</v>
      </c>
      <c r="B3951" t="s">
        <v>1746</v>
      </c>
      <c r="C3951" s="1">
        <v>46213</v>
      </c>
      <c r="D3951">
        <v>48.822800000000001</v>
      </c>
    </row>
    <row r="3952" spans="1:7" x14ac:dyDescent="0.25">
      <c r="A3952" s="2">
        <v>3950</v>
      </c>
      <c r="B3952" t="s">
        <v>1748</v>
      </c>
      <c r="C3952" s="1">
        <v>46213</v>
      </c>
      <c r="D3952">
        <v>40.858580000000003</v>
      </c>
    </row>
    <row r="3953" spans="1:7" x14ac:dyDescent="0.25">
      <c r="A3953" s="2">
        <v>3951</v>
      </c>
      <c r="B3953" t="s">
        <v>1750</v>
      </c>
      <c r="C3953" s="1">
        <v>46213</v>
      </c>
      <c r="D3953">
        <v>40.858580000000003</v>
      </c>
    </row>
    <row r="3954" spans="1:7" x14ac:dyDescent="0.25">
      <c r="A3954" s="2">
        <v>3952</v>
      </c>
      <c r="B3954" t="s">
        <v>1751</v>
      </c>
      <c r="C3954" s="1">
        <v>46213</v>
      </c>
      <c r="D3954">
        <v>42.689250000000001</v>
      </c>
    </row>
    <row r="3955" spans="1:7" x14ac:dyDescent="0.25">
      <c r="A3955" s="2">
        <v>3953</v>
      </c>
      <c r="B3955" t="s">
        <v>1753</v>
      </c>
      <c r="C3955" s="1">
        <v>46213</v>
      </c>
    </row>
    <row r="3956" spans="1:7" x14ac:dyDescent="0.25">
      <c r="A3956" s="2">
        <v>3954</v>
      </c>
      <c r="B3956" t="s">
        <v>1755</v>
      </c>
      <c r="C3956" s="1">
        <v>46213</v>
      </c>
      <c r="D3956">
        <v>5.3609840000000002</v>
      </c>
    </row>
    <row r="3957" spans="1:7" x14ac:dyDescent="0.25">
      <c r="A3957" s="2">
        <v>3955</v>
      </c>
      <c r="B3957" t="s">
        <v>1757</v>
      </c>
      <c r="C3957" s="1">
        <v>46213</v>
      </c>
      <c r="D3957">
        <v>5.25</v>
      </c>
    </row>
    <row r="3958" spans="1:7" x14ac:dyDescent="0.25">
      <c r="A3958" s="2">
        <v>3956</v>
      </c>
      <c r="B3958" t="s">
        <v>1759</v>
      </c>
      <c r="C3958" s="1">
        <v>46213</v>
      </c>
      <c r="D3958">
        <v>4.5251539999999997</v>
      </c>
    </row>
    <row r="3959" spans="1:7" x14ac:dyDescent="0.25">
      <c r="A3959" s="2">
        <v>3957</v>
      </c>
      <c r="B3959" t="s">
        <v>1761</v>
      </c>
      <c r="C3959" s="1">
        <v>46213</v>
      </c>
      <c r="D3959">
        <v>5.3609840000000002</v>
      </c>
    </row>
    <row r="3960" spans="1:7" x14ac:dyDescent="0.25">
      <c r="A3960" s="2">
        <v>3958</v>
      </c>
      <c r="B3960" t="s">
        <v>1762</v>
      </c>
      <c r="C3960" s="1">
        <v>46213</v>
      </c>
      <c r="D3960">
        <v>4.9950000000000001</v>
      </c>
    </row>
    <row r="3961" spans="1:7" x14ac:dyDescent="0.25">
      <c r="A3961" s="2">
        <v>3959</v>
      </c>
      <c r="B3961" t="s">
        <v>1764</v>
      </c>
      <c r="C3961" s="1">
        <v>46213</v>
      </c>
      <c r="D3961">
        <v>4.5251539999999997</v>
      </c>
    </row>
    <row r="3962" spans="1:7" x14ac:dyDescent="0.25">
      <c r="A3962" s="2">
        <v>3960</v>
      </c>
      <c r="B3962" t="s">
        <v>1765</v>
      </c>
      <c r="C3962" s="1">
        <v>46213</v>
      </c>
      <c r="D3962">
        <v>41.148719999999997</v>
      </c>
    </row>
    <row r="3963" spans="1:7" x14ac:dyDescent="0.25">
      <c r="A3963" s="2">
        <v>3961</v>
      </c>
      <c r="B3963" t="s">
        <v>1767</v>
      </c>
      <c r="C3963" s="1">
        <v>46213</v>
      </c>
      <c r="D3963">
        <v>49</v>
      </c>
    </row>
    <row r="3964" spans="1:7" x14ac:dyDescent="0.25">
      <c r="A3964" s="2">
        <v>3962</v>
      </c>
      <c r="B3964" t="s">
        <v>1769</v>
      </c>
      <c r="C3964" s="1">
        <v>46213</v>
      </c>
      <c r="D3964">
        <v>5.69</v>
      </c>
    </row>
    <row r="3965" spans="1:7" x14ac:dyDescent="0.25">
      <c r="A3965" s="2">
        <v>3963</v>
      </c>
      <c r="B3965" t="s">
        <v>1771</v>
      </c>
      <c r="C3965" s="1">
        <v>46213</v>
      </c>
      <c r="D3965">
        <v>10.02</v>
      </c>
    </row>
    <row r="3966" spans="1:7" x14ac:dyDescent="0.25">
      <c r="A3966" s="2">
        <v>3964</v>
      </c>
      <c r="B3966" t="s">
        <v>1773</v>
      </c>
      <c r="C3966" s="1">
        <v>46213</v>
      </c>
      <c r="D3966">
        <v>10.050000000000001</v>
      </c>
    </row>
    <row r="3967" spans="1:7" x14ac:dyDescent="0.25">
      <c r="A3967" s="2">
        <v>3965</v>
      </c>
      <c r="B3967" t="s">
        <v>3830</v>
      </c>
      <c r="C3967" s="1">
        <v>46213</v>
      </c>
      <c r="D3967">
        <v>125.2804</v>
      </c>
      <c r="E3967">
        <v>-356.41830813000001</v>
      </c>
      <c r="F3967">
        <v>-354.35559104999999</v>
      </c>
      <c r="G3967">
        <v>-356.41830813000001</v>
      </c>
    </row>
    <row r="3968" spans="1:7" x14ac:dyDescent="0.25">
      <c r="A3968" s="2">
        <v>3966</v>
      </c>
      <c r="B3968" t="s">
        <v>3836</v>
      </c>
      <c r="C3968" s="1">
        <v>46213</v>
      </c>
      <c r="D3968">
        <v>69.375</v>
      </c>
      <c r="E3968">
        <v>509.76535372000001</v>
      </c>
      <c r="F3968">
        <v>511.42281609999998</v>
      </c>
      <c r="G3968">
        <v>509.76535372000001</v>
      </c>
    </row>
    <row r="3969" spans="1:7" x14ac:dyDescent="0.25">
      <c r="A3969" s="2">
        <v>3967</v>
      </c>
      <c r="B3969" t="s">
        <v>3838</v>
      </c>
      <c r="C3969" s="1">
        <v>46213</v>
      </c>
    </row>
    <row r="3970" spans="1:7" x14ac:dyDescent="0.25">
      <c r="A3970" s="2">
        <v>3968</v>
      </c>
      <c r="B3970" t="s">
        <v>2425</v>
      </c>
      <c r="C3970" s="1">
        <v>46213</v>
      </c>
      <c r="D3970">
        <v>86.197800000000001</v>
      </c>
      <c r="E3970">
        <v>1317.5515333999999</v>
      </c>
      <c r="F3970">
        <v>1319.9232038099999</v>
      </c>
      <c r="G3970">
        <v>1317.5515333999999</v>
      </c>
    </row>
    <row r="3971" spans="1:7" x14ac:dyDescent="0.25">
      <c r="A3971" s="2">
        <v>3969</v>
      </c>
      <c r="B3971" t="s">
        <v>2429</v>
      </c>
      <c r="C3971" s="1">
        <v>46213</v>
      </c>
    </row>
    <row r="3972" spans="1:7" x14ac:dyDescent="0.25">
      <c r="A3972" s="2">
        <v>3970</v>
      </c>
      <c r="B3972" t="s">
        <v>2431</v>
      </c>
      <c r="C3972" s="1">
        <v>46213</v>
      </c>
      <c r="D3972">
        <v>63.673000000000002</v>
      </c>
    </row>
    <row r="3973" spans="1:7" x14ac:dyDescent="0.25">
      <c r="A3973" s="2">
        <v>3971</v>
      </c>
      <c r="B3973" t="s">
        <v>2436</v>
      </c>
      <c r="C3973" s="1">
        <v>46213</v>
      </c>
      <c r="D3973">
        <v>41.816279999999999</v>
      </c>
      <c r="E3973">
        <v>1083.0962913200001</v>
      </c>
      <c r="F3973">
        <v>1058.4671388100001</v>
      </c>
      <c r="G3973">
        <v>1083.0962913200001</v>
      </c>
    </row>
    <row r="3974" spans="1:7" x14ac:dyDescent="0.25">
      <c r="A3974" s="2">
        <v>3972</v>
      </c>
      <c r="B3974" t="s">
        <v>2438</v>
      </c>
      <c r="C3974" s="1">
        <v>46213</v>
      </c>
      <c r="D3974">
        <v>55.567390000000003</v>
      </c>
      <c r="E3974">
        <v>1919.55083719</v>
      </c>
      <c r="F3974">
        <v>1899.0873974599999</v>
      </c>
      <c r="G3974">
        <v>1919.55083719</v>
      </c>
    </row>
    <row r="3975" spans="1:7" x14ac:dyDescent="0.25">
      <c r="A3975" s="2">
        <v>3973</v>
      </c>
      <c r="B3975" t="s">
        <v>2440</v>
      </c>
      <c r="C3975" s="1">
        <v>46213</v>
      </c>
    </row>
    <row r="3976" spans="1:7" x14ac:dyDescent="0.25">
      <c r="A3976" s="2">
        <v>3974</v>
      </c>
      <c r="B3976" t="s">
        <v>2443</v>
      </c>
      <c r="C3976" s="1">
        <v>46213</v>
      </c>
    </row>
    <row r="3977" spans="1:7" x14ac:dyDescent="0.25">
      <c r="A3977" s="2">
        <v>3975</v>
      </c>
      <c r="B3977" t="s">
        <v>2446</v>
      </c>
      <c r="C3977" s="1">
        <v>46213</v>
      </c>
      <c r="D3977">
        <v>56.205880000000001</v>
      </c>
      <c r="E3977">
        <v>1525.18067501</v>
      </c>
      <c r="F3977">
        <v>1493.2891282000001</v>
      </c>
      <c r="G3977">
        <v>1525.18067501</v>
      </c>
    </row>
    <row r="3978" spans="1:7" x14ac:dyDescent="0.25">
      <c r="A3978" s="2">
        <v>3976</v>
      </c>
      <c r="B3978" t="s">
        <v>2448</v>
      </c>
      <c r="C3978" s="1">
        <v>46213</v>
      </c>
      <c r="D3978">
        <v>61.095289999999999</v>
      </c>
      <c r="E3978">
        <v>1963.0040580499999</v>
      </c>
      <c r="F3978">
        <v>1948.2168845000001</v>
      </c>
      <c r="G3978">
        <v>1963.0040580499999</v>
      </c>
    </row>
    <row r="3979" spans="1:7" x14ac:dyDescent="0.25">
      <c r="A3979" s="2">
        <v>3977</v>
      </c>
      <c r="B3979" t="s">
        <v>2450</v>
      </c>
      <c r="C3979" s="1">
        <v>46213</v>
      </c>
      <c r="D3979">
        <v>907.59280000000001</v>
      </c>
      <c r="F3979">
        <v>-237.82597375</v>
      </c>
    </row>
    <row r="3980" spans="1:7" x14ac:dyDescent="0.25">
      <c r="A3980" s="2">
        <v>3978</v>
      </c>
      <c r="B3980" t="s">
        <v>2452</v>
      </c>
      <c r="C3980" s="1">
        <v>46213</v>
      </c>
      <c r="D3980">
        <v>56.786900000000003</v>
      </c>
      <c r="E3980">
        <v>1461.4671612300001</v>
      </c>
      <c r="F3980">
        <v>1384.6885492900001</v>
      </c>
      <c r="G3980">
        <v>1461.4671612300001</v>
      </c>
    </row>
    <row r="3981" spans="1:7" x14ac:dyDescent="0.25">
      <c r="A3981" s="2">
        <v>3979</v>
      </c>
      <c r="B3981" t="s">
        <v>2454</v>
      </c>
      <c r="C3981" s="1">
        <v>46213</v>
      </c>
    </row>
    <row r="3982" spans="1:7" x14ac:dyDescent="0.25">
      <c r="A3982" s="2">
        <v>3980</v>
      </c>
      <c r="B3982" t="s">
        <v>2456</v>
      </c>
      <c r="C3982" s="1">
        <v>46213</v>
      </c>
      <c r="D3982">
        <v>56.872790000000002</v>
      </c>
      <c r="E3982">
        <v>1151.51438355</v>
      </c>
      <c r="F3982">
        <v>1132.64223608</v>
      </c>
      <c r="G3982">
        <v>1151.51438355</v>
      </c>
    </row>
    <row r="3983" spans="1:7" x14ac:dyDescent="0.25">
      <c r="A3983" s="2">
        <v>3981</v>
      </c>
      <c r="B3983" t="s">
        <v>2458</v>
      </c>
      <c r="C3983" s="1">
        <v>46213</v>
      </c>
    </row>
    <row r="3984" spans="1:7" x14ac:dyDescent="0.25">
      <c r="A3984" s="2">
        <v>3982</v>
      </c>
      <c r="B3984" t="s">
        <v>2461</v>
      </c>
      <c r="C3984" s="1">
        <v>46213</v>
      </c>
    </row>
    <row r="3985" spans="1:7" x14ac:dyDescent="0.25">
      <c r="A3985" s="2">
        <v>3983</v>
      </c>
      <c r="B3985" t="s">
        <v>2464</v>
      </c>
      <c r="C3985" s="1">
        <v>46213</v>
      </c>
      <c r="D3985">
        <v>63.814950000000003</v>
      </c>
    </row>
    <row r="3986" spans="1:7" x14ac:dyDescent="0.25">
      <c r="A3986" s="2">
        <v>3984</v>
      </c>
      <c r="B3986" t="s">
        <v>2466</v>
      </c>
      <c r="C3986" s="1">
        <v>46213</v>
      </c>
      <c r="D3986">
        <v>36.314689999999999</v>
      </c>
      <c r="E3986">
        <v>4341.4578442399998</v>
      </c>
      <c r="F3986">
        <v>5288.7025938699999</v>
      </c>
      <c r="G3986">
        <v>4341.4578442399998</v>
      </c>
    </row>
    <row r="3987" spans="1:7" x14ac:dyDescent="0.25">
      <c r="A3987" s="2">
        <v>3985</v>
      </c>
      <c r="B3987" t="s">
        <v>2468</v>
      </c>
      <c r="C3987" s="1">
        <v>46213</v>
      </c>
      <c r="D3987">
        <v>58.32385</v>
      </c>
      <c r="E3987">
        <v>3995.5705591800001</v>
      </c>
      <c r="F3987">
        <v>3979.8127737200002</v>
      </c>
      <c r="G3987">
        <v>3995.5705591800001</v>
      </c>
    </row>
    <row r="3988" spans="1:7" x14ac:dyDescent="0.25">
      <c r="A3988" s="2">
        <v>3986</v>
      </c>
      <c r="B3988" t="s">
        <v>2470</v>
      </c>
      <c r="C3988" s="1">
        <v>46213</v>
      </c>
    </row>
    <row r="3989" spans="1:7" x14ac:dyDescent="0.25">
      <c r="A3989" s="2">
        <v>3987</v>
      </c>
      <c r="B3989" t="s">
        <v>2472</v>
      </c>
      <c r="C3989" s="1">
        <v>46213</v>
      </c>
      <c r="D3989">
        <v>70.5</v>
      </c>
    </row>
    <row r="3990" spans="1:7" x14ac:dyDescent="0.25">
      <c r="A3990" s="2">
        <v>3988</v>
      </c>
      <c r="B3990" t="s">
        <v>2474</v>
      </c>
      <c r="C3990" s="1">
        <v>46213</v>
      </c>
    </row>
    <row r="3991" spans="1:7" x14ac:dyDescent="0.25">
      <c r="A3991" s="2">
        <v>3989</v>
      </c>
      <c r="B3991" t="s">
        <v>2476</v>
      </c>
      <c r="C3991" s="1">
        <v>46213</v>
      </c>
    </row>
    <row r="3992" spans="1:7" x14ac:dyDescent="0.25">
      <c r="A3992" s="2">
        <v>3990</v>
      </c>
      <c r="B3992" t="s">
        <v>2478</v>
      </c>
      <c r="C3992" s="1">
        <v>46213</v>
      </c>
    </row>
    <row r="3993" spans="1:7" x14ac:dyDescent="0.25">
      <c r="A3993" s="2">
        <v>3991</v>
      </c>
      <c r="B3993" t="s">
        <v>2479</v>
      </c>
      <c r="C3993" s="1">
        <v>46213</v>
      </c>
      <c r="D3993">
        <v>84.5625</v>
      </c>
      <c r="F3993">
        <v>955.02368567999997</v>
      </c>
    </row>
    <row r="3994" spans="1:7" x14ac:dyDescent="0.25">
      <c r="A3994" s="2">
        <v>3992</v>
      </c>
      <c r="B3994" t="s">
        <v>2480</v>
      </c>
      <c r="C3994" s="1">
        <v>46213</v>
      </c>
    </row>
    <row r="3995" spans="1:7" x14ac:dyDescent="0.25">
      <c r="A3995" s="2">
        <v>3993</v>
      </c>
      <c r="B3995" t="s">
        <v>2482</v>
      </c>
      <c r="C3995" s="1">
        <v>46213</v>
      </c>
    </row>
    <row r="3996" spans="1:7" x14ac:dyDescent="0.25">
      <c r="A3996" s="2">
        <v>3994</v>
      </c>
      <c r="B3996" t="s">
        <v>2484</v>
      </c>
      <c r="C3996" s="1">
        <v>46213</v>
      </c>
    </row>
    <row r="3997" spans="1:7" x14ac:dyDescent="0.25">
      <c r="A3997" s="2">
        <v>3995</v>
      </c>
      <c r="B3997" t="s">
        <v>2485</v>
      </c>
      <c r="C3997" s="1">
        <v>46213</v>
      </c>
    </row>
    <row r="3998" spans="1:7" x14ac:dyDescent="0.25">
      <c r="A3998" s="2">
        <v>3996</v>
      </c>
      <c r="B3998" t="s">
        <v>3841</v>
      </c>
      <c r="C3998" s="1">
        <v>46213</v>
      </c>
      <c r="D3998">
        <v>100.54170000000001</v>
      </c>
      <c r="E3998">
        <v>440.40745399000002</v>
      </c>
      <c r="F3998">
        <v>442.65281252</v>
      </c>
      <c r="G3998">
        <v>440.40745399000002</v>
      </c>
    </row>
    <row r="3999" spans="1:7" x14ac:dyDescent="0.25">
      <c r="A3999" s="2">
        <v>3997</v>
      </c>
      <c r="B3999" t="s">
        <v>3845</v>
      </c>
      <c r="C3999" s="1">
        <v>46213</v>
      </c>
      <c r="D3999">
        <v>93.201269999999994</v>
      </c>
      <c r="E3999">
        <v>569.83858105000002</v>
      </c>
      <c r="F3999">
        <v>572.64228243000002</v>
      </c>
      <c r="G3999">
        <v>569.83858105000002</v>
      </c>
    </row>
    <row r="4000" spans="1:7" x14ac:dyDescent="0.25">
      <c r="A4000" s="2">
        <v>3998</v>
      </c>
      <c r="B4000" t="s">
        <v>3847</v>
      </c>
      <c r="C4000" s="1">
        <v>46213</v>
      </c>
      <c r="D4000">
        <v>96</v>
      </c>
      <c r="F4000">
        <v>590.04498093999996</v>
      </c>
    </row>
    <row r="4001" spans="1:7" x14ac:dyDescent="0.25">
      <c r="A4001" s="2">
        <v>3999</v>
      </c>
      <c r="B4001" t="s">
        <v>3849</v>
      </c>
      <c r="C4001" s="1">
        <v>46213</v>
      </c>
      <c r="D4001">
        <v>96.75</v>
      </c>
      <c r="F4001">
        <v>502.14031857999998</v>
      </c>
    </row>
    <row r="4002" spans="1:7" x14ac:dyDescent="0.25">
      <c r="A4002" s="2">
        <v>4000</v>
      </c>
      <c r="B4002" t="s">
        <v>2486</v>
      </c>
      <c r="C4002" s="1">
        <v>46213</v>
      </c>
      <c r="D4002">
        <v>83.347279999999998</v>
      </c>
      <c r="F4002">
        <v>1524.52888153</v>
      </c>
    </row>
    <row r="4003" spans="1:7" x14ac:dyDescent="0.25">
      <c r="A4003" s="2">
        <v>4001</v>
      </c>
      <c r="B4003" t="s">
        <v>2490</v>
      </c>
      <c r="C4003" s="1">
        <v>46213</v>
      </c>
      <c r="D4003">
        <v>86.718410000000006</v>
      </c>
      <c r="F4003">
        <v>1529.6590418999999</v>
      </c>
    </row>
    <row r="4004" spans="1:7" x14ac:dyDescent="0.25">
      <c r="A4004" s="2">
        <v>4002</v>
      </c>
      <c r="B4004" t="s">
        <v>2494</v>
      </c>
      <c r="C4004" s="1">
        <v>46213</v>
      </c>
    </row>
    <row r="4005" spans="1:7" x14ac:dyDescent="0.25">
      <c r="A4005" s="2">
        <v>4003</v>
      </c>
      <c r="B4005" t="s">
        <v>2497</v>
      </c>
      <c r="C4005" s="1">
        <v>46213</v>
      </c>
    </row>
    <row r="4006" spans="1:7" x14ac:dyDescent="0.25">
      <c r="A4006" s="2">
        <v>4004</v>
      </c>
      <c r="B4006" t="s">
        <v>2498</v>
      </c>
      <c r="C4006" s="1">
        <v>46213</v>
      </c>
      <c r="D4006">
        <v>51.362439999999999</v>
      </c>
    </row>
    <row r="4007" spans="1:7" x14ac:dyDescent="0.25">
      <c r="A4007" s="2">
        <v>4005</v>
      </c>
      <c r="B4007" t="s">
        <v>2500</v>
      </c>
      <c r="C4007" s="1">
        <v>46213</v>
      </c>
    </row>
    <row r="4008" spans="1:7" x14ac:dyDescent="0.25">
      <c r="A4008" s="2">
        <v>4006</v>
      </c>
      <c r="B4008" t="s">
        <v>2501</v>
      </c>
      <c r="C4008" s="1">
        <v>46213</v>
      </c>
    </row>
    <row r="4009" spans="1:7" x14ac:dyDescent="0.25">
      <c r="A4009" s="2">
        <v>4007</v>
      </c>
      <c r="B4009" t="s">
        <v>2502</v>
      </c>
      <c r="C4009" s="1">
        <v>46213</v>
      </c>
    </row>
    <row r="4010" spans="1:7" x14ac:dyDescent="0.25">
      <c r="A4010" s="2">
        <v>4008</v>
      </c>
      <c r="B4010" t="s">
        <v>2504</v>
      </c>
      <c r="C4010" s="1">
        <v>46213</v>
      </c>
    </row>
    <row r="4011" spans="1:7" x14ac:dyDescent="0.25">
      <c r="A4011" s="2">
        <v>4009</v>
      </c>
      <c r="B4011" t="s">
        <v>2505</v>
      </c>
      <c r="C4011" s="1">
        <v>46213</v>
      </c>
    </row>
    <row r="4012" spans="1:7" x14ac:dyDescent="0.25">
      <c r="A4012" s="2">
        <v>4010</v>
      </c>
      <c r="B4012" t="s">
        <v>2506</v>
      </c>
      <c r="C4012" s="1">
        <v>46213</v>
      </c>
    </row>
    <row r="4013" spans="1:7" x14ac:dyDescent="0.25">
      <c r="A4013" s="2">
        <v>4011</v>
      </c>
      <c r="B4013" t="s">
        <v>3851</v>
      </c>
      <c r="C4013" s="1">
        <v>46213</v>
      </c>
      <c r="D4013">
        <v>72.875</v>
      </c>
      <c r="E4013">
        <v>440.13120587999998</v>
      </c>
      <c r="F4013">
        <v>441.92071257999999</v>
      </c>
      <c r="G4013">
        <v>440.13120587999998</v>
      </c>
    </row>
    <row r="4014" spans="1:7" x14ac:dyDescent="0.25">
      <c r="A4014" s="2">
        <v>4012</v>
      </c>
      <c r="B4014" t="s">
        <v>2508</v>
      </c>
      <c r="C4014" s="1">
        <v>46213</v>
      </c>
      <c r="D4014">
        <v>82.698430000000002</v>
      </c>
      <c r="E4014">
        <v>1392.4655254100001</v>
      </c>
      <c r="F4014">
        <v>1394.81888635</v>
      </c>
      <c r="G4014">
        <v>1392.4655254100001</v>
      </c>
    </row>
    <row r="4015" spans="1:7" x14ac:dyDescent="0.25">
      <c r="A4015" s="2">
        <v>4013</v>
      </c>
      <c r="B4015" t="s">
        <v>1631</v>
      </c>
      <c r="C4015" s="1">
        <v>46213</v>
      </c>
      <c r="D4015">
        <v>79.086169999999996</v>
      </c>
      <c r="E4015">
        <v>1560.79303888</v>
      </c>
      <c r="F4015">
        <v>1563.3573433900001</v>
      </c>
      <c r="G4015">
        <v>1560.79303888</v>
      </c>
    </row>
    <row r="4016" spans="1:7" x14ac:dyDescent="0.25">
      <c r="A4016" s="2">
        <v>4014</v>
      </c>
      <c r="B4016" t="s">
        <v>1635</v>
      </c>
      <c r="C4016" s="1">
        <v>46213</v>
      </c>
      <c r="D4016">
        <v>80.626329999999996</v>
      </c>
      <c r="E4016">
        <v>3059.9954954200002</v>
      </c>
      <c r="F4016">
        <v>3103.9249964199998</v>
      </c>
      <c r="G4016">
        <v>3059.9954954200002</v>
      </c>
    </row>
    <row r="4017" spans="1:7" x14ac:dyDescent="0.25">
      <c r="A4017" s="2">
        <v>4015</v>
      </c>
      <c r="B4017" t="s">
        <v>1637</v>
      </c>
      <c r="C4017" s="1">
        <v>46213</v>
      </c>
      <c r="D4017">
        <v>98.459469999999996</v>
      </c>
      <c r="E4017">
        <v>1164.9320271500001</v>
      </c>
      <c r="F4017">
        <v>1168.0871397400001</v>
      </c>
      <c r="G4017">
        <v>1164.9320271500001</v>
      </c>
    </row>
    <row r="4018" spans="1:7" x14ac:dyDescent="0.25">
      <c r="A4018" s="2">
        <v>4016</v>
      </c>
      <c r="B4018" t="s">
        <v>1639</v>
      </c>
      <c r="C4018" s="1">
        <v>46213</v>
      </c>
      <c r="D4018">
        <v>75</v>
      </c>
      <c r="F4018">
        <v>1629.85631416</v>
      </c>
    </row>
    <row r="4019" spans="1:7" x14ac:dyDescent="0.25">
      <c r="A4019" s="2">
        <v>4017</v>
      </c>
      <c r="B4019" t="s">
        <v>1641</v>
      </c>
      <c r="C4019" s="1">
        <v>46213</v>
      </c>
      <c r="D4019">
        <v>75</v>
      </c>
      <c r="F4019">
        <v>1279.8043972800001</v>
      </c>
    </row>
    <row r="4020" spans="1:7" x14ac:dyDescent="0.25">
      <c r="A4020" s="2">
        <v>4018</v>
      </c>
      <c r="B4020" t="s">
        <v>1643</v>
      </c>
      <c r="C4020" s="1">
        <v>46213</v>
      </c>
      <c r="D4020">
        <v>120</v>
      </c>
    </row>
    <row r="4021" spans="1:7" x14ac:dyDescent="0.25">
      <c r="A4021" s="2">
        <v>4019</v>
      </c>
      <c r="B4021" t="s">
        <v>3855</v>
      </c>
      <c r="C4021" s="1">
        <v>46213</v>
      </c>
      <c r="D4021">
        <v>96.326499999999996</v>
      </c>
      <c r="E4021">
        <v>570.54306352000003</v>
      </c>
      <c r="F4021">
        <v>572.53424748999998</v>
      </c>
      <c r="G4021">
        <v>570.54306352000003</v>
      </c>
    </row>
    <row r="4022" spans="1:7" x14ac:dyDescent="0.25">
      <c r="A4022" s="2">
        <v>4020</v>
      </c>
      <c r="B4022" t="s">
        <v>3859</v>
      </c>
      <c r="C4022" s="1">
        <v>46213</v>
      </c>
      <c r="D4022">
        <v>100.7702</v>
      </c>
      <c r="E4022">
        <v>354.40548762999998</v>
      </c>
      <c r="F4022">
        <v>356.89791208000003</v>
      </c>
      <c r="G4022">
        <v>354.40548762999998</v>
      </c>
    </row>
    <row r="4023" spans="1:7" x14ac:dyDescent="0.25">
      <c r="A4023" s="2">
        <v>4021</v>
      </c>
      <c r="B4023" t="s">
        <v>3861</v>
      </c>
      <c r="C4023" s="1">
        <v>46213</v>
      </c>
      <c r="D4023">
        <v>100.1875</v>
      </c>
      <c r="F4023">
        <v>410.51199552999998</v>
      </c>
    </row>
    <row r="4024" spans="1:7" x14ac:dyDescent="0.25">
      <c r="A4024" s="2">
        <v>4022</v>
      </c>
      <c r="B4024" t="s">
        <v>3863</v>
      </c>
      <c r="C4024" s="1">
        <v>46213</v>
      </c>
    </row>
    <row r="4025" spans="1:7" x14ac:dyDescent="0.25">
      <c r="A4025" s="2">
        <v>4023</v>
      </c>
      <c r="B4025" t="s">
        <v>2512</v>
      </c>
      <c r="C4025" s="1">
        <v>46213</v>
      </c>
      <c r="D4025">
        <v>98.206019999999995</v>
      </c>
      <c r="F4025">
        <v>902.64103229</v>
      </c>
    </row>
    <row r="4026" spans="1:7" x14ac:dyDescent="0.25">
      <c r="A4026" s="2">
        <v>4024</v>
      </c>
      <c r="B4026" t="s">
        <v>2516</v>
      </c>
      <c r="C4026" s="1">
        <v>46213</v>
      </c>
    </row>
    <row r="4027" spans="1:7" x14ac:dyDescent="0.25">
      <c r="A4027" s="2">
        <v>4025</v>
      </c>
      <c r="B4027" t="s">
        <v>2518</v>
      </c>
      <c r="C4027" s="1">
        <v>46213</v>
      </c>
      <c r="D4027">
        <v>83.80592</v>
      </c>
      <c r="E4027">
        <v>934.57063305999998</v>
      </c>
      <c r="F4027">
        <v>936.82269022000003</v>
      </c>
      <c r="G4027">
        <v>934.57063305999998</v>
      </c>
    </row>
    <row r="4028" spans="1:7" x14ac:dyDescent="0.25">
      <c r="A4028" s="2">
        <v>4026</v>
      </c>
      <c r="B4028" t="s">
        <v>2522</v>
      </c>
      <c r="C4028" s="1">
        <v>46213</v>
      </c>
      <c r="D4028">
        <v>96.5</v>
      </c>
      <c r="F4028">
        <v>699.44469763999996</v>
      </c>
    </row>
    <row r="4029" spans="1:7" x14ac:dyDescent="0.25">
      <c r="A4029" s="2">
        <v>4027</v>
      </c>
      <c r="B4029" t="s">
        <v>2524</v>
      </c>
      <c r="C4029" s="1">
        <v>46213</v>
      </c>
      <c r="D4029">
        <v>96.625</v>
      </c>
      <c r="F4029">
        <v>598.89803076999999</v>
      </c>
    </row>
    <row r="4030" spans="1:7" x14ac:dyDescent="0.25">
      <c r="A4030" s="2">
        <v>4028</v>
      </c>
      <c r="B4030" t="s">
        <v>2525</v>
      </c>
      <c r="C4030" s="1">
        <v>46213</v>
      </c>
      <c r="D4030">
        <v>84.904129999999995</v>
      </c>
      <c r="E4030">
        <v>752.40882799999997</v>
      </c>
      <c r="F4030">
        <v>754.73211356000002</v>
      </c>
      <c r="G4030">
        <v>752.40882799999997</v>
      </c>
    </row>
    <row r="4031" spans="1:7" x14ac:dyDescent="0.25">
      <c r="A4031" s="2">
        <v>4029</v>
      </c>
      <c r="B4031" t="s">
        <v>2529</v>
      </c>
      <c r="C4031" s="1">
        <v>46213</v>
      </c>
    </row>
    <row r="4032" spans="1:7" x14ac:dyDescent="0.25">
      <c r="A4032" s="2">
        <v>4030</v>
      </c>
      <c r="B4032" t="s">
        <v>2531</v>
      </c>
      <c r="C4032" s="1">
        <v>46213</v>
      </c>
      <c r="D4032">
        <v>65.065889999999996</v>
      </c>
      <c r="E4032">
        <v>2617.5954916999999</v>
      </c>
      <c r="F4032">
        <v>2622.27609158</v>
      </c>
      <c r="G4032">
        <v>2617.5954916999999</v>
      </c>
    </row>
    <row r="4033" spans="1:7" x14ac:dyDescent="0.25">
      <c r="A4033" s="2">
        <v>4031</v>
      </c>
      <c r="B4033" t="s">
        <v>2535</v>
      </c>
      <c r="C4033" s="1">
        <v>46213</v>
      </c>
      <c r="D4033">
        <v>69.178889999999996</v>
      </c>
      <c r="E4033">
        <v>2044.4526132000001</v>
      </c>
      <c r="F4033">
        <v>2046.5010930399999</v>
      </c>
      <c r="G4033">
        <v>2044.4526132000001</v>
      </c>
    </row>
    <row r="4034" spans="1:7" x14ac:dyDescent="0.25">
      <c r="A4034" s="2">
        <v>4032</v>
      </c>
      <c r="B4034" t="s">
        <v>2537</v>
      </c>
      <c r="C4034" s="1">
        <v>46213</v>
      </c>
      <c r="D4034">
        <v>74</v>
      </c>
      <c r="F4034">
        <v>1300.5411163799999</v>
      </c>
    </row>
    <row r="4035" spans="1:7" x14ac:dyDescent="0.25">
      <c r="A4035" s="2">
        <v>4033</v>
      </c>
      <c r="B4035" t="s">
        <v>2539</v>
      </c>
      <c r="C4035" s="1">
        <v>46213</v>
      </c>
      <c r="D4035">
        <v>84.312470000000005</v>
      </c>
      <c r="E4035">
        <v>2681.2264980599998</v>
      </c>
      <c r="F4035">
        <v>2682.61225328</v>
      </c>
      <c r="G4035">
        <v>2681.2264980599998</v>
      </c>
    </row>
    <row r="4036" spans="1:7" x14ac:dyDescent="0.25">
      <c r="A4036" s="2">
        <v>4034</v>
      </c>
      <c r="B4036" t="s">
        <v>2543</v>
      </c>
      <c r="C4036" s="1">
        <v>46213</v>
      </c>
      <c r="D4036">
        <v>92.418769999999995</v>
      </c>
      <c r="E4036">
        <v>1024.3640691000001</v>
      </c>
      <c r="F4036">
        <v>1017.38912387</v>
      </c>
      <c r="G4036">
        <v>1024.3640691000001</v>
      </c>
    </row>
    <row r="4037" spans="1:7" x14ac:dyDescent="0.25">
      <c r="A4037" s="2">
        <v>4035</v>
      </c>
      <c r="B4037" t="s">
        <v>2545</v>
      </c>
      <c r="C4037" s="1">
        <v>46213</v>
      </c>
      <c r="D4037">
        <v>89.869900000000001</v>
      </c>
      <c r="E4037">
        <v>872.60519066999996</v>
      </c>
      <c r="F4037">
        <v>873.85083703999999</v>
      </c>
      <c r="G4037">
        <v>872.60519066999996</v>
      </c>
    </row>
    <row r="4038" spans="1:7" x14ac:dyDescent="0.25">
      <c r="A4038" s="2">
        <v>4036</v>
      </c>
      <c r="B4038" t="s">
        <v>2547</v>
      </c>
      <c r="C4038" s="1">
        <v>46213</v>
      </c>
    </row>
    <row r="4039" spans="1:7" x14ac:dyDescent="0.25">
      <c r="A4039" s="2">
        <v>4037</v>
      </c>
      <c r="B4039" t="s">
        <v>2555</v>
      </c>
      <c r="C4039" s="1">
        <v>46213</v>
      </c>
      <c r="D4039">
        <v>160.2732</v>
      </c>
      <c r="E4039">
        <v>-1341.1193322500001</v>
      </c>
      <c r="F4039">
        <v>-1338.9615358599999</v>
      </c>
      <c r="G4039">
        <v>-1341.1193322500001</v>
      </c>
    </row>
    <row r="4040" spans="1:7" x14ac:dyDescent="0.25">
      <c r="A4040" s="2">
        <v>4038</v>
      </c>
      <c r="B4040" t="s">
        <v>2560</v>
      </c>
      <c r="C4040" s="1">
        <v>46213</v>
      </c>
      <c r="D4040">
        <v>86.789730000000006</v>
      </c>
      <c r="E4040">
        <v>909.86124730999995</v>
      </c>
      <c r="F4040">
        <v>912.12789250000003</v>
      </c>
      <c r="G4040">
        <v>909.86124730999995</v>
      </c>
    </row>
    <row r="4041" spans="1:7" x14ac:dyDescent="0.25">
      <c r="A4041" s="2">
        <v>4039</v>
      </c>
      <c r="B4041" t="s">
        <v>2562</v>
      </c>
      <c r="C4041" s="1">
        <v>46213</v>
      </c>
    </row>
    <row r="4042" spans="1:7" x14ac:dyDescent="0.25">
      <c r="A4042" s="2">
        <v>4040</v>
      </c>
      <c r="B4042" t="s">
        <v>2564</v>
      </c>
      <c r="C4042" s="1">
        <v>46213</v>
      </c>
      <c r="D4042">
        <v>70.164280000000005</v>
      </c>
      <c r="E4042">
        <v>1685.23560449</v>
      </c>
      <c r="F4042">
        <v>1687.5117777099999</v>
      </c>
      <c r="G4042">
        <v>1685.23560449</v>
      </c>
    </row>
    <row r="4043" spans="1:7" x14ac:dyDescent="0.25">
      <c r="A4043" s="2">
        <v>4041</v>
      </c>
      <c r="B4043" t="s">
        <v>2568</v>
      </c>
      <c r="C4043" s="1">
        <v>46213</v>
      </c>
      <c r="D4043">
        <v>69.5</v>
      </c>
      <c r="F4043">
        <v>1696.2889552500001</v>
      </c>
    </row>
    <row r="4044" spans="1:7" x14ac:dyDescent="0.25">
      <c r="A4044" s="2">
        <v>4042</v>
      </c>
      <c r="B4044" t="s">
        <v>2570</v>
      </c>
      <c r="C4044" s="1">
        <v>46213</v>
      </c>
    </row>
    <row r="4045" spans="1:7" x14ac:dyDescent="0.25">
      <c r="A4045" s="2">
        <v>4043</v>
      </c>
      <c r="B4045" t="s">
        <v>3675</v>
      </c>
      <c r="C4045" s="1">
        <v>46213</v>
      </c>
      <c r="D4045">
        <v>99.634479999999996</v>
      </c>
      <c r="E4045">
        <v>581.91713268000001</v>
      </c>
      <c r="F4045">
        <v>585.13385874999994</v>
      </c>
      <c r="G4045">
        <v>581.91713268000001</v>
      </c>
    </row>
    <row r="4046" spans="1:7" x14ac:dyDescent="0.25">
      <c r="A4046" s="2">
        <v>4044</v>
      </c>
      <c r="B4046" t="s">
        <v>3681</v>
      </c>
      <c r="C4046" s="1">
        <v>46213</v>
      </c>
      <c r="D4046">
        <v>91.573400000000007</v>
      </c>
      <c r="E4046">
        <v>647.68406499000002</v>
      </c>
      <c r="F4046">
        <v>649.68532431999995</v>
      </c>
      <c r="G4046">
        <v>647.68406499000002</v>
      </c>
    </row>
    <row r="4047" spans="1:7" x14ac:dyDescent="0.25">
      <c r="A4047" s="2">
        <v>4045</v>
      </c>
      <c r="B4047" t="s">
        <v>3683</v>
      </c>
      <c r="C4047" s="1">
        <v>46213</v>
      </c>
      <c r="D4047">
        <v>96</v>
      </c>
      <c r="E4047">
        <v>383.35091919000001</v>
      </c>
      <c r="F4047">
        <v>385.48698925000002</v>
      </c>
      <c r="G4047">
        <v>383.35091919000001</v>
      </c>
    </row>
    <row r="4048" spans="1:7" x14ac:dyDescent="0.25">
      <c r="A4048" s="2">
        <v>4046</v>
      </c>
      <c r="B4048" t="s">
        <v>3685</v>
      </c>
      <c r="C4048" s="1">
        <v>46213</v>
      </c>
      <c r="D4048">
        <v>97.325199999999995</v>
      </c>
      <c r="E4048">
        <v>614.93497896999997</v>
      </c>
      <c r="F4048">
        <v>617.24272755000004</v>
      </c>
      <c r="G4048">
        <v>614.93497896999997</v>
      </c>
    </row>
    <row r="4049" spans="1:7" x14ac:dyDescent="0.25">
      <c r="A4049" s="2">
        <v>4047</v>
      </c>
      <c r="B4049" t="s">
        <v>3687</v>
      </c>
      <c r="C4049" s="1">
        <v>46213</v>
      </c>
      <c r="D4049">
        <v>97.014150000000001</v>
      </c>
      <c r="E4049">
        <v>583.98798552999995</v>
      </c>
      <c r="F4049">
        <v>586.29626347999999</v>
      </c>
      <c r="G4049">
        <v>583.98798552999995</v>
      </c>
    </row>
    <row r="4050" spans="1:7" x14ac:dyDescent="0.25">
      <c r="A4050" s="2">
        <v>4048</v>
      </c>
      <c r="B4050" t="s">
        <v>3688</v>
      </c>
      <c r="C4050" s="1">
        <v>46213</v>
      </c>
      <c r="D4050">
        <v>99.085210000000004</v>
      </c>
      <c r="E4050">
        <v>637.54309601</v>
      </c>
      <c r="F4050">
        <v>640.77916030999995</v>
      </c>
      <c r="G4050">
        <v>637.54309601</v>
      </c>
    </row>
    <row r="4051" spans="1:7" x14ac:dyDescent="0.25">
      <c r="A4051" s="2">
        <v>4049</v>
      </c>
      <c r="B4051" t="s">
        <v>3690</v>
      </c>
      <c r="C4051" s="1">
        <v>46213</v>
      </c>
      <c r="D4051">
        <v>98.813770000000005</v>
      </c>
      <c r="E4051">
        <v>546.03224855999997</v>
      </c>
      <c r="F4051">
        <v>549.27078846999996</v>
      </c>
      <c r="G4051">
        <v>546.03224855999997</v>
      </c>
    </row>
    <row r="4052" spans="1:7" x14ac:dyDescent="0.25">
      <c r="A4052" s="2">
        <v>4050</v>
      </c>
      <c r="B4052" t="s">
        <v>3691</v>
      </c>
      <c r="C4052" s="1">
        <v>46213</v>
      </c>
      <c r="D4052">
        <v>92.208209999999994</v>
      </c>
      <c r="E4052">
        <v>456.25797040999998</v>
      </c>
      <c r="F4052">
        <v>458.52440833999998</v>
      </c>
      <c r="G4052">
        <v>456.25797040999998</v>
      </c>
    </row>
    <row r="4053" spans="1:7" x14ac:dyDescent="0.25">
      <c r="A4053" s="2">
        <v>4051</v>
      </c>
      <c r="B4053" t="s">
        <v>3693</v>
      </c>
      <c r="C4053" s="1">
        <v>46213</v>
      </c>
      <c r="D4053">
        <v>100.0141</v>
      </c>
      <c r="E4053">
        <v>564.01655148999998</v>
      </c>
      <c r="F4053">
        <v>565.04082708999999</v>
      </c>
      <c r="G4053">
        <v>564.01655148999998</v>
      </c>
    </row>
    <row r="4054" spans="1:7" x14ac:dyDescent="0.25">
      <c r="A4054" s="2">
        <v>4052</v>
      </c>
      <c r="B4054" t="s">
        <v>3695</v>
      </c>
      <c r="C4054" s="1">
        <v>46213</v>
      </c>
      <c r="D4054">
        <v>97.671899999999994</v>
      </c>
      <c r="E4054">
        <v>504.31307378000002</v>
      </c>
      <c r="F4054">
        <v>506.94530986000001</v>
      </c>
      <c r="G4054">
        <v>504.31307378000002</v>
      </c>
    </row>
    <row r="4055" spans="1:7" x14ac:dyDescent="0.25">
      <c r="A4055" s="2">
        <v>4053</v>
      </c>
      <c r="B4055" t="s">
        <v>3697</v>
      </c>
      <c r="C4055" s="1">
        <v>46213</v>
      </c>
      <c r="D4055">
        <v>22.9</v>
      </c>
    </row>
    <row r="4056" spans="1:7" x14ac:dyDescent="0.25">
      <c r="A4056" s="2">
        <v>4054</v>
      </c>
      <c r="B4056" t="s">
        <v>3699</v>
      </c>
      <c r="C4056" s="1">
        <v>46213</v>
      </c>
      <c r="D4056">
        <v>16</v>
      </c>
    </row>
    <row r="4057" spans="1:7" x14ac:dyDescent="0.25">
      <c r="A4057" s="2">
        <v>4055</v>
      </c>
      <c r="B4057" t="s">
        <v>3701</v>
      </c>
      <c r="C4057" s="1">
        <v>46213</v>
      </c>
      <c r="D4057">
        <v>16.040099999999999</v>
      </c>
    </row>
    <row r="4058" spans="1:7" x14ac:dyDescent="0.25">
      <c r="A4058" s="2">
        <v>4056</v>
      </c>
      <c r="B4058" t="s">
        <v>3703</v>
      </c>
      <c r="C4058" s="1">
        <v>46213</v>
      </c>
    </row>
    <row r="4059" spans="1:7" x14ac:dyDescent="0.25">
      <c r="A4059" s="2">
        <v>4057</v>
      </c>
      <c r="B4059" t="s">
        <v>3706</v>
      </c>
      <c r="C4059" s="1">
        <v>46213</v>
      </c>
    </row>
    <row r="4060" spans="1:7" x14ac:dyDescent="0.25">
      <c r="A4060" s="2">
        <v>4058</v>
      </c>
      <c r="B4060" t="s">
        <v>2549</v>
      </c>
      <c r="C4060" s="1">
        <v>46213</v>
      </c>
      <c r="D4060">
        <v>96.150279999999995</v>
      </c>
      <c r="E4060">
        <v>637.87700317999997</v>
      </c>
      <c r="F4060">
        <v>639.56325626</v>
      </c>
      <c r="G4060">
        <v>637.87700317999997</v>
      </c>
    </row>
    <row r="4061" spans="1:7" x14ac:dyDescent="0.25">
      <c r="A4061" s="2">
        <v>4059</v>
      </c>
      <c r="B4061" t="s">
        <v>2553</v>
      </c>
      <c r="C4061" s="1">
        <v>46213</v>
      </c>
      <c r="D4061">
        <v>95</v>
      </c>
      <c r="F4061">
        <v>586.76079920999996</v>
      </c>
    </row>
    <row r="4062" spans="1:7" x14ac:dyDescent="0.25">
      <c r="A4062" s="2">
        <v>4060</v>
      </c>
      <c r="B4062" t="s">
        <v>2362</v>
      </c>
      <c r="C4062" s="1">
        <v>46213</v>
      </c>
      <c r="D4062">
        <v>80.239559999999997</v>
      </c>
      <c r="E4062">
        <v>993.71569656999998</v>
      </c>
      <c r="F4062">
        <v>996.1947212</v>
      </c>
      <c r="G4062">
        <v>993.71569656999998</v>
      </c>
    </row>
    <row r="4063" spans="1:7" x14ac:dyDescent="0.25">
      <c r="A4063" s="2">
        <v>4061</v>
      </c>
      <c r="B4063" t="s">
        <v>2366</v>
      </c>
      <c r="C4063" s="1">
        <v>46213</v>
      </c>
      <c r="D4063">
        <v>78.303569999999993</v>
      </c>
      <c r="E4063">
        <v>855.2710376</v>
      </c>
      <c r="F4063">
        <v>857.68478293999999</v>
      </c>
      <c r="G4063">
        <v>855.2710376</v>
      </c>
    </row>
    <row r="4064" spans="1:7" x14ac:dyDescent="0.25">
      <c r="A4064" s="2">
        <v>4062</v>
      </c>
      <c r="B4064" t="s">
        <v>2368</v>
      </c>
      <c r="C4064" s="1">
        <v>46213</v>
      </c>
      <c r="D4064">
        <v>80.5</v>
      </c>
      <c r="F4064">
        <v>1187.6476132099999</v>
      </c>
    </row>
    <row r="4065" spans="1:7" x14ac:dyDescent="0.25">
      <c r="A4065" s="2">
        <v>4063</v>
      </c>
      <c r="B4065" t="s">
        <v>3637</v>
      </c>
      <c r="C4065" s="1">
        <v>46213</v>
      </c>
      <c r="D4065">
        <v>96.241010000000003</v>
      </c>
      <c r="E4065">
        <v>648.88235900999996</v>
      </c>
      <c r="F4065">
        <v>651.17592291999995</v>
      </c>
      <c r="G4065">
        <v>648.88235900999996</v>
      </c>
    </row>
    <row r="4066" spans="1:7" x14ac:dyDescent="0.25">
      <c r="A4066" s="2">
        <v>4064</v>
      </c>
      <c r="B4066" t="s">
        <v>3641</v>
      </c>
      <c r="C4066" s="1">
        <v>46213</v>
      </c>
    </row>
    <row r="4067" spans="1:7" x14ac:dyDescent="0.25">
      <c r="A4067" s="2">
        <v>4065</v>
      </c>
      <c r="B4067" t="s">
        <v>3643</v>
      </c>
      <c r="C4067" s="1">
        <v>46213</v>
      </c>
      <c r="D4067">
        <v>25.74</v>
      </c>
    </row>
    <row r="4068" spans="1:7" x14ac:dyDescent="0.25">
      <c r="A4068" s="2">
        <v>4066</v>
      </c>
      <c r="B4068" t="s">
        <v>2095</v>
      </c>
      <c r="C4068" s="1">
        <v>46213</v>
      </c>
      <c r="D4068">
        <v>93.089579999999998</v>
      </c>
      <c r="E4068">
        <v>1077.0352975200001</v>
      </c>
      <c r="F4068">
        <v>1080.9926385399999</v>
      </c>
      <c r="G4068">
        <v>1077.0352975200001</v>
      </c>
    </row>
    <row r="4069" spans="1:7" x14ac:dyDescent="0.25">
      <c r="A4069" s="2">
        <v>4067</v>
      </c>
      <c r="B4069" t="s">
        <v>2099</v>
      </c>
      <c r="C4069" s="1">
        <v>46213</v>
      </c>
      <c r="D4069">
        <v>83.889269999999996</v>
      </c>
      <c r="E4069">
        <v>1316.90376178</v>
      </c>
      <c r="F4069">
        <v>1320.1408340800001</v>
      </c>
      <c r="G4069">
        <v>1316.90376178</v>
      </c>
    </row>
    <row r="4070" spans="1:7" x14ac:dyDescent="0.25">
      <c r="A4070" s="2">
        <v>4068</v>
      </c>
      <c r="B4070" t="s">
        <v>2580</v>
      </c>
      <c r="C4070" s="1">
        <v>46213</v>
      </c>
      <c r="D4070">
        <v>99.999650000000003</v>
      </c>
      <c r="E4070">
        <v>396.67372754000002</v>
      </c>
      <c r="F4070">
        <v>399.16497987000002</v>
      </c>
      <c r="G4070">
        <v>396.67372754000002</v>
      </c>
    </row>
    <row r="4071" spans="1:7" x14ac:dyDescent="0.25">
      <c r="A4071" s="2">
        <v>4069</v>
      </c>
      <c r="B4071" t="s">
        <v>2582</v>
      </c>
      <c r="C4071" s="1">
        <v>46213</v>
      </c>
      <c r="D4071">
        <v>94.911869999999993</v>
      </c>
      <c r="E4071">
        <v>844.14401582999994</v>
      </c>
      <c r="F4071">
        <v>846.17658151000001</v>
      </c>
      <c r="G4071">
        <v>844.14401582999994</v>
      </c>
    </row>
    <row r="4072" spans="1:7" x14ac:dyDescent="0.25">
      <c r="A4072" s="2">
        <v>4070</v>
      </c>
      <c r="B4072" t="s">
        <v>2584</v>
      </c>
      <c r="C4072" s="1">
        <v>46213</v>
      </c>
      <c r="D4072">
        <v>98.75</v>
      </c>
      <c r="F4072">
        <v>373.24690924999999</v>
      </c>
    </row>
    <row r="4073" spans="1:7" x14ac:dyDescent="0.25">
      <c r="A4073" s="2">
        <v>4071</v>
      </c>
      <c r="B4073" t="s">
        <v>2586</v>
      </c>
      <c r="C4073" s="1">
        <v>46213</v>
      </c>
    </row>
    <row r="4074" spans="1:7" x14ac:dyDescent="0.25">
      <c r="A4074" s="2">
        <v>4072</v>
      </c>
      <c r="B4074" t="s">
        <v>2572</v>
      </c>
      <c r="C4074" s="1">
        <v>46213</v>
      </c>
      <c r="D4074">
        <v>94.202100000000002</v>
      </c>
      <c r="E4074">
        <v>1016.96</v>
      </c>
      <c r="F4074">
        <v>987.59500000000003</v>
      </c>
      <c r="G4074">
        <v>1016.96</v>
      </c>
    </row>
    <row r="4075" spans="1:7" x14ac:dyDescent="0.25">
      <c r="A4075" s="2">
        <v>4073</v>
      </c>
      <c r="B4075" t="s">
        <v>2576</v>
      </c>
      <c r="C4075" s="1">
        <v>46213</v>
      </c>
      <c r="D4075">
        <v>99.25</v>
      </c>
      <c r="F4075">
        <v>754.65026351999995</v>
      </c>
    </row>
    <row r="4076" spans="1:7" x14ac:dyDescent="0.25">
      <c r="A4076" s="2">
        <v>4074</v>
      </c>
      <c r="B4076" t="s">
        <v>2588</v>
      </c>
      <c r="C4076" s="1">
        <v>46213</v>
      </c>
      <c r="D4076">
        <v>100.13590000000001</v>
      </c>
      <c r="E4076">
        <v>538.63767811000002</v>
      </c>
      <c r="F4076">
        <v>542.63797711999996</v>
      </c>
      <c r="G4076">
        <v>538.63767811000002</v>
      </c>
    </row>
    <row r="4077" spans="1:7" x14ac:dyDescent="0.25">
      <c r="A4077" s="2">
        <v>4075</v>
      </c>
      <c r="B4077" t="s">
        <v>2592</v>
      </c>
      <c r="C4077" s="1">
        <v>46213</v>
      </c>
      <c r="D4077">
        <v>91.892849999999996</v>
      </c>
      <c r="E4077">
        <v>1111.6184498</v>
      </c>
      <c r="F4077">
        <v>1113.8916547900001</v>
      </c>
      <c r="G4077">
        <v>1111.6184498</v>
      </c>
    </row>
    <row r="4078" spans="1:7" x14ac:dyDescent="0.25">
      <c r="A4078" s="2">
        <v>4076</v>
      </c>
      <c r="B4078" t="s">
        <v>2594</v>
      </c>
      <c r="C4078" s="1">
        <v>46213</v>
      </c>
      <c r="D4078">
        <v>96.25</v>
      </c>
      <c r="F4078">
        <v>578.92656480999995</v>
      </c>
    </row>
    <row r="4079" spans="1:7" x14ac:dyDescent="0.25">
      <c r="A4079" s="2">
        <v>4077</v>
      </c>
      <c r="B4079" t="s">
        <v>2703</v>
      </c>
      <c r="C4079" s="1">
        <v>46213</v>
      </c>
      <c r="D4079">
        <v>90.106390000000005</v>
      </c>
      <c r="E4079">
        <v>892.21503367000003</v>
      </c>
      <c r="F4079">
        <v>894.03157263000003</v>
      </c>
      <c r="G4079">
        <v>892.21503367000003</v>
      </c>
    </row>
    <row r="4080" spans="1:7" x14ac:dyDescent="0.25">
      <c r="A4080" s="2">
        <v>4078</v>
      </c>
      <c r="B4080" t="s">
        <v>2707</v>
      </c>
      <c r="C4080" s="1">
        <v>46213</v>
      </c>
    </row>
    <row r="4081" spans="1:7" x14ac:dyDescent="0.25">
      <c r="A4081" s="2">
        <v>4079</v>
      </c>
      <c r="B4081" t="s">
        <v>3708</v>
      </c>
      <c r="C4081" s="1">
        <v>46213</v>
      </c>
      <c r="D4081">
        <v>100.6737</v>
      </c>
      <c r="E4081">
        <v>357.83843703000002</v>
      </c>
      <c r="F4081">
        <v>359.73720803999998</v>
      </c>
      <c r="G4081">
        <v>357.83843703000002</v>
      </c>
    </row>
    <row r="4082" spans="1:7" x14ac:dyDescent="0.25">
      <c r="A4082" s="2">
        <v>4080</v>
      </c>
      <c r="B4082" t="s">
        <v>3712</v>
      </c>
      <c r="C4082" s="1">
        <v>46213</v>
      </c>
      <c r="D4082">
        <v>96.580709999999996</v>
      </c>
      <c r="E4082">
        <v>633.35257182999999</v>
      </c>
      <c r="F4082">
        <v>634.98094975000004</v>
      </c>
      <c r="G4082">
        <v>633.35257182999999</v>
      </c>
    </row>
    <row r="4083" spans="1:7" x14ac:dyDescent="0.25">
      <c r="A4083" s="2">
        <v>4081</v>
      </c>
      <c r="B4083" t="s">
        <v>3714</v>
      </c>
      <c r="C4083" s="1">
        <v>46213</v>
      </c>
      <c r="D4083">
        <v>98.375</v>
      </c>
      <c r="F4083">
        <v>307.76599799000002</v>
      </c>
    </row>
    <row r="4084" spans="1:7" x14ac:dyDescent="0.25">
      <c r="A4084" s="2">
        <v>4082</v>
      </c>
      <c r="B4084" t="s">
        <v>2271</v>
      </c>
      <c r="C4084" s="1">
        <v>46213</v>
      </c>
      <c r="D4084">
        <v>95.521870000000007</v>
      </c>
      <c r="E4084">
        <v>434.89974403999997</v>
      </c>
      <c r="F4084">
        <v>703.85531991000005</v>
      </c>
      <c r="G4084">
        <v>434.89974403999997</v>
      </c>
    </row>
    <row r="4085" spans="1:7" x14ac:dyDescent="0.25">
      <c r="A4085" s="2">
        <v>4083</v>
      </c>
      <c r="B4085" t="s">
        <v>2275</v>
      </c>
      <c r="C4085" s="1">
        <v>46213</v>
      </c>
      <c r="D4085">
        <v>94.192250000000001</v>
      </c>
      <c r="E4085">
        <v>417.42119852000002</v>
      </c>
      <c r="F4085">
        <v>418.19174224</v>
      </c>
      <c r="G4085">
        <v>417.42119852000002</v>
      </c>
    </row>
    <row r="4086" spans="1:7" x14ac:dyDescent="0.25">
      <c r="A4086" s="2">
        <v>4084</v>
      </c>
      <c r="B4086" t="s">
        <v>2277</v>
      </c>
      <c r="C4086" s="1">
        <v>46213</v>
      </c>
      <c r="D4086">
        <v>97.559259999999995</v>
      </c>
      <c r="E4086">
        <v>305.97310047000002</v>
      </c>
      <c r="F4086">
        <v>308.39625638000001</v>
      </c>
      <c r="G4086">
        <v>305.97310047000002</v>
      </c>
    </row>
    <row r="4087" spans="1:7" x14ac:dyDescent="0.25">
      <c r="A4087" s="2">
        <v>4085</v>
      </c>
      <c r="B4087" t="s">
        <v>2279</v>
      </c>
      <c r="C4087" s="1">
        <v>46213</v>
      </c>
      <c r="D4087">
        <v>94.316559999999996</v>
      </c>
      <c r="E4087">
        <v>456.06755351999999</v>
      </c>
      <c r="F4087">
        <v>457.33800719999999</v>
      </c>
      <c r="G4087">
        <v>456.06755351999999</v>
      </c>
    </row>
    <row r="4088" spans="1:7" x14ac:dyDescent="0.25">
      <c r="A4088" s="2">
        <v>4086</v>
      </c>
      <c r="B4088" t="s">
        <v>2281</v>
      </c>
      <c r="C4088" s="1">
        <v>46213</v>
      </c>
      <c r="D4088">
        <v>91.370469999999997</v>
      </c>
      <c r="E4088">
        <v>3325.1348198400001</v>
      </c>
      <c r="F4088">
        <v>3228.3259116499999</v>
      </c>
      <c r="G4088">
        <v>3325.1348198400001</v>
      </c>
    </row>
    <row r="4089" spans="1:7" x14ac:dyDescent="0.25">
      <c r="A4089" s="2">
        <v>4087</v>
      </c>
      <c r="B4089" t="s">
        <v>2283</v>
      </c>
      <c r="C4089" s="1">
        <v>46213</v>
      </c>
      <c r="D4089">
        <v>90.195130000000006</v>
      </c>
      <c r="E4089">
        <v>354.38267381999998</v>
      </c>
      <c r="F4089">
        <v>356.45831607999997</v>
      </c>
      <c r="G4089">
        <v>354.38267381999998</v>
      </c>
    </row>
    <row r="4090" spans="1:7" x14ac:dyDescent="0.25">
      <c r="A4090" s="2">
        <v>4088</v>
      </c>
      <c r="B4090" t="s">
        <v>3645</v>
      </c>
      <c r="C4090" s="1">
        <v>46213</v>
      </c>
      <c r="D4090">
        <v>101.9718</v>
      </c>
      <c r="E4090">
        <v>358.33164324000001</v>
      </c>
      <c r="F4090">
        <v>362.11054002999998</v>
      </c>
      <c r="G4090">
        <v>358.33164324000001</v>
      </c>
    </row>
    <row r="4091" spans="1:7" x14ac:dyDescent="0.25">
      <c r="A4091" s="2">
        <v>4089</v>
      </c>
      <c r="B4091" t="s">
        <v>3650</v>
      </c>
      <c r="C4091" s="1">
        <v>46213</v>
      </c>
    </row>
    <row r="4092" spans="1:7" x14ac:dyDescent="0.25">
      <c r="A4092" s="2">
        <v>4090</v>
      </c>
      <c r="B4092" t="s">
        <v>3652</v>
      </c>
      <c r="C4092" s="1">
        <v>46213</v>
      </c>
      <c r="D4092">
        <v>98</v>
      </c>
      <c r="E4092">
        <v>653.69002927999998</v>
      </c>
      <c r="F4092">
        <v>656.02999786999999</v>
      </c>
      <c r="G4092">
        <v>653.69002927999998</v>
      </c>
    </row>
    <row r="4093" spans="1:7" x14ac:dyDescent="0.25">
      <c r="A4093" s="2">
        <v>4091</v>
      </c>
      <c r="B4093" t="s">
        <v>3654</v>
      </c>
      <c r="C4093" s="1">
        <v>46213</v>
      </c>
      <c r="D4093">
        <v>100</v>
      </c>
    </row>
    <row r="4094" spans="1:7" x14ac:dyDescent="0.25">
      <c r="A4094" s="2">
        <v>4092</v>
      </c>
      <c r="B4094" t="s">
        <v>3656</v>
      </c>
      <c r="C4094" s="1">
        <v>46213</v>
      </c>
      <c r="D4094">
        <v>100</v>
      </c>
    </row>
    <row r="4095" spans="1:7" x14ac:dyDescent="0.25">
      <c r="A4095" s="2">
        <v>4093</v>
      </c>
      <c r="B4095" t="s">
        <v>2596</v>
      </c>
      <c r="C4095" s="1">
        <v>46213</v>
      </c>
      <c r="D4095">
        <v>74.041600000000003</v>
      </c>
      <c r="E4095">
        <v>880.47493717999998</v>
      </c>
      <c r="F4095">
        <v>882.56933533999995</v>
      </c>
      <c r="G4095">
        <v>880.47493717999998</v>
      </c>
    </row>
    <row r="4096" spans="1:7" x14ac:dyDescent="0.25">
      <c r="A4096" s="2">
        <v>4094</v>
      </c>
      <c r="B4096" t="s">
        <v>2600</v>
      </c>
      <c r="C4096" s="1">
        <v>46213</v>
      </c>
      <c r="D4096">
        <v>81.072199999999995</v>
      </c>
      <c r="E4096">
        <v>535.55857825999999</v>
      </c>
      <c r="F4096">
        <v>537.31448171</v>
      </c>
      <c r="G4096">
        <v>535.55857825999999</v>
      </c>
    </row>
    <row r="4097" spans="1:7" x14ac:dyDescent="0.25">
      <c r="A4097" s="2">
        <v>4095</v>
      </c>
      <c r="B4097" t="s">
        <v>2602</v>
      </c>
      <c r="C4097" s="1">
        <v>46213</v>
      </c>
      <c r="D4097">
        <v>91.5</v>
      </c>
      <c r="F4097">
        <v>975.19898024999998</v>
      </c>
    </row>
    <row r="4098" spans="1:7" x14ac:dyDescent="0.25">
      <c r="A4098" s="2">
        <v>4096</v>
      </c>
      <c r="B4098" t="s">
        <v>2604</v>
      </c>
      <c r="C4098" s="1">
        <v>46213</v>
      </c>
      <c r="D4098">
        <v>93.6875</v>
      </c>
      <c r="F4098">
        <v>816.49777540000002</v>
      </c>
    </row>
    <row r="4099" spans="1:7" x14ac:dyDescent="0.25">
      <c r="A4099" s="2">
        <v>4097</v>
      </c>
      <c r="B4099" t="s">
        <v>2606</v>
      </c>
      <c r="C4099" s="1">
        <v>46213</v>
      </c>
      <c r="D4099">
        <v>93.6875</v>
      </c>
      <c r="F4099">
        <v>816.49777540000002</v>
      </c>
    </row>
    <row r="4100" spans="1:7" x14ac:dyDescent="0.25">
      <c r="A4100" s="2">
        <v>4098</v>
      </c>
      <c r="B4100" t="s">
        <v>2608</v>
      </c>
      <c r="C4100" s="1">
        <v>46213</v>
      </c>
    </row>
    <row r="4101" spans="1:7" x14ac:dyDescent="0.25">
      <c r="A4101" s="2">
        <v>4099</v>
      </c>
      <c r="B4101" t="s">
        <v>2709</v>
      </c>
      <c r="C4101" s="1">
        <v>46213</v>
      </c>
      <c r="D4101">
        <v>86.758470000000003</v>
      </c>
      <c r="E4101">
        <v>698.72402275000002</v>
      </c>
      <c r="F4101">
        <v>701.09330831</v>
      </c>
      <c r="G4101">
        <v>698.72402275000002</v>
      </c>
    </row>
    <row r="4102" spans="1:7" x14ac:dyDescent="0.25">
      <c r="A4102" s="2">
        <v>4100</v>
      </c>
      <c r="B4102" t="s">
        <v>2317</v>
      </c>
      <c r="C4102" s="1">
        <v>46213</v>
      </c>
      <c r="D4102">
        <v>54.574280000000002</v>
      </c>
      <c r="E4102">
        <v>1603.53101154</v>
      </c>
      <c r="F4102">
        <v>1605.27787627</v>
      </c>
      <c r="G4102">
        <v>1603.53101154</v>
      </c>
    </row>
    <row r="4103" spans="1:7" x14ac:dyDescent="0.25">
      <c r="A4103" s="2">
        <v>4101</v>
      </c>
      <c r="B4103" t="s">
        <v>2321</v>
      </c>
      <c r="C4103" s="1">
        <v>46213</v>
      </c>
      <c r="D4103">
        <v>77.083749999999995</v>
      </c>
      <c r="E4103">
        <v>2111.96680049</v>
      </c>
      <c r="F4103">
        <v>2115.4947677300001</v>
      </c>
      <c r="G4103">
        <v>2111.96680049</v>
      </c>
    </row>
    <row r="4104" spans="1:7" x14ac:dyDescent="0.25">
      <c r="A4104" s="2">
        <v>4102</v>
      </c>
      <c r="B4104" t="s">
        <v>2323</v>
      </c>
      <c r="C4104" s="1">
        <v>46213</v>
      </c>
      <c r="D4104">
        <v>86</v>
      </c>
      <c r="F4104">
        <v>1019.22690904</v>
      </c>
    </row>
    <row r="4105" spans="1:7" x14ac:dyDescent="0.25">
      <c r="A4105" s="2">
        <v>4103</v>
      </c>
      <c r="B4105" t="s">
        <v>2325</v>
      </c>
      <c r="C4105" s="1">
        <v>46213</v>
      </c>
    </row>
    <row r="4106" spans="1:7" x14ac:dyDescent="0.25">
      <c r="A4106" s="2">
        <v>4104</v>
      </c>
      <c r="B4106" t="s">
        <v>2382</v>
      </c>
      <c r="C4106" s="1">
        <v>46213</v>
      </c>
      <c r="D4106">
        <v>101.8939</v>
      </c>
      <c r="E4106">
        <v>707.35423206999997</v>
      </c>
      <c r="F4106">
        <v>709.92921281999998</v>
      </c>
      <c r="G4106">
        <v>707.35423206999997</v>
      </c>
    </row>
    <row r="4107" spans="1:7" x14ac:dyDescent="0.25">
      <c r="A4107" s="2">
        <v>4105</v>
      </c>
      <c r="B4107" t="s">
        <v>2386</v>
      </c>
      <c r="C4107" s="1">
        <v>46213</v>
      </c>
      <c r="D4107">
        <v>87.45232</v>
      </c>
      <c r="E4107">
        <v>700.29965207999999</v>
      </c>
      <c r="F4107">
        <v>702.63141144999997</v>
      </c>
      <c r="G4107">
        <v>700.29965207999999</v>
      </c>
    </row>
    <row r="4108" spans="1:7" x14ac:dyDescent="0.25">
      <c r="A4108" s="2">
        <v>4106</v>
      </c>
      <c r="B4108" t="s">
        <v>2610</v>
      </c>
      <c r="C4108" s="1">
        <v>46213</v>
      </c>
      <c r="D4108">
        <v>85.230099999999993</v>
      </c>
      <c r="E4108">
        <v>1351.78260077</v>
      </c>
      <c r="F4108">
        <v>1354.07095611</v>
      </c>
      <c r="G4108">
        <v>1351.78260077</v>
      </c>
    </row>
    <row r="4109" spans="1:7" x14ac:dyDescent="0.25">
      <c r="A4109" s="2">
        <v>4107</v>
      </c>
      <c r="B4109" t="s">
        <v>2614</v>
      </c>
      <c r="C4109" s="1">
        <v>46213</v>
      </c>
    </row>
    <row r="4110" spans="1:7" x14ac:dyDescent="0.25">
      <c r="A4110" s="2">
        <v>4108</v>
      </c>
      <c r="B4110" t="s">
        <v>2616</v>
      </c>
      <c r="C4110" s="1">
        <v>46213</v>
      </c>
      <c r="D4110">
        <v>95.5</v>
      </c>
      <c r="F4110">
        <v>704.44061797999996</v>
      </c>
    </row>
    <row r="4111" spans="1:7" x14ac:dyDescent="0.25">
      <c r="A4111" s="2">
        <v>4109</v>
      </c>
      <c r="B4111" t="s">
        <v>2618</v>
      </c>
      <c r="C4111" s="1">
        <v>46213</v>
      </c>
      <c r="D4111">
        <v>97.045699999999997</v>
      </c>
      <c r="E4111">
        <v>655.52925006999999</v>
      </c>
      <c r="F4111">
        <v>657.09695532000001</v>
      </c>
      <c r="G4111">
        <v>655.52925006999999</v>
      </c>
    </row>
    <row r="4112" spans="1:7" x14ac:dyDescent="0.25">
      <c r="A4112" s="2">
        <v>4110</v>
      </c>
      <c r="B4112" t="s">
        <v>2622</v>
      </c>
      <c r="C4112" s="1">
        <v>46213</v>
      </c>
    </row>
    <row r="4113" spans="1:7" x14ac:dyDescent="0.25">
      <c r="A4113" s="2">
        <v>4111</v>
      </c>
      <c r="B4113" t="s">
        <v>2624</v>
      </c>
      <c r="C4113" s="1">
        <v>46213</v>
      </c>
    </row>
    <row r="4114" spans="1:7" x14ac:dyDescent="0.25">
      <c r="A4114" s="2">
        <v>4112</v>
      </c>
      <c r="B4114" t="s">
        <v>3865</v>
      </c>
      <c r="C4114" s="1">
        <v>46213</v>
      </c>
      <c r="D4114">
        <v>95.180970000000002</v>
      </c>
      <c r="E4114">
        <v>201.0947109</v>
      </c>
      <c r="F4114">
        <v>203.91034909000001</v>
      </c>
      <c r="G4114">
        <v>201.0947109</v>
      </c>
    </row>
    <row r="4115" spans="1:7" x14ac:dyDescent="0.25">
      <c r="A4115" s="2">
        <v>4113</v>
      </c>
      <c r="B4115" t="s">
        <v>3871</v>
      </c>
      <c r="C4115" s="1">
        <v>46213</v>
      </c>
      <c r="D4115">
        <v>80.849459999999993</v>
      </c>
      <c r="E4115">
        <v>654.94124398999998</v>
      </c>
      <c r="F4115">
        <v>656.91477249000002</v>
      </c>
      <c r="G4115">
        <v>654.94124398999998</v>
      </c>
    </row>
    <row r="4116" spans="1:7" x14ac:dyDescent="0.25">
      <c r="A4116" s="2">
        <v>4114</v>
      </c>
      <c r="B4116" t="s">
        <v>3873</v>
      </c>
      <c r="C4116" s="1">
        <v>46213</v>
      </c>
    </row>
    <row r="4117" spans="1:7" x14ac:dyDescent="0.25">
      <c r="A4117" s="2">
        <v>4115</v>
      </c>
      <c r="B4117" t="s">
        <v>3877</v>
      </c>
      <c r="C4117" s="1">
        <v>46213</v>
      </c>
    </row>
    <row r="4118" spans="1:7" x14ac:dyDescent="0.25">
      <c r="A4118" s="2">
        <v>4116</v>
      </c>
      <c r="B4118" t="s">
        <v>3882</v>
      </c>
      <c r="C4118" s="1">
        <v>46213</v>
      </c>
    </row>
    <row r="4119" spans="1:7" x14ac:dyDescent="0.25">
      <c r="A4119" s="2">
        <v>4117</v>
      </c>
      <c r="B4119" t="s">
        <v>3885</v>
      </c>
      <c r="C4119" s="1">
        <v>46213</v>
      </c>
    </row>
    <row r="4120" spans="1:7" x14ac:dyDescent="0.25">
      <c r="A4120" s="2">
        <v>4118</v>
      </c>
      <c r="B4120" t="s">
        <v>3888</v>
      </c>
      <c r="C4120" s="1">
        <v>46213</v>
      </c>
    </row>
    <row r="4121" spans="1:7" x14ac:dyDescent="0.25">
      <c r="A4121" s="2">
        <v>4119</v>
      </c>
      <c r="B4121" t="s">
        <v>3891</v>
      </c>
      <c r="C4121" s="1">
        <v>46213</v>
      </c>
      <c r="D4121">
        <v>63.152259999999998</v>
      </c>
      <c r="F4121">
        <v>1743.5135027199999</v>
      </c>
    </row>
    <row r="4122" spans="1:7" x14ac:dyDescent="0.25">
      <c r="A4122" s="2">
        <v>4120</v>
      </c>
      <c r="B4122" t="s">
        <v>3895</v>
      </c>
      <c r="C4122" s="1">
        <v>46213</v>
      </c>
      <c r="D4122">
        <v>83.445760000000007</v>
      </c>
      <c r="E4122">
        <v>2654.66374443</v>
      </c>
      <c r="F4122">
        <v>2657.3712899400002</v>
      </c>
      <c r="G4122">
        <v>2654.66374443</v>
      </c>
    </row>
    <row r="4123" spans="1:7" x14ac:dyDescent="0.25">
      <c r="A4123" s="2">
        <v>4121</v>
      </c>
      <c r="B4123" t="s">
        <v>3897</v>
      </c>
      <c r="C4123" s="1">
        <v>46213</v>
      </c>
    </row>
  </sheetData>
  <autoFilter ref="A1:H3679" xr:uid="{87ED39CA-A0E7-4454-890E-71E32D3FEB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6E22-85EB-4CCE-871A-B06D67706297}">
  <dimension ref="A1:H1151"/>
  <sheetViews>
    <sheetView workbookViewId="0"/>
  </sheetViews>
  <sheetFormatPr defaultRowHeight="15" x14ac:dyDescent="0.25"/>
  <cols>
    <col min="1" max="1" width="16" style="2" bestFit="1" customWidth="1"/>
    <col min="2" max="2" width="14.28515625" bestFit="1" customWidth="1"/>
    <col min="3" max="3" width="13.7109375" style="1" bestFit="1" customWidth="1"/>
    <col min="4" max="4" width="14.5703125" style="3" bestFit="1" customWidth="1"/>
    <col min="5" max="5" width="13.42578125" style="5" bestFit="1" customWidth="1"/>
    <col min="6" max="6" width="14.28515625" style="3" bestFit="1" customWidth="1"/>
    <col min="7" max="8" width="14.28515625" bestFit="1" customWidth="1"/>
  </cols>
  <sheetData>
    <row r="1" spans="1:8" x14ac:dyDescent="0.25">
      <c r="B1" t="s">
        <v>0</v>
      </c>
      <c r="C1" s="1" t="s">
        <v>70</v>
      </c>
      <c r="D1" s="3" t="s">
        <v>71</v>
      </c>
      <c r="E1" s="5" t="s">
        <v>72</v>
      </c>
      <c r="F1" s="3" t="s">
        <v>73</v>
      </c>
      <c r="G1" t="s">
        <v>74</v>
      </c>
      <c r="H1" t="s">
        <v>75</v>
      </c>
    </row>
    <row r="2" spans="1:8" x14ac:dyDescent="0.25">
      <c r="A2" s="2">
        <v>0</v>
      </c>
      <c r="B2" s="1" t="s">
        <v>2260</v>
      </c>
      <c r="C2" s="1">
        <v>45855</v>
      </c>
      <c r="D2" s="1">
        <v>46220</v>
      </c>
      <c r="E2" s="5">
        <v>99.38673</v>
      </c>
      <c r="F2" s="1">
        <v>46077</v>
      </c>
      <c r="G2" s="5">
        <v>97.932320000000004</v>
      </c>
      <c r="H2" s="1">
        <v>45863</v>
      </c>
    </row>
    <row r="3" spans="1:8" x14ac:dyDescent="0.25">
      <c r="A3" s="2">
        <v>1</v>
      </c>
      <c r="B3" s="1" t="s">
        <v>1352</v>
      </c>
      <c r="C3" s="1">
        <v>45855</v>
      </c>
      <c r="D3" s="1">
        <v>46220</v>
      </c>
      <c r="E3" s="5">
        <v>98.728989999999996</v>
      </c>
      <c r="F3" s="1">
        <v>45938</v>
      </c>
      <c r="G3" s="5">
        <v>67.492159999999998</v>
      </c>
      <c r="H3" s="1">
        <v>46112</v>
      </c>
    </row>
    <row r="4" spans="1:8" x14ac:dyDescent="0.25">
      <c r="A4" s="2">
        <v>2</v>
      </c>
      <c r="B4" s="1" t="s">
        <v>877</v>
      </c>
      <c r="C4" s="1">
        <v>45855</v>
      </c>
      <c r="D4" s="1">
        <v>46220</v>
      </c>
      <c r="E4" s="5">
        <v>99.840289999999996</v>
      </c>
      <c r="F4" s="1">
        <v>46071</v>
      </c>
      <c r="G4" s="5">
        <v>98.558779999999999</v>
      </c>
      <c r="H4" s="1">
        <v>45855</v>
      </c>
    </row>
    <row r="5" spans="1:8" x14ac:dyDescent="0.25">
      <c r="A5" s="2">
        <v>3</v>
      </c>
      <c r="B5" s="1" t="s">
        <v>3799</v>
      </c>
      <c r="C5" s="1">
        <v>45855</v>
      </c>
      <c r="D5" s="1">
        <v>46220</v>
      </c>
      <c r="E5" s="5">
        <v>98.733379999999997</v>
      </c>
      <c r="F5" s="1">
        <v>45973</v>
      </c>
      <c r="G5" s="5">
        <v>75.990859999999998</v>
      </c>
      <c r="H5" s="1">
        <v>46218</v>
      </c>
    </row>
    <row r="6" spans="1:8" x14ac:dyDescent="0.25">
      <c r="A6" s="2">
        <v>4</v>
      </c>
      <c r="B6" s="1" t="s">
        <v>3798</v>
      </c>
      <c r="C6" s="1">
        <v>45855</v>
      </c>
      <c r="D6" s="1">
        <v>46220</v>
      </c>
      <c r="E6" s="5">
        <v>96.406270000000006</v>
      </c>
      <c r="F6" s="1">
        <v>45908</v>
      </c>
      <c r="G6" s="5">
        <v>44.562019999999997</v>
      </c>
      <c r="H6" s="1">
        <v>46217</v>
      </c>
    </row>
    <row r="7" spans="1:8" x14ac:dyDescent="0.25">
      <c r="A7" s="2">
        <v>5</v>
      </c>
      <c r="B7" s="1" t="s">
        <v>1350</v>
      </c>
      <c r="C7" s="1">
        <v>45855</v>
      </c>
      <c r="D7" s="1">
        <v>46220</v>
      </c>
      <c r="E7" s="5">
        <v>97.97439</v>
      </c>
      <c r="F7" s="1">
        <v>45989</v>
      </c>
      <c r="G7" s="5">
        <v>95.924350000000004</v>
      </c>
      <c r="H7" s="1">
        <v>46093</v>
      </c>
    </row>
    <row r="8" spans="1:8" x14ac:dyDescent="0.25">
      <c r="A8" s="2">
        <v>6</v>
      </c>
      <c r="B8" s="1" t="s">
        <v>875</v>
      </c>
      <c r="C8" s="1">
        <v>45855</v>
      </c>
      <c r="D8" s="1">
        <v>46220</v>
      </c>
      <c r="E8" s="5">
        <v>98.65446</v>
      </c>
      <c r="F8" s="1">
        <v>46218</v>
      </c>
      <c r="G8" s="5">
        <v>98.075590000000005</v>
      </c>
      <c r="H8" s="1">
        <v>46107</v>
      </c>
    </row>
    <row r="9" spans="1:8" x14ac:dyDescent="0.25">
      <c r="A9" s="2">
        <v>7</v>
      </c>
      <c r="B9" s="1" t="s">
        <v>2258</v>
      </c>
      <c r="C9" s="1">
        <v>45855</v>
      </c>
      <c r="D9" s="1">
        <v>46220</v>
      </c>
      <c r="E9" s="5">
        <v>85.174909999999997</v>
      </c>
      <c r="F9" s="1">
        <v>45908</v>
      </c>
      <c r="G9" s="5">
        <v>75.013559999999998</v>
      </c>
      <c r="H9" s="1">
        <v>46161</v>
      </c>
    </row>
    <row r="10" spans="1:8" x14ac:dyDescent="0.25">
      <c r="A10" s="2">
        <v>8</v>
      </c>
      <c r="B10" s="1" t="s">
        <v>873</v>
      </c>
      <c r="C10" s="1">
        <v>45855</v>
      </c>
      <c r="D10" s="1">
        <v>46220</v>
      </c>
      <c r="E10" s="5">
        <v>98.591040000000007</v>
      </c>
      <c r="F10" s="1">
        <v>46070</v>
      </c>
      <c r="G10" s="5">
        <v>96.995909999999995</v>
      </c>
      <c r="H10" s="1">
        <v>45855</v>
      </c>
    </row>
    <row r="11" spans="1:8" x14ac:dyDescent="0.25">
      <c r="A11" s="2">
        <v>9</v>
      </c>
      <c r="B11" s="1" t="s">
        <v>974</v>
      </c>
      <c r="C11" s="1">
        <v>45855</v>
      </c>
      <c r="D11" s="1">
        <v>46220</v>
      </c>
      <c r="E11" s="5">
        <v>98.612290000000002</v>
      </c>
      <c r="F11" s="1">
        <v>46073</v>
      </c>
      <c r="G11" s="5">
        <v>90.34357</v>
      </c>
      <c r="H11" s="1">
        <v>45855</v>
      </c>
    </row>
    <row r="12" spans="1:8" x14ac:dyDescent="0.25">
      <c r="A12" s="2">
        <v>10</v>
      </c>
      <c r="B12" s="1" t="s">
        <v>871</v>
      </c>
      <c r="C12" s="1">
        <v>45855</v>
      </c>
      <c r="D12" s="1">
        <v>46220</v>
      </c>
      <c r="E12" s="5">
        <v>98.422399999999996</v>
      </c>
      <c r="F12" s="1">
        <v>46069</v>
      </c>
      <c r="G12" s="5">
        <v>97.590760000000003</v>
      </c>
      <c r="H12" s="1">
        <v>45966</v>
      </c>
    </row>
    <row r="13" spans="1:8" x14ac:dyDescent="0.25">
      <c r="A13" s="2">
        <v>11</v>
      </c>
      <c r="B13" s="1" t="s">
        <v>869</v>
      </c>
      <c r="C13" s="1">
        <v>45855</v>
      </c>
      <c r="D13" s="1">
        <v>46220</v>
      </c>
      <c r="E13" s="5">
        <v>99.346919999999997</v>
      </c>
      <c r="F13" s="1">
        <v>46070</v>
      </c>
      <c r="G13" s="5">
        <v>97.811059999999998</v>
      </c>
      <c r="H13" s="1">
        <v>46108</v>
      </c>
    </row>
    <row r="14" spans="1:8" x14ac:dyDescent="0.25">
      <c r="A14" s="2">
        <v>12</v>
      </c>
      <c r="B14" s="1" t="s">
        <v>867</v>
      </c>
      <c r="C14" s="1">
        <v>45855</v>
      </c>
      <c r="D14" s="1">
        <v>46220</v>
      </c>
      <c r="E14" s="5">
        <v>89.958209999999994</v>
      </c>
      <c r="F14" s="1">
        <v>45952</v>
      </c>
      <c r="G14" s="5">
        <v>81.433940000000007</v>
      </c>
      <c r="H14" s="1">
        <v>46161</v>
      </c>
    </row>
    <row r="15" spans="1:8" x14ac:dyDescent="0.25">
      <c r="A15" s="2">
        <v>13</v>
      </c>
      <c r="B15" s="1" t="s">
        <v>2468</v>
      </c>
      <c r="C15" s="1">
        <v>45855</v>
      </c>
      <c r="D15" s="1">
        <v>46220</v>
      </c>
      <c r="E15" s="5">
        <v>82.330410000000001</v>
      </c>
      <c r="F15" s="1">
        <v>45855</v>
      </c>
      <c r="G15" s="5">
        <v>37.566249999999997</v>
      </c>
      <c r="H15" s="1">
        <v>46002</v>
      </c>
    </row>
    <row r="16" spans="1:8" x14ac:dyDescent="0.25">
      <c r="A16" s="2">
        <v>14</v>
      </c>
      <c r="B16" s="1" t="s">
        <v>1423</v>
      </c>
      <c r="C16" s="1">
        <v>45855</v>
      </c>
      <c r="D16" s="1">
        <v>46220</v>
      </c>
      <c r="E16" s="5">
        <v>38.069000000000003</v>
      </c>
      <c r="F16" s="1">
        <v>45912</v>
      </c>
      <c r="G16" s="5">
        <v>17.834</v>
      </c>
      <c r="H16" s="1">
        <v>45992</v>
      </c>
    </row>
    <row r="17" spans="1:8" x14ac:dyDescent="0.25">
      <c r="A17" s="2">
        <v>15</v>
      </c>
      <c r="B17" s="1" t="s">
        <v>865</v>
      </c>
      <c r="C17" s="1">
        <v>45855</v>
      </c>
      <c r="D17" s="1">
        <v>46220</v>
      </c>
      <c r="E17" s="5">
        <v>98.688999999999993</v>
      </c>
      <c r="F17" s="1">
        <v>46070</v>
      </c>
      <c r="G17" s="5">
        <v>97.142910000000001</v>
      </c>
      <c r="H17" s="1">
        <v>45866</v>
      </c>
    </row>
    <row r="18" spans="1:8" x14ac:dyDescent="0.25">
      <c r="A18" s="2">
        <v>16</v>
      </c>
      <c r="B18" s="1" t="s">
        <v>240</v>
      </c>
      <c r="C18" s="1">
        <v>45855</v>
      </c>
      <c r="D18" s="1">
        <v>46220</v>
      </c>
      <c r="E18" s="5">
        <v>97.717640000000003</v>
      </c>
      <c r="F18" s="1">
        <v>46188</v>
      </c>
      <c r="G18" s="5">
        <v>93.250619999999998</v>
      </c>
      <c r="H18" s="1">
        <v>46000</v>
      </c>
    </row>
    <row r="19" spans="1:8" x14ac:dyDescent="0.25">
      <c r="A19" s="2">
        <v>17</v>
      </c>
      <c r="B19" s="1" t="s">
        <v>1349</v>
      </c>
      <c r="C19" s="1">
        <v>45855</v>
      </c>
      <c r="D19" s="1">
        <v>46220</v>
      </c>
      <c r="E19" s="5">
        <v>98.401570000000007</v>
      </c>
      <c r="F19" s="1">
        <v>45911</v>
      </c>
      <c r="G19" s="5">
        <v>96.110619999999997</v>
      </c>
      <c r="H19" s="1">
        <v>46107</v>
      </c>
    </row>
    <row r="20" spans="1:8" x14ac:dyDescent="0.25">
      <c r="A20" s="2">
        <v>18</v>
      </c>
      <c r="B20" s="1" t="s">
        <v>2321</v>
      </c>
      <c r="C20" s="1">
        <v>45855</v>
      </c>
      <c r="D20" s="1">
        <v>46220</v>
      </c>
      <c r="E20" s="5">
        <v>99.325220000000002</v>
      </c>
      <c r="F20" s="1">
        <v>45923</v>
      </c>
      <c r="G20" s="5">
        <v>63.821739999999998</v>
      </c>
      <c r="H20" s="1">
        <v>46114</v>
      </c>
    </row>
    <row r="21" spans="1:8" x14ac:dyDescent="0.25">
      <c r="A21" s="2">
        <v>19</v>
      </c>
      <c r="B21" s="1" t="s">
        <v>1421</v>
      </c>
      <c r="C21" s="1">
        <v>45855</v>
      </c>
      <c r="D21" s="1">
        <v>46220</v>
      </c>
      <c r="E21" s="5">
        <v>100</v>
      </c>
      <c r="F21" s="1">
        <v>45964</v>
      </c>
      <c r="G21" s="5">
        <v>94.461820000000003</v>
      </c>
      <c r="H21" s="1">
        <v>45866</v>
      </c>
    </row>
    <row r="22" spans="1:8" x14ac:dyDescent="0.25">
      <c r="A22" s="2">
        <v>20</v>
      </c>
      <c r="B22" s="1" t="s">
        <v>48</v>
      </c>
      <c r="C22" s="1">
        <v>45855</v>
      </c>
      <c r="D22" s="1">
        <v>46220</v>
      </c>
      <c r="E22" s="5">
        <v>92.607969999999995</v>
      </c>
      <c r="F22" s="1">
        <v>45856</v>
      </c>
      <c r="G22" s="5">
        <v>60.619430000000001</v>
      </c>
      <c r="H22" s="1">
        <v>46218</v>
      </c>
    </row>
    <row r="23" spans="1:8" x14ac:dyDescent="0.25">
      <c r="A23" s="2">
        <v>21</v>
      </c>
      <c r="B23" s="1" t="s">
        <v>863</v>
      </c>
      <c r="C23" s="1">
        <v>45855</v>
      </c>
      <c r="D23" s="1">
        <v>46220</v>
      </c>
      <c r="E23" s="5">
        <v>98.77722</v>
      </c>
      <c r="F23" s="1">
        <v>46069</v>
      </c>
      <c r="G23" s="5">
        <v>98.028720000000007</v>
      </c>
      <c r="H23" s="1">
        <v>46105</v>
      </c>
    </row>
    <row r="24" spans="1:8" x14ac:dyDescent="0.25">
      <c r="A24" s="2">
        <v>22</v>
      </c>
      <c r="B24" s="1" t="s">
        <v>2256</v>
      </c>
      <c r="C24" s="1">
        <v>45855</v>
      </c>
      <c r="D24" s="1">
        <v>46220</v>
      </c>
      <c r="E24" s="5">
        <v>82.548580000000001</v>
      </c>
      <c r="F24" s="1">
        <v>45952</v>
      </c>
      <c r="G24" s="5">
        <v>76.365899999999996</v>
      </c>
      <c r="H24" s="1">
        <v>46108</v>
      </c>
    </row>
    <row r="25" spans="1:8" x14ac:dyDescent="0.25">
      <c r="A25" s="2">
        <v>23</v>
      </c>
      <c r="B25" s="1" t="s">
        <v>133</v>
      </c>
      <c r="C25" s="1">
        <v>45855</v>
      </c>
      <c r="D25" s="1">
        <v>46220</v>
      </c>
      <c r="E25" s="5">
        <v>101.815</v>
      </c>
      <c r="F25" s="1">
        <v>45863</v>
      </c>
      <c r="G25" s="5">
        <v>88.915539999999993</v>
      </c>
      <c r="H25" s="1">
        <v>46111</v>
      </c>
    </row>
    <row r="26" spans="1:8" x14ac:dyDescent="0.25">
      <c r="A26" s="2">
        <v>24</v>
      </c>
      <c r="B26" s="1" t="s">
        <v>2254</v>
      </c>
      <c r="C26" s="1">
        <v>45855</v>
      </c>
      <c r="D26" s="1">
        <v>46220</v>
      </c>
      <c r="E26" s="5">
        <v>100.2221</v>
      </c>
      <c r="F26" s="1">
        <v>46066</v>
      </c>
      <c r="G26" s="5">
        <v>98.927660000000003</v>
      </c>
      <c r="H26" s="1">
        <v>45855</v>
      </c>
    </row>
    <row r="27" spans="1:8" x14ac:dyDescent="0.25">
      <c r="A27" s="2">
        <v>25</v>
      </c>
      <c r="B27" s="1" t="s">
        <v>861</v>
      </c>
      <c r="C27" s="1">
        <v>45855</v>
      </c>
      <c r="D27" s="1">
        <v>46220</v>
      </c>
      <c r="E27" s="5">
        <v>100.1485</v>
      </c>
      <c r="F27" s="1">
        <v>46072</v>
      </c>
      <c r="G27" s="5">
        <v>99.660079999999994</v>
      </c>
      <c r="H27" s="1">
        <v>45860</v>
      </c>
    </row>
    <row r="28" spans="1:8" x14ac:dyDescent="0.25">
      <c r="A28" s="2">
        <v>26</v>
      </c>
      <c r="B28" s="1" t="s">
        <v>859</v>
      </c>
      <c r="C28" s="1">
        <v>45855</v>
      </c>
      <c r="D28" s="1">
        <v>46220</v>
      </c>
      <c r="E28" s="5">
        <v>100.1566</v>
      </c>
      <c r="F28" s="1">
        <v>46072</v>
      </c>
      <c r="G28" s="5">
        <v>99.68647</v>
      </c>
      <c r="H28" s="1">
        <v>45860</v>
      </c>
    </row>
    <row r="29" spans="1:8" x14ac:dyDescent="0.25">
      <c r="A29" s="2">
        <v>27</v>
      </c>
      <c r="B29" s="1" t="s">
        <v>857</v>
      </c>
      <c r="C29" s="1">
        <v>45855</v>
      </c>
      <c r="D29" s="1">
        <v>46220</v>
      </c>
      <c r="E29" s="5">
        <v>100.10980000000001</v>
      </c>
      <c r="F29" s="1">
        <v>46072</v>
      </c>
      <c r="G29" s="5">
        <v>98.763559999999998</v>
      </c>
      <c r="H29" s="1">
        <v>46134</v>
      </c>
    </row>
    <row r="30" spans="1:8" x14ac:dyDescent="0.25">
      <c r="A30" s="2">
        <v>28</v>
      </c>
      <c r="B30" s="1" t="s">
        <v>855</v>
      </c>
      <c r="C30" s="1">
        <v>45855</v>
      </c>
      <c r="D30" s="1">
        <v>46220</v>
      </c>
      <c r="E30" s="5">
        <v>100.1566</v>
      </c>
      <c r="F30" s="1">
        <v>46072</v>
      </c>
      <c r="G30" s="5">
        <v>99.68647</v>
      </c>
      <c r="H30" s="1">
        <v>45860</v>
      </c>
    </row>
    <row r="31" spans="1:8" x14ac:dyDescent="0.25">
      <c r="A31" s="2">
        <v>29</v>
      </c>
      <c r="B31" s="1" t="s">
        <v>853</v>
      </c>
      <c r="C31" s="1">
        <v>45855</v>
      </c>
      <c r="D31" s="1">
        <v>46220</v>
      </c>
      <c r="E31" s="5">
        <v>100.10980000000001</v>
      </c>
      <c r="F31" s="1">
        <v>46072</v>
      </c>
      <c r="G31" s="5">
        <v>99.751930000000002</v>
      </c>
      <c r="H31" s="1">
        <v>45860</v>
      </c>
    </row>
    <row r="32" spans="1:8" x14ac:dyDescent="0.25">
      <c r="A32" s="2">
        <v>30</v>
      </c>
      <c r="B32" s="1" t="s">
        <v>851</v>
      </c>
      <c r="C32" s="1">
        <v>45855</v>
      </c>
      <c r="D32" s="1">
        <v>46220</v>
      </c>
      <c r="E32" s="5">
        <v>101.7235</v>
      </c>
      <c r="F32" s="1">
        <v>45952</v>
      </c>
      <c r="G32" s="5">
        <v>98.463329999999999</v>
      </c>
      <c r="H32" s="1">
        <v>46217</v>
      </c>
    </row>
    <row r="33" spans="1:8" x14ac:dyDescent="0.25">
      <c r="A33" s="2">
        <v>31</v>
      </c>
      <c r="B33" s="1" t="s">
        <v>849</v>
      </c>
      <c r="C33" s="1">
        <v>45855</v>
      </c>
      <c r="D33" s="1">
        <v>46220</v>
      </c>
      <c r="E33" s="5">
        <v>94.299869999999999</v>
      </c>
      <c r="F33" s="1">
        <v>45952</v>
      </c>
      <c r="G33" s="5">
        <v>85.346310000000003</v>
      </c>
      <c r="H33" s="1">
        <v>46161</v>
      </c>
    </row>
    <row r="34" spans="1:8" x14ac:dyDescent="0.25">
      <c r="A34" s="2">
        <v>32</v>
      </c>
      <c r="B34" s="1" t="s">
        <v>847</v>
      </c>
      <c r="C34" s="1">
        <v>45855</v>
      </c>
      <c r="D34" s="1">
        <v>46220</v>
      </c>
      <c r="E34" s="5">
        <v>98.501509999999996</v>
      </c>
      <c r="F34" s="1">
        <v>46076</v>
      </c>
      <c r="G34" s="5">
        <v>97.506349999999998</v>
      </c>
      <c r="H34" s="1">
        <v>46000</v>
      </c>
    </row>
    <row r="35" spans="1:8" x14ac:dyDescent="0.25">
      <c r="A35" s="2">
        <v>33</v>
      </c>
      <c r="B35" s="1" t="s">
        <v>153</v>
      </c>
      <c r="C35" s="1">
        <v>45855</v>
      </c>
      <c r="D35" s="1">
        <v>46220</v>
      </c>
      <c r="E35" s="5">
        <v>100.21639999999999</v>
      </c>
      <c r="F35" s="1">
        <v>46076</v>
      </c>
      <c r="G35" s="5">
        <v>95.568539999999999</v>
      </c>
      <c r="H35" s="1">
        <v>45855</v>
      </c>
    </row>
    <row r="36" spans="1:8" x14ac:dyDescent="0.25">
      <c r="A36" s="2">
        <v>34</v>
      </c>
      <c r="B36" s="1" t="s">
        <v>845</v>
      </c>
      <c r="C36" s="1">
        <v>45855</v>
      </c>
      <c r="D36" s="1">
        <v>46220</v>
      </c>
      <c r="E36" s="5">
        <v>98.399190000000004</v>
      </c>
      <c r="F36" s="1">
        <v>46069</v>
      </c>
      <c r="G36" s="5">
        <v>97.344350000000006</v>
      </c>
      <c r="H36" s="1">
        <v>46190</v>
      </c>
    </row>
    <row r="37" spans="1:8" x14ac:dyDescent="0.25">
      <c r="A37" s="2">
        <v>35</v>
      </c>
      <c r="B37" s="1" t="s">
        <v>843</v>
      </c>
      <c r="C37" s="1">
        <v>45855</v>
      </c>
      <c r="D37" s="1">
        <v>46220</v>
      </c>
      <c r="E37" s="5">
        <v>100.7576</v>
      </c>
      <c r="F37" s="1">
        <v>45954</v>
      </c>
      <c r="G37" s="5">
        <v>98.632990000000007</v>
      </c>
      <c r="H37" s="1">
        <v>46220</v>
      </c>
    </row>
    <row r="38" spans="1:8" x14ac:dyDescent="0.25">
      <c r="A38" s="2">
        <v>36</v>
      </c>
      <c r="B38" s="1" t="s">
        <v>2252</v>
      </c>
      <c r="C38" s="1">
        <v>45855</v>
      </c>
      <c r="D38" s="1">
        <v>46220</v>
      </c>
      <c r="E38" s="5">
        <v>100.0523</v>
      </c>
      <c r="F38" s="1">
        <v>45905</v>
      </c>
      <c r="G38" s="5">
        <v>98.293390000000002</v>
      </c>
      <c r="H38" s="1">
        <v>46216</v>
      </c>
    </row>
    <row r="39" spans="1:8" x14ac:dyDescent="0.25">
      <c r="A39" s="2">
        <v>37</v>
      </c>
      <c r="B39" s="1" t="s">
        <v>54</v>
      </c>
      <c r="C39" s="1">
        <v>45855</v>
      </c>
      <c r="D39" s="1">
        <v>46220</v>
      </c>
      <c r="E39" s="5">
        <v>83.383080000000007</v>
      </c>
      <c r="F39" s="1">
        <v>45859</v>
      </c>
      <c r="G39" s="5">
        <v>25.11159</v>
      </c>
      <c r="H39" s="1">
        <v>46191</v>
      </c>
    </row>
    <row r="40" spans="1:8" x14ac:dyDescent="0.25">
      <c r="A40" s="2">
        <v>38</v>
      </c>
      <c r="B40" s="1" t="s">
        <v>841</v>
      </c>
      <c r="C40" s="1">
        <v>45855</v>
      </c>
      <c r="D40" s="1">
        <v>46220</v>
      </c>
      <c r="E40" s="5">
        <v>98.951430000000002</v>
      </c>
      <c r="F40" s="1">
        <v>46069</v>
      </c>
      <c r="G40" s="5">
        <v>97.551280000000006</v>
      </c>
      <c r="H40" s="1">
        <v>46216</v>
      </c>
    </row>
    <row r="41" spans="1:8" x14ac:dyDescent="0.25">
      <c r="A41" s="2">
        <v>39</v>
      </c>
      <c r="B41" s="1" t="s">
        <v>1347</v>
      </c>
      <c r="C41" s="1">
        <v>45855</v>
      </c>
      <c r="D41" s="1">
        <v>46220</v>
      </c>
      <c r="E41" s="5">
        <v>98.401570000000007</v>
      </c>
      <c r="F41" s="1">
        <v>45911</v>
      </c>
      <c r="G41" s="5">
        <v>96.110619999999997</v>
      </c>
      <c r="H41" s="1">
        <v>46107</v>
      </c>
    </row>
    <row r="42" spans="1:8" x14ac:dyDescent="0.25">
      <c r="A42" s="2">
        <v>40</v>
      </c>
      <c r="B42" s="1" t="s">
        <v>839</v>
      </c>
      <c r="C42" s="1">
        <v>45855</v>
      </c>
      <c r="D42" s="1">
        <v>46220</v>
      </c>
      <c r="E42" s="5">
        <v>98.259979999999999</v>
      </c>
      <c r="F42" s="1">
        <v>45958</v>
      </c>
      <c r="G42" s="5">
        <v>88.679180000000002</v>
      </c>
      <c r="H42" s="1">
        <v>46101</v>
      </c>
    </row>
    <row r="43" spans="1:8" x14ac:dyDescent="0.25">
      <c r="A43" s="2">
        <v>41</v>
      </c>
      <c r="B43" s="1" t="s">
        <v>837</v>
      </c>
      <c r="C43" s="1">
        <v>45855</v>
      </c>
      <c r="D43" s="1">
        <v>46220</v>
      </c>
      <c r="E43" s="5">
        <v>101.1968</v>
      </c>
      <c r="F43" s="1">
        <v>45951</v>
      </c>
      <c r="G43" s="5">
        <v>98.524060000000006</v>
      </c>
      <c r="H43" s="1">
        <v>46217</v>
      </c>
    </row>
    <row r="44" spans="1:8" x14ac:dyDescent="0.25">
      <c r="A44" s="2">
        <v>42</v>
      </c>
      <c r="B44" s="1" t="s">
        <v>2249</v>
      </c>
      <c r="C44" s="1">
        <v>45855</v>
      </c>
      <c r="D44" s="1">
        <v>46220</v>
      </c>
      <c r="E44" s="5">
        <v>86.341710000000006</v>
      </c>
      <c r="F44" s="1">
        <v>45958</v>
      </c>
      <c r="G44" s="5">
        <v>79.002529999999993</v>
      </c>
      <c r="H44" s="1">
        <v>46161</v>
      </c>
    </row>
    <row r="45" spans="1:8" x14ac:dyDescent="0.25">
      <c r="A45" s="2">
        <v>43</v>
      </c>
      <c r="B45" s="1" t="s">
        <v>835</v>
      </c>
      <c r="C45" s="1">
        <v>45855</v>
      </c>
      <c r="D45" s="1">
        <v>46220</v>
      </c>
      <c r="E45" s="5">
        <v>98.210269999999994</v>
      </c>
      <c r="F45" s="1">
        <v>46076</v>
      </c>
      <c r="G45" s="5">
        <v>96.999380000000002</v>
      </c>
      <c r="H45" s="1">
        <v>46216</v>
      </c>
    </row>
    <row r="46" spans="1:8" x14ac:dyDescent="0.25">
      <c r="A46" s="2">
        <v>44</v>
      </c>
      <c r="B46" s="1" t="s">
        <v>50</v>
      </c>
      <c r="C46" s="1">
        <v>45855</v>
      </c>
      <c r="D46" s="1">
        <v>46220</v>
      </c>
      <c r="E46" s="5">
        <v>83.282849999999996</v>
      </c>
      <c r="F46" s="1">
        <v>45855</v>
      </c>
      <c r="G46" s="5">
        <v>55.939369999999997</v>
      </c>
      <c r="H46" s="1">
        <v>46153</v>
      </c>
    </row>
    <row r="47" spans="1:8" x14ac:dyDescent="0.25">
      <c r="A47" s="2">
        <v>45</v>
      </c>
      <c r="B47" s="1" t="s">
        <v>833</v>
      </c>
      <c r="C47" s="1">
        <v>45855</v>
      </c>
      <c r="D47" s="1">
        <v>46220</v>
      </c>
      <c r="E47" s="5">
        <v>97.392790000000005</v>
      </c>
      <c r="F47" s="1">
        <v>46076</v>
      </c>
      <c r="G47" s="5">
        <v>95.12715</v>
      </c>
      <c r="H47" s="1">
        <v>46161</v>
      </c>
    </row>
    <row r="48" spans="1:8" x14ac:dyDescent="0.25">
      <c r="A48" s="2">
        <v>46</v>
      </c>
      <c r="B48" s="1" t="s">
        <v>1637</v>
      </c>
      <c r="C48" s="1">
        <v>45855</v>
      </c>
      <c r="D48" s="1">
        <v>46220</v>
      </c>
      <c r="E48" s="5">
        <v>99.960750000000004</v>
      </c>
      <c r="F48" s="1">
        <v>46177</v>
      </c>
      <c r="G48" s="5">
        <v>88.597909999999999</v>
      </c>
      <c r="H48" s="1">
        <v>46104</v>
      </c>
    </row>
    <row r="49" spans="1:8" x14ac:dyDescent="0.25">
      <c r="A49" s="2">
        <v>47</v>
      </c>
      <c r="B49" s="1" t="s">
        <v>1345</v>
      </c>
      <c r="C49" s="1">
        <v>45855</v>
      </c>
      <c r="D49" s="1">
        <v>46220</v>
      </c>
      <c r="E49" s="5">
        <v>99.024630000000002</v>
      </c>
      <c r="F49" s="1">
        <v>45911</v>
      </c>
      <c r="G49" s="5">
        <v>94.669240000000002</v>
      </c>
      <c r="H49" s="1">
        <v>46101</v>
      </c>
    </row>
    <row r="50" spans="1:8" x14ac:dyDescent="0.25">
      <c r="A50" s="2">
        <v>48</v>
      </c>
      <c r="B50" s="1" t="s">
        <v>831</v>
      </c>
      <c r="C50" s="1">
        <v>45855</v>
      </c>
      <c r="D50" s="1">
        <v>46220</v>
      </c>
      <c r="E50" s="5">
        <v>93.412480000000002</v>
      </c>
      <c r="F50" s="1">
        <v>45985</v>
      </c>
      <c r="G50" s="5">
        <v>90.566239999999993</v>
      </c>
      <c r="H50" s="1">
        <v>46161</v>
      </c>
    </row>
    <row r="51" spans="1:8" x14ac:dyDescent="0.25">
      <c r="A51" s="2">
        <v>49</v>
      </c>
      <c r="B51" s="1" t="s">
        <v>514</v>
      </c>
      <c r="C51" s="1">
        <v>45855</v>
      </c>
      <c r="D51" s="1">
        <v>46220</v>
      </c>
      <c r="E51" s="5">
        <v>95.037800000000004</v>
      </c>
      <c r="F51" s="1">
        <v>45861</v>
      </c>
      <c r="G51" s="5">
        <v>5.7092859999999996</v>
      </c>
      <c r="H51" s="1">
        <v>46140</v>
      </c>
    </row>
    <row r="52" spans="1:8" x14ac:dyDescent="0.25">
      <c r="A52" s="2">
        <v>50</v>
      </c>
      <c r="B52" s="1" t="s">
        <v>46</v>
      </c>
      <c r="C52" s="1">
        <v>45855</v>
      </c>
      <c r="D52" s="1">
        <v>46220</v>
      </c>
      <c r="E52" s="5">
        <v>53.170999999999999</v>
      </c>
      <c r="F52" s="1">
        <v>45859</v>
      </c>
      <c r="G52" s="5">
        <v>22.478660000000001</v>
      </c>
      <c r="H52" s="1">
        <v>46219</v>
      </c>
    </row>
    <row r="53" spans="1:8" x14ac:dyDescent="0.25">
      <c r="A53" s="2">
        <v>51</v>
      </c>
      <c r="B53" s="1" t="s">
        <v>829</v>
      </c>
      <c r="C53" s="1">
        <v>45855</v>
      </c>
      <c r="D53" s="1">
        <v>46220</v>
      </c>
      <c r="E53" s="5">
        <v>97.855999999999995</v>
      </c>
      <c r="F53" s="1">
        <v>46213</v>
      </c>
      <c r="G53" s="5">
        <v>96.644000000000005</v>
      </c>
      <c r="H53" s="1">
        <v>45855</v>
      </c>
    </row>
    <row r="54" spans="1:8" x14ac:dyDescent="0.25">
      <c r="A54" s="2">
        <v>52</v>
      </c>
      <c r="B54" s="1" t="s">
        <v>827</v>
      </c>
      <c r="C54" s="1">
        <v>45855</v>
      </c>
      <c r="D54" s="1">
        <v>46220</v>
      </c>
      <c r="E54" s="5">
        <v>80.052000000000007</v>
      </c>
      <c r="F54" s="1">
        <v>45952</v>
      </c>
      <c r="G54" s="5">
        <v>74.753</v>
      </c>
      <c r="H54" s="1">
        <v>46104</v>
      </c>
    </row>
    <row r="55" spans="1:8" x14ac:dyDescent="0.25">
      <c r="A55" s="2">
        <v>53</v>
      </c>
      <c r="B55" s="1" t="s">
        <v>972</v>
      </c>
      <c r="C55" s="1">
        <v>45855</v>
      </c>
      <c r="D55" s="1">
        <v>46220</v>
      </c>
      <c r="E55" s="5">
        <v>87.526790000000005</v>
      </c>
      <c r="F55" s="1">
        <v>46073</v>
      </c>
      <c r="G55" s="5">
        <v>73.698359999999994</v>
      </c>
      <c r="H55" s="1">
        <v>45855</v>
      </c>
    </row>
    <row r="56" spans="1:8" x14ac:dyDescent="0.25">
      <c r="A56" s="2">
        <v>54</v>
      </c>
      <c r="B56" s="1" t="s">
        <v>1145</v>
      </c>
      <c r="C56" s="1">
        <v>45855</v>
      </c>
      <c r="D56" s="1">
        <v>46220</v>
      </c>
      <c r="E56" s="5">
        <v>96.311549999999997</v>
      </c>
      <c r="F56" s="1">
        <v>46184</v>
      </c>
      <c r="G56" s="5">
        <v>76.374979999999994</v>
      </c>
      <c r="H56" s="1">
        <v>45855</v>
      </c>
    </row>
    <row r="57" spans="1:8" x14ac:dyDescent="0.25">
      <c r="A57" s="2">
        <v>55</v>
      </c>
      <c r="B57" s="1" t="s">
        <v>1056</v>
      </c>
      <c r="C57" s="1">
        <v>45855</v>
      </c>
      <c r="D57" s="1">
        <v>46220</v>
      </c>
      <c r="E57" s="5">
        <v>99.214579999999998</v>
      </c>
      <c r="F57" s="1">
        <v>46220</v>
      </c>
      <c r="G57" s="5">
        <v>97.193839999999994</v>
      </c>
      <c r="H57" s="1">
        <v>46108</v>
      </c>
    </row>
    <row r="58" spans="1:8" x14ac:dyDescent="0.25">
      <c r="A58" s="2">
        <v>56</v>
      </c>
      <c r="B58" s="1" t="s">
        <v>825</v>
      </c>
      <c r="C58" s="1">
        <v>45855</v>
      </c>
      <c r="D58" s="1">
        <v>46220</v>
      </c>
      <c r="E58" s="5">
        <v>85.512</v>
      </c>
      <c r="F58" s="1">
        <v>45943</v>
      </c>
      <c r="G58" s="5">
        <v>82.505629999999996</v>
      </c>
      <c r="H58" s="1">
        <v>46161</v>
      </c>
    </row>
    <row r="59" spans="1:8" x14ac:dyDescent="0.25">
      <c r="A59" s="2">
        <v>57</v>
      </c>
      <c r="B59" s="1" t="s">
        <v>3695</v>
      </c>
      <c r="C59" s="1">
        <v>45855</v>
      </c>
      <c r="D59" s="1">
        <v>46220</v>
      </c>
      <c r="E59" s="5">
        <v>98.179259999999999</v>
      </c>
      <c r="F59" s="1">
        <v>46205</v>
      </c>
      <c r="G59" s="5">
        <v>92.790999999999997</v>
      </c>
      <c r="H59" s="1">
        <v>45860</v>
      </c>
    </row>
    <row r="60" spans="1:8" x14ac:dyDescent="0.25">
      <c r="A60" s="2">
        <v>58</v>
      </c>
      <c r="B60" s="1" t="s">
        <v>823</v>
      </c>
      <c r="C60" s="1">
        <v>45855</v>
      </c>
      <c r="D60" s="1">
        <v>46220</v>
      </c>
      <c r="E60" s="5">
        <v>75.83775</v>
      </c>
      <c r="F60" s="1">
        <v>46197</v>
      </c>
      <c r="G60" s="5">
        <v>71.041629999999998</v>
      </c>
      <c r="H60" s="1">
        <v>46161</v>
      </c>
    </row>
    <row r="61" spans="1:8" x14ac:dyDescent="0.25">
      <c r="A61" s="2">
        <v>59</v>
      </c>
      <c r="B61" s="1" t="s">
        <v>1343</v>
      </c>
      <c r="C61" s="1">
        <v>45855</v>
      </c>
      <c r="D61" s="1">
        <v>46220</v>
      </c>
      <c r="E61" s="5">
        <v>99.885199999999998</v>
      </c>
      <c r="F61" s="1">
        <v>45905</v>
      </c>
      <c r="G61" s="5">
        <v>91.406000000000006</v>
      </c>
      <c r="H61" s="1">
        <v>46108</v>
      </c>
    </row>
    <row r="62" spans="1:8" x14ac:dyDescent="0.25">
      <c r="A62" s="2">
        <v>60</v>
      </c>
      <c r="B62" s="1" t="s">
        <v>1419</v>
      </c>
      <c r="C62" s="1">
        <v>45855</v>
      </c>
      <c r="D62" s="1">
        <v>46220</v>
      </c>
      <c r="E62" s="5">
        <v>37.819000000000003</v>
      </c>
      <c r="F62" s="1">
        <v>45867</v>
      </c>
      <c r="G62" s="5">
        <v>35.976999999999997</v>
      </c>
      <c r="H62" s="1">
        <v>45917</v>
      </c>
    </row>
    <row r="63" spans="1:8" x14ac:dyDescent="0.25">
      <c r="A63" s="2">
        <v>61</v>
      </c>
      <c r="B63" s="1" t="s">
        <v>1417</v>
      </c>
      <c r="C63" s="1">
        <v>45855</v>
      </c>
      <c r="D63" s="1">
        <v>46220</v>
      </c>
      <c r="E63" s="5">
        <v>37.9767730268536</v>
      </c>
      <c r="F63" s="1">
        <v>46146</v>
      </c>
      <c r="G63" s="5">
        <v>35.730580000000003</v>
      </c>
      <c r="H63" s="1">
        <v>45929</v>
      </c>
    </row>
    <row r="64" spans="1:8" x14ac:dyDescent="0.25">
      <c r="A64" s="2">
        <v>62</v>
      </c>
      <c r="B64" s="1" t="s">
        <v>821</v>
      </c>
      <c r="C64" s="1">
        <v>45855</v>
      </c>
      <c r="D64" s="1">
        <v>46220</v>
      </c>
      <c r="E64" s="5">
        <v>84.914569999999998</v>
      </c>
      <c r="F64" s="1">
        <v>45952</v>
      </c>
      <c r="G64" s="5">
        <v>75.029529999999994</v>
      </c>
      <c r="H64" s="1">
        <v>46101</v>
      </c>
    </row>
    <row r="65" spans="1:8" x14ac:dyDescent="0.25">
      <c r="A65" s="2">
        <v>63</v>
      </c>
      <c r="B65" s="1" t="s">
        <v>819</v>
      </c>
      <c r="C65" s="1">
        <v>45855</v>
      </c>
      <c r="D65" s="1">
        <v>46220</v>
      </c>
      <c r="E65" s="5">
        <v>96.138019999999997</v>
      </c>
      <c r="F65" s="1">
        <v>46080</v>
      </c>
      <c r="G65" s="5">
        <v>93.362440000000007</v>
      </c>
      <c r="H65" s="1">
        <v>46108</v>
      </c>
    </row>
    <row r="66" spans="1:8" x14ac:dyDescent="0.25">
      <c r="A66" s="2">
        <v>64</v>
      </c>
      <c r="B66" s="1" t="s">
        <v>24</v>
      </c>
      <c r="C66" s="1">
        <v>45855</v>
      </c>
      <c r="D66" s="1">
        <v>46220</v>
      </c>
      <c r="E66" s="5">
        <v>83.843620000000001</v>
      </c>
      <c r="F66" s="1">
        <v>45999</v>
      </c>
      <c r="G66" s="5">
        <v>69.663970000000006</v>
      </c>
      <c r="H66" s="1">
        <v>46181</v>
      </c>
    </row>
    <row r="67" spans="1:8" x14ac:dyDescent="0.25">
      <c r="A67" s="2">
        <v>65</v>
      </c>
      <c r="B67" s="1" t="s">
        <v>1341</v>
      </c>
      <c r="C67" s="1">
        <v>45855</v>
      </c>
      <c r="D67" s="1">
        <v>46220</v>
      </c>
      <c r="E67" s="5">
        <v>94.285349999999994</v>
      </c>
      <c r="F67" s="1">
        <v>45911</v>
      </c>
      <c r="G67" s="5">
        <v>84.300250000000005</v>
      </c>
      <c r="H67" s="1">
        <v>46108</v>
      </c>
    </row>
    <row r="68" spans="1:8" x14ac:dyDescent="0.25">
      <c r="A68" s="2">
        <v>66</v>
      </c>
      <c r="B68" s="1" t="s">
        <v>1339</v>
      </c>
      <c r="C68" s="1">
        <v>45855</v>
      </c>
      <c r="D68" s="1">
        <v>46220</v>
      </c>
      <c r="E68" s="5">
        <v>81.225740000000002</v>
      </c>
      <c r="F68" s="1">
        <v>45915</v>
      </c>
      <c r="G68" s="5">
        <v>58.417029999999997</v>
      </c>
      <c r="H68" s="1">
        <v>46111</v>
      </c>
    </row>
    <row r="69" spans="1:8" x14ac:dyDescent="0.25">
      <c r="A69" s="2">
        <v>67</v>
      </c>
      <c r="B69" s="1" t="s">
        <v>2498</v>
      </c>
      <c r="C69" s="1">
        <v>45855</v>
      </c>
      <c r="D69" s="1">
        <v>46220</v>
      </c>
      <c r="E69" s="5">
        <v>51.362439999999999</v>
      </c>
      <c r="F69" s="1">
        <v>45855</v>
      </c>
      <c r="G69" s="5">
        <v>51.362437469626599</v>
      </c>
      <c r="H69" s="1">
        <v>46143</v>
      </c>
    </row>
    <row r="70" spans="1:8" x14ac:dyDescent="0.25">
      <c r="A70" s="2">
        <v>68</v>
      </c>
      <c r="B70" s="1" t="s">
        <v>1096</v>
      </c>
      <c r="C70" s="1">
        <v>45855</v>
      </c>
      <c r="D70" s="1">
        <v>46220</v>
      </c>
      <c r="E70" s="5">
        <v>93.606870000000001</v>
      </c>
      <c r="F70" s="1">
        <v>45923</v>
      </c>
      <c r="G70" s="5">
        <v>73.584360000000004</v>
      </c>
      <c r="H70" s="1">
        <v>46220</v>
      </c>
    </row>
    <row r="71" spans="1:8" x14ac:dyDescent="0.25">
      <c r="A71" s="2">
        <v>69</v>
      </c>
      <c r="B71" s="1" t="s">
        <v>56</v>
      </c>
      <c r="C71" s="1">
        <v>45855</v>
      </c>
      <c r="D71" s="1">
        <v>46220</v>
      </c>
      <c r="E71" s="5">
        <v>70.170109999999994</v>
      </c>
      <c r="F71" s="1">
        <v>45855</v>
      </c>
      <c r="G71" s="5">
        <v>52.99248</v>
      </c>
      <c r="H71" s="1">
        <v>46153</v>
      </c>
    </row>
    <row r="72" spans="1:8" x14ac:dyDescent="0.25">
      <c r="A72" s="2">
        <v>70</v>
      </c>
      <c r="B72" s="1" t="s">
        <v>2246</v>
      </c>
      <c r="C72" s="1">
        <v>45855</v>
      </c>
      <c r="D72" s="1">
        <v>46220</v>
      </c>
      <c r="E72" s="5">
        <v>68.088070000000002</v>
      </c>
      <c r="F72" s="1">
        <v>45957</v>
      </c>
      <c r="G72" s="5">
        <v>61.997070000000001</v>
      </c>
      <c r="H72" s="1">
        <v>46161</v>
      </c>
    </row>
    <row r="73" spans="1:8" x14ac:dyDescent="0.25">
      <c r="A73" s="2">
        <v>71</v>
      </c>
      <c r="B73" s="1" t="s">
        <v>58</v>
      </c>
      <c r="C73" s="1">
        <v>45855</v>
      </c>
      <c r="D73" s="1">
        <v>46220</v>
      </c>
      <c r="E73" s="5">
        <v>49.750889999999998</v>
      </c>
      <c r="F73" s="1">
        <v>45861</v>
      </c>
      <c r="G73" s="5">
        <v>21.91047</v>
      </c>
      <c r="H73" s="1">
        <v>46191</v>
      </c>
    </row>
    <row r="74" spans="1:8" x14ac:dyDescent="0.25">
      <c r="A74" s="2">
        <v>72</v>
      </c>
      <c r="B74" s="1" t="s">
        <v>1094</v>
      </c>
      <c r="C74" s="1">
        <v>45855</v>
      </c>
      <c r="D74" s="1">
        <v>46220</v>
      </c>
      <c r="E74" s="5">
        <v>97.685000000000002</v>
      </c>
      <c r="F74" s="1">
        <v>45880</v>
      </c>
      <c r="G74" s="5">
        <v>76.081001281738196</v>
      </c>
      <c r="H74" s="1">
        <v>46220</v>
      </c>
    </row>
    <row r="75" spans="1:8" x14ac:dyDescent="0.25">
      <c r="A75" s="2">
        <v>73</v>
      </c>
      <c r="B75" s="1" t="s">
        <v>1092</v>
      </c>
      <c r="C75" s="1">
        <v>45855</v>
      </c>
      <c r="D75" s="1">
        <v>46220</v>
      </c>
      <c r="E75" s="5">
        <v>91.686850000000007</v>
      </c>
      <c r="F75" s="1">
        <v>45924</v>
      </c>
      <c r="G75" s="5">
        <v>84.996709999999993</v>
      </c>
      <c r="H75" s="1">
        <v>46205</v>
      </c>
    </row>
    <row r="76" spans="1:8" x14ac:dyDescent="0.25">
      <c r="A76" s="2">
        <v>74</v>
      </c>
      <c r="B76" s="1" t="s">
        <v>1090</v>
      </c>
      <c r="C76" s="1">
        <v>45855</v>
      </c>
      <c r="D76" s="1">
        <v>46220</v>
      </c>
      <c r="E76" s="5">
        <v>94.681380000000004</v>
      </c>
      <c r="F76" s="1">
        <v>45915</v>
      </c>
      <c r="G76" s="5">
        <v>84.783694999999994</v>
      </c>
      <c r="H76" s="1">
        <v>46220</v>
      </c>
    </row>
    <row r="77" spans="1:8" x14ac:dyDescent="0.25">
      <c r="A77" s="2">
        <v>75</v>
      </c>
      <c r="B77" s="1" t="s">
        <v>3797</v>
      </c>
      <c r="C77" s="1">
        <v>45855</v>
      </c>
      <c r="D77" s="1">
        <v>46220</v>
      </c>
      <c r="E77" s="5">
        <v>98.454130000000006</v>
      </c>
      <c r="F77" s="1">
        <v>46125</v>
      </c>
      <c r="G77" s="5">
        <v>71.335570000000004</v>
      </c>
      <c r="H77" s="1">
        <v>45855</v>
      </c>
    </row>
    <row r="78" spans="1:8" x14ac:dyDescent="0.25">
      <c r="A78" s="2">
        <v>76</v>
      </c>
      <c r="B78" s="1" t="s">
        <v>2466</v>
      </c>
      <c r="C78" s="1">
        <v>45855</v>
      </c>
      <c r="D78" s="1">
        <v>46220</v>
      </c>
      <c r="E78" s="5">
        <v>37.065759999999997</v>
      </c>
      <c r="F78" s="1">
        <v>46204</v>
      </c>
      <c r="G78" s="5">
        <v>34.739130000000003</v>
      </c>
      <c r="H78" s="1">
        <v>46220</v>
      </c>
    </row>
    <row r="79" spans="1:8" x14ac:dyDescent="0.25">
      <c r="A79" s="2">
        <v>77</v>
      </c>
      <c r="B79" s="1" t="s">
        <v>817</v>
      </c>
      <c r="C79" s="1">
        <v>45855</v>
      </c>
      <c r="D79" s="1">
        <v>46220</v>
      </c>
      <c r="E79" s="5">
        <v>96.834280000000007</v>
      </c>
      <c r="F79" s="1">
        <v>46218</v>
      </c>
      <c r="G79" s="5">
        <v>95.729690000000005</v>
      </c>
      <c r="H79" s="1">
        <v>46105</v>
      </c>
    </row>
    <row r="80" spans="1:8" x14ac:dyDescent="0.25">
      <c r="A80" s="2">
        <v>78</v>
      </c>
      <c r="B80" s="1" t="s">
        <v>815</v>
      </c>
      <c r="C80" s="1">
        <v>45855</v>
      </c>
      <c r="D80" s="1">
        <v>46220</v>
      </c>
      <c r="E80" s="5">
        <v>94.984710000000007</v>
      </c>
      <c r="F80" s="1">
        <v>46079</v>
      </c>
      <c r="G80" s="5">
        <v>94.131519999999995</v>
      </c>
      <c r="H80" s="1">
        <v>46107</v>
      </c>
    </row>
    <row r="81" spans="1:8" x14ac:dyDescent="0.25">
      <c r="A81" s="2">
        <v>79</v>
      </c>
      <c r="B81" s="1" t="s">
        <v>813</v>
      </c>
      <c r="C81" s="1">
        <v>45855</v>
      </c>
      <c r="D81" s="1">
        <v>46220</v>
      </c>
      <c r="E81" s="5">
        <v>89.28707</v>
      </c>
      <c r="F81" s="1">
        <v>46079</v>
      </c>
      <c r="G81" s="5">
        <v>87.043769999999995</v>
      </c>
      <c r="H81" s="1">
        <v>46161</v>
      </c>
    </row>
    <row r="82" spans="1:8" x14ac:dyDescent="0.25">
      <c r="A82" s="2">
        <v>80</v>
      </c>
      <c r="B82" s="1" t="s">
        <v>811</v>
      </c>
      <c r="C82" s="1">
        <v>45855</v>
      </c>
      <c r="D82" s="1">
        <v>46220</v>
      </c>
      <c r="E82" s="5">
        <v>85.176429999999996</v>
      </c>
      <c r="F82" s="1">
        <v>46076</v>
      </c>
      <c r="G82" s="5">
        <v>82.258589999999998</v>
      </c>
      <c r="H82" s="1">
        <v>46161</v>
      </c>
    </row>
    <row r="83" spans="1:8" x14ac:dyDescent="0.25">
      <c r="A83" s="2">
        <v>81</v>
      </c>
      <c r="B83" s="1" t="s">
        <v>52</v>
      </c>
      <c r="C83" s="1">
        <v>45855</v>
      </c>
      <c r="D83" s="1">
        <v>46220</v>
      </c>
      <c r="E83" s="5">
        <v>68.573009999999996</v>
      </c>
      <c r="F83" s="1">
        <v>45855</v>
      </c>
      <c r="G83" s="5">
        <v>52.776150000000001</v>
      </c>
      <c r="H83" s="1">
        <v>46154</v>
      </c>
    </row>
    <row r="84" spans="1:8" x14ac:dyDescent="0.25">
      <c r="A84" s="2">
        <v>82</v>
      </c>
      <c r="B84" s="1" t="s">
        <v>498</v>
      </c>
      <c r="C84" s="1">
        <v>45855</v>
      </c>
      <c r="D84" s="1">
        <v>46220</v>
      </c>
      <c r="E84" s="5">
        <v>73.420180000000002</v>
      </c>
      <c r="F84" s="1">
        <v>45861</v>
      </c>
      <c r="G84" s="5">
        <v>37.239649999999997</v>
      </c>
      <c r="H84" s="1">
        <v>46078</v>
      </c>
    </row>
    <row r="85" spans="1:8" x14ac:dyDescent="0.25">
      <c r="A85" s="2">
        <v>83</v>
      </c>
      <c r="B85" s="1" t="s">
        <v>451</v>
      </c>
      <c r="C85" s="1">
        <v>45855</v>
      </c>
      <c r="D85" s="1">
        <v>46220</v>
      </c>
      <c r="E85" s="5">
        <v>95.913589999999999</v>
      </c>
      <c r="F85" s="1">
        <v>46078</v>
      </c>
      <c r="G85" s="5">
        <v>92.984750000000005</v>
      </c>
      <c r="H85" s="1">
        <v>45861</v>
      </c>
    </row>
    <row r="86" spans="1:8" x14ac:dyDescent="0.25">
      <c r="A86" s="2">
        <v>84</v>
      </c>
      <c r="B86" s="1" t="s">
        <v>449</v>
      </c>
      <c r="C86" s="1">
        <v>45855</v>
      </c>
      <c r="D86" s="1">
        <v>46220</v>
      </c>
      <c r="E86" s="5">
        <v>102.24590000000001</v>
      </c>
      <c r="F86" s="1">
        <v>46058</v>
      </c>
      <c r="G86" s="5">
        <v>98.629109999999997</v>
      </c>
      <c r="H86" s="1">
        <v>46006</v>
      </c>
    </row>
    <row r="87" spans="1:8" x14ac:dyDescent="0.25">
      <c r="A87" s="2">
        <v>85</v>
      </c>
      <c r="B87" s="1" t="s">
        <v>1713</v>
      </c>
      <c r="C87" s="1">
        <v>45855</v>
      </c>
      <c r="D87" s="1">
        <v>46220</v>
      </c>
      <c r="E87" s="5">
        <v>100.4996</v>
      </c>
      <c r="F87" s="1">
        <v>46210</v>
      </c>
      <c r="G87" s="5">
        <v>68.814269999999993</v>
      </c>
      <c r="H87" s="1">
        <v>45866</v>
      </c>
    </row>
    <row r="88" spans="1:8" x14ac:dyDescent="0.25">
      <c r="A88" s="2">
        <v>86</v>
      </c>
      <c r="B88" s="1" t="s">
        <v>2709</v>
      </c>
      <c r="C88" s="1">
        <v>45855</v>
      </c>
      <c r="D88" s="1">
        <v>46220</v>
      </c>
      <c r="E88" s="5">
        <v>94.575329999999994</v>
      </c>
      <c r="F88" s="1">
        <v>45922</v>
      </c>
      <c r="G88" s="5">
        <v>83.159809999999993</v>
      </c>
      <c r="H88" s="1">
        <v>46195</v>
      </c>
    </row>
    <row r="89" spans="1:8" x14ac:dyDescent="0.25">
      <c r="A89" s="2">
        <v>87</v>
      </c>
      <c r="B89" s="1" t="s">
        <v>1765</v>
      </c>
      <c r="C89" s="1">
        <v>45855</v>
      </c>
      <c r="D89" s="1">
        <v>46220</v>
      </c>
      <c r="E89" s="5">
        <v>63.77375</v>
      </c>
      <c r="F89" s="1">
        <v>45887</v>
      </c>
      <c r="G89" s="5">
        <v>36.80527</v>
      </c>
      <c r="H89" s="1">
        <v>46066</v>
      </c>
    </row>
    <row r="90" spans="1:8" x14ac:dyDescent="0.25">
      <c r="A90" s="2">
        <v>88</v>
      </c>
      <c r="B90" s="1" t="s">
        <v>446</v>
      </c>
      <c r="C90" s="1">
        <v>45855</v>
      </c>
      <c r="D90" s="1">
        <v>46220</v>
      </c>
      <c r="E90" s="5">
        <v>101.8563</v>
      </c>
      <c r="F90" s="1">
        <v>46009</v>
      </c>
      <c r="G90" s="5">
        <v>97.671059999999997</v>
      </c>
      <c r="H90" s="1">
        <v>46195</v>
      </c>
    </row>
    <row r="91" spans="1:8" x14ac:dyDescent="0.25">
      <c r="A91" s="2">
        <v>89</v>
      </c>
      <c r="B91" s="1" t="s">
        <v>328</v>
      </c>
      <c r="C91" s="1">
        <v>45855</v>
      </c>
      <c r="D91" s="1">
        <v>46220</v>
      </c>
      <c r="E91" s="5">
        <v>55.633000000000003</v>
      </c>
      <c r="F91" s="1">
        <v>46112</v>
      </c>
      <c r="G91" s="5">
        <v>55.633000000000003</v>
      </c>
      <c r="H91" s="1">
        <v>46112</v>
      </c>
    </row>
    <row r="92" spans="1:8" x14ac:dyDescent="0.25">
      <c r="A92" s="2">
        <v>90</v>
      </c>
      <c r="B92" s="1" t="s">
        <v>3333</v>
      </c>
      <c r="C92" s="1">
        <v>45855</v>
      </c>
      <c r="D92" s="1">
        <v>46220</v>
      </c>
      <c r="E92" s="5">
        <v>100.0625</v>
      </c>
      <c r="F92" s="1">
        <v>46195</v>
      </c>
      <c r="G92" s="5">
        <v>92</v>
      </c>
      <c r="H92" s="1">
        <v>46206</v>
      </c>
    </row>
    <row r="93" spans="1:8" x14ac:dyDescent="0.25">
      <c r="A93" s="2">
        <v>91</v>
      </c>
      <c r="B93" s="1" t="s">
        <v>3332</v>
      </c>
      <c r="C93" s="1">
        <v>45855</v>
      </c>
      <c r="D93" s="1">
        <v>46220</v>
      </c>
      <c r="E93" s="5">
        <v>100.125</v>
      </c>
      <c r="F93" s="1">
        <v>46219</v>
      </c>
      <c r="G93" s="5">
        <v>93.5</v>
      </c>
      <c r="H93" s="1">
        <v>46203</v>
      </c>
    </row>
    <row r="94" spans="1:8" x14ac:dyDescent="0.25">
      <c r="A94" s="2">
        <v>92</v>
      </c>
      <c r="B94" t="s">
        <v>2355</v>
      </c>
      <c r="C94" s="1">
        <v>45855</v>
      </c>
      <c r="D94" s="3">
        <v>46220</v>
      </c>
      <c r="E94" s="5">
        <v>99.500500000000002</v>
      </c>
      <c r="F94" s="3">
        <v>46112</v>
      </c>
      <c r="G94">
        <v>99.500500000000002</v>
      </c>
      <c r="H94" s="1">
        <v>46112</v>
      </c>
    </row>
    <row r="95" spans="1:8" x14ac:dyDescent="0.25">
      <c r="A95" s="2">
        <v>93</v>
      </c>
      <c r="B95" t="s">
        <v>3824</v>
      </c>
      <c r="C95" s="1">
        <v>45855</v>
      </c>
      <c r="D95" s="3">
        <v>46220</v>
      </c>
      <c r="E95" s="5">
        <v>101.25</v>
      </c>
      <c r="F95" s="3">
        <v>46191</v>
      </c>
      <c r="G95">
        <v>101.25</v>
      </c>
      <c r="H95" s="1">
        <v>46191</v>
      </c>
    </row>
    <row r="96" spans="1:8" x14ac:dyDescent="0.25">
      <c r="A96" s="2">
        <v>94</v>
      </c>
      <c r="B96" t="s">
        <v>2674</v>
      </c>
      <c r="C96" s="1">
        <v>45855</v>
      </c>
      <c r="D96" s="3">
        <v>46220</v>
      </c>
      <c r="E96" s="5">
        <v>73.697400000000002</v>
      </c>
      <c r="F96" s="3">
        <v>46112</v>
      </c>
      <c r="G96">
        <v>73.697400000000002</v>
      </c>
      <c r="H96" s="1">
        <v>46112</v>
      </c>
    </row>
    <row r="97" spans="1:8" x14ac:dyDescent="0.25">
      <c r="A97" s="2">
        <v>95</v>
      </c>
      <c r="B97" t="s">
        <v>2672</v>
      </c>
      <c r="C97" s="1">
        <v>45855</v>
      </c>
      <c r="D97" s="3">
        <v>46220</v>
      </c>
      <c r="E97" s="5">
        <v>76.041700000000006</v>
      </c>
      <c r="F97" s="3">
        <v>46112</v>
      </c>
      <c r="G97">
        <v>76.041700000000006</v>
      </c>
      <c r="H97" s="1">
        <v>46112</v>
      </c>
    </row>
    <row r="98" spans="1:8" x14ac:dyDescent="0.25">
      <c r="A98" s="2">
        <v>96</v>
      </c>
      <c r="B98" t="s">
        <v>3385</v>
      </c>
      <c r="C98" s="1">
        <v>45855</v>
      </c>
      <c r="D98" s="3">
        <v>46220</v>
      </c>
      <c r="E98" s="5">
        <v>95.5</v>
      </c>
      <c r="F98" s="3">
        <v>46072</v>
      </c>
      <c r="G98">
        <v>91</v>
      </c>
      <c r="H98" s="1">
        <v>45889</v>
      </c>
    </row>
    <row r="99" spans="1:8" x14ac:dyDescent="0.25">
      <c r="A99" s="2">
        <v>97</v>
      </c>
      <c r="B99" t="s">
        <v>3656</v>
      </c>
      <c r="C99" s="1">
        <v>45855</v>
      </c>
      <c r="D99" s="3">
        <v>46220</v>
      </c>
      <c r="E99" s="5">
        <v>101</v>
      </c>
      <c r="F99" s="3">
        <v>46002</v>
      </c>
      <c r="G99">
        <v>93.5</v>
      </c>
      <c r="H99" s="1">
        <v>45890</v>
      </c>
    </row>
    <row r="100" spans="1:8" x14ac:dyDescent="0.25">
      <c r="A100" s="2">
        <v>98</v>
      </c>
      <c r="B100" t="s">
        <v>564</v>
      </c>
      <c r="C100" s="1">
        <v>45855</v>
      </c>
      <c r="D100" s="3">
        <v>46220</v>
      </c>
      <c r="E100" s="5">
        <v>90</v>
      </c>
      <c r="F100" s="3">
        <v>46195</v>
      </c>
      <c r="G100">
        <v>85</v>
      </c>
      <c r="H100" s="1">
        <v>46177</v>
      </c>
    </row>
    <row r="101" spans="1:8" x14ac:dyDescent="0.25">
      <c r="A101" s="2">
        <v>99</v>
      </c>
      <c r="B101" t="s">
        <v>1767</v>
      </c>
      <c r="C101" s="1">
        <v>45855</v>
      </c>
      <c r="D101" s="3">
        <v>46220</v>
      </c>
      <c r="E101" s="5">
        <v>68.5</v>
      </c>
      <c r="F101" s="3">
        <v>45936</v>
      </c>
      <c r="G101">
        <v>44</v>
      </c>
      <c r="H101" s="1">
        <v>46211</v>
      </c>
    </row>
    <row r="102" spans="1:8" x14ac:dyDescent="0.25">
      <c r="A102" s="2">
        <v>100</v>
      </c>
      <c r="B102" t="s">
        <v>1663</v>
      </c>
      <c r="C102" s="1">
        <v>45855</v>
      </c>
      <c r="D102" s="3">
        <v>46220</v>
      </c>
      <c r="E102" s="5">
        <v>98.5</v>
      </c>
      <c r="F102" s="3">
        <v>45903</v>
      </c>
      <c r="G102">
        <v>75</v>
      </c>
      <c r="H102" s="1">
        <v>45917</v>
      </c>
    </row>
    <row r="103" spans="1:8" x14ac:dyDescent="0.25">
      <c r="A103" s="2">
        <v>101</v>
      </c>
      <c r="B103" t="s">
        <v>1643</v>
      </c>
      <c r="C103" s="1">
        <v>45855</v>
      </c>
      <c r="D103" s="3">
        <v>46220</v>
      </c>
      <c r="E103" s="5">
        <v>120</v>
      </c>
      <c r="F103" s="3">
        <v>46154</v>
      </c>
      <c r="G103">
        <v>120</v>
      </c>
      <c r="H103" s="1">
        <v>46154</v>
      </c>
    </row>
    <row r="104" spans="1:8" x14ac:dyDescent="0.25">
      <c r="A104" s="2">
        <v>102</v>
      </c>
      <c r="B104" t="s">
        <v>126</v>
      </c>
      <c r="C104" s="1">
        <v>45855</v>
      </c>
      <c r="D104" s="3">
        <v>46220</v>
      </c>
      <c r="E104" s="5">
        <v>94.75</v>
      </c>
      <c r="F104" s="3">
        <v>45903</v>
      </c>
      <c r="G104">
        <v>63.5</v>
      </c>
      <c r="H104" s="1">
        <v>46189</v>
      </c>
    </row>
    <row r="105" spans="1:8" x14ac:dyDescent="0.25">
      <c r="A105" s="2">
        <v>103</v>
      </c>
      <c r="B105" t="s">
        <v>2479</v>
      </c>
      <c r="C105" s="1">
        <v>45855</v>
      </c>
      <c r="D105" s="3">
        <v>46220</v>
      </c>
      <c r="E105" s="5">
        <v>95.125</v>
      </c>
      <c r="F105" s="3">
        <v>45881</v>
      </c>
      <c r="G105">
        <v>82.25</v>
      </c>
      <c r="H105" s="1">
        <v>46080</v>
      </c>
    </row>
    <row r="106" spans="1:8" x14ac:dyDescent="0.25">
      <c r="A106" s="2">
        <v>104</v>
      </c>
      <c r="B106" t="s">
        <v>1915</v>
      </c>
      <c r="C106" s="1">
        <v>45855</v>
      </c>
      <c r="D106" s="3">
        <v>46220</v>
      </c>
      <c r="E106" s="5">
        <v>96.5</v>
      </c>
      <c r="F106" s="3">
        <v>45910</v>
      </c>
      <c r="G106">
        <v>62.5</v>
      </c>
      <c r="H106" s="1">
        <v>46062</v>
      </c>
    </row>
    <row r="107" spans="1:8" x14ac:dyDescent="0.25">
      <c r="A107" s="2">
        <v>105</v>
      </c>
      <c r="B107" t="s">
        <v>62</v>
      </c>
      <c r="C107" s="1">
        <v>45855</v>
      </c>
      <c r="D107" s="3">
        <v>46220</v>
      </c>
      <c r="E107" s="5">
        <v>98.75</v>
      </c>
      <c r="F107" s="3">
        <v>45859</v>
      </c>
      <c r="G107">
        <v>68</v>
      </c>
      <c r="H107" s="1">
        <v>46175</v>
      </c>
    </row>
    <row r="108" spans="1:8" x14ac:dyDescent="0.25">
      <c r="A108" s="2">
        <v>106</v>
      </c>
      <c r="B108" t="s">
        <v>1251</v>
      </c>
      <c r="C108" s="1">
        <v>45855</v>
      </c>
      <c r="D108" s="3">
        <v>46220</v>
      </c>
      <c r="E108" s="5">
        <v>100.875</v>
      </c>
      <c r="F108" s="3">
        <v>46150</v>
      </c>
      <c r="G108">
        <v>98.5</v>
      </c>
      <c r="H108" s="1">
        <v>45861</v>
      </c>
    </row>
    <row r="109" spans="1:8" x14ac:dyDescent="0.25">
      <c r="A109" s="2">
        <v>107</v>
      </c>
      <c r="B109" t="s">
        <v>1871</v>
      </c>
      <c r="C109" s="1">
        <v>45855</v>
      </c>
      <c r="D109" s="3">
        <v>46220</v>
      </c>
      <c r="E109" s="5">
        <v>95.5</v>
      </c>
      <c r="F109" s="3">
        <v>45859</v>
      </c>
      <c r="G109">
        <v>92.5</v>
      </c>
      <c r="H109" s="1">
        <v>45861</v>
      </c>
    </row>
    <row r="110" spans="1:8" x14ac:dyDescent="0.25">
      <c r="A110" s="2">
        <v>108</v>
      </c>
      <c r="B110" t="s">
        <v>2021</v>
      </c>
      <c r="C110" s="1">
        <v>45855</v>
      </c>
      <c r="D110" s="3">
        <v>46220</v>
      </c>
      <c r="E110" s="5">
        <v>75</v>
      </c>
      <c r="F110" s="3">
        <v>46153</v>
      </c>
      <c r="G110">
        <v>59.5</v>
      </c>
      <c r="H110" s="1">
        <v>45929</v>
      </c>
    </row>
    <row r="111" spans="1:8" x14ac:dyDescent="0.25">
      <c r="A111" s="2">
        <v>109</v>
      </c>
      <c r="B111" t="s">
        <v>1031</v>
      </c>
      <c r="C111" s="1">
        <v>45855</v>
      </c>
      <c r="D111" s="3">
        <v>46220</v>
      </c>
      <c r="E111" s="5">
        <v>90.125</v>
      </c>
      <c r="F111" s="3">
        <v>46195</v>
      </c>
      <c r="G111">
        <v>62.75</v>
      </c>
      <c r="H111" s="1">
        <v>45855</v>
      </c>
    </row>
    <row r="112" spans="1:8" x14ac:dyDescent="0.25">
      <c r="A112" s="2">
        <v>110</v>
      </c>
      <c r="B112" t="s">
        <v>1561</v>
      </c>
      <c r="C112" s="1">
        <v>45855</v>
      </c>
      <c r="D112" s="3">
        <v>46220</v>
      </c>
      <c r="E112" s="5">
        <v>99.875</v>
      </c>
      <c r="F112" s="3">
        <v>46168</v>
      </c>
      <c r="G112">
        <v>91.625</v>
      </c>
      <c r="H112" s="1">
        <v>46154</v>
      </c>
    </row>
    <row r="113" spans="1:8" x14ac:dyDescent="0.25">
      <c r="A113" s="2">
        <v>111</v>
      </c>
      <c r="B113" t="s">
        <v>3480</v>
      </c>
      <c r="C113" s="1">
        <v>45855</v>
      </c>
      <c r="D113" s="3">
        <v>46220</v>
      </c>
      <c r="E113" s="5">
        <v>101.875</v>
      </c>
      <c r="F113" s="3">
        <v>45862</v>
      </c>
      <c r="G113">
        <v>35</v>
      </c>
      <c r="H113" s="1">
        <v>46090</v>
      </c>
    </row>
    <row r="114" spans="1:8" x14ac:dyDescent="0.25">
      <c r="A114" s="2">
        <v>112</v>
      </c>
      <c r="B114" t="s">
        <v>3414</v>
      </c>
      <c r="C114" s="1">
        <v>45855</v>
      </c>
      <c r="D114" s="3">
        <v>46220</v>
      </c>
      <c r="E114" s="5">
        <v>100.5</v>
      </c>
      <c r="F114" s="3">
        <v>45873</v>
      </c>
      <c r="G114">
        <v>98.4375</v>
      </c>
      <c r="H114" s="1">
        <v>46212</v>
      </c>
    </row>
    <row r="115" spans="1:8" x14ac:dyDescent="0.25">
      <c r="A115" s="2">
        <v>113</v>
      </c>
      <c r="B115" t="s">
        <v>1125</v>
      </c>
      <c r="C115" s="1">
        <v>45855</v>
      </c>
      <c r="D115" s="3">
        <v>46220</v>
      </c>
      <c r="E115" s="5">
        <v>100.4375</v>
      </c>
      <c r="F115" s="3">
        <v>46027</v>
      </c>
      <c r="G115">
        <v>94.875</v>
      </c>
      <c r="H115" s="1">
        <v>46220</v>
      </c>
    </row>
    <row r="116" spans="1:8" x14ac:dyDescent="0.25">
      <c r="A116" s="2">
        <v>114</v>
      </c>
      <c r="B116" t="s">
        <v>2093</v>
      </c>
      <c r="C116" s="1">
        <v>45855</v>
      </c>
      <c r="D116" s="3">
        <v>46220</v>
      </c>
      <c r="E116" s="5">
        <v>100</v>
      </c>
      <c r="F116" s="3">
        <v>45866</v>
      </c>
      <c r="G116">
        <v>65</v>
      </c>
      <c r="H116" s="1">
        <v>46216</v>
      </c>
    </row>
    <row r="117" spans="1:8" x14ac:dyDescent="0.25">
      <c r="A117" s="2">
        <v>115</v>
      </c>
      <c r="B117" t="s">
        <v>2091</v>
      </c>
      <c r="C117" s="1">
        <v>45855</v>
      </c>
      <c r="D117" s="3">
        <v>46220</v>
      </c>
      <c r="E117" s="5">
        <v>92.5</v>
      </c>
      <c r="F117" s="3">
        <v>46171</v>
      </c>
      <c r="G117">
        <v>92.5</v>
      </c>
      <c r="H117" s="1">
        <v>46171</v>
      </c>
    </row>
    <row r="118" spans="1:8" x14ac:dyDescent="0.25">
      <c r="A118" s="2">
        <v>116</v>
      </c>
      <c r="B118" t="s">
        <v>1884</v>
      </c>
      <c r="C118" s="1">
        <v>45855</v>
      </c>
      <c r="D118" s="3">
        <v>46220</v>
      </c>
      <c r="E118" s="5">
        <v>92.25</v>
      </c>
      <c r="F118" s="3">
        <v>45882</v>
      </c>
      <c r="G118">
        <v>64.5</v>
      </c>
      <c r="H118" s="1">
        <v>46164</v>
      </c>
    </row>
    <row r="119" spans="1:8" x14ac:dyDescent="0.25">
      <c r="A119" s="2">
        <v>117</v>
      </c>
      <c r="B119" t="s">
        <v>1882</v>
      </c>
      <c r="C119" s="1">
        <v>45855</v>
      </c>
      <c r="D119" s="3">
        <v>46220</v>
      </c>
      <c r="E119" s="5">
        <v>80</v>
      </c>
      <c r="F119" s="3">
        <v>45978</v>
      </c>
      <c r="G119">
        <v>61.5</v>
      </c>
      <c r="H119" s="1">
        <v>46086</v>
      </c>
    </row>
    <row r="120" spans="1:8" x14ac:dyDescent="0.25">
      <c r="A120" s="2">
        <v>118</v>
      </c>
      <c r="B120" t="s">
        <v>1559</v>
      </c>
      <c r="C120" s="1">
        <v>45855</v>
      </c>
      <c r="D120" s="3">
        <v>46220</v>
      </c>
      <c r="E120" s="5">
        <v>101.125</v>
      </c>
      <c r="F120" s="3">
        <v>45855</v>
      </c>
      <c r="G120">
        <v>99.625</v>
      </c>
      <c r="H120" s="1">
        <v>46197</v>
      </c>
    </row>
    <row r="121" spans="1:8" x14ac:dyDescent="0.25">
      <c r="A121" s="2">
        <v>119</v>
      </c>
      <c r="B121" t="s">
        <v>2429</v>
      </c>
      <c r="C121" s="1">
        <v>45855</v>
      </c>
      <c r="D121" s="3">
        <v>46220</v>
      </c>
      <c r="E121" s="5">
        <v>100</v>
      </c>
      <c r="F121" s="3">
        <v>46035</v>
      </c>
      <c r="G121">
        <v>99</v>
      </c>
      <c r="H121" s="1">
        <v>46027</v>
      </c>
    </row>
    <row r="122" spans="1:8" x14ac:dyDescent="0.25">
      <c r="A122" s="2">
        <v>120</v>
      </c>
      <c r="B122" t="s">
        <v>1944</v>
      </c>
      <c r="C122" s="1">
        <v>45855</v>
      </c>
      <c r="D122" s="3">
        <v>46220</v>
      </c>
      <c r="E122" s="5">
        <v>90</v>
      </c>
      <c r="F122" s="3">
        <v>46115</v>
      </c>
      <c r="G122">
        <v>57.5</v>
      </c>
      <c r="H122" s="1">
        <v>46143</v>
      </c>
    </row>
    <row r="123" spans="1:8" x14ac:dyDescent="0.25">
      <c r="A123" s="2">
        <v>121</v>
      </c>
      <c r="B123" t="s">
        <v>395</v>
      </c>
      <c r="C123" s="1">
        <v>45855</v>
      </c>
      <c r="D123" s="3">
        <v>46220</v>
      </c>
      <c r="E123" s="5">
        <v>93.867999999999995</v>
      </c>
      <c r="F123" s="3">
        <v>45904</v>
      </c>
      <c r="G123">
        <v>54.5</v>
      </c>
      <c r="H123" s="1">
        <v>46134</v>
      </c>
    </row>
    <row r="124" spans="1:8" x14ac:dyDescent="0.25">
      <c r="A124" s="2">
        <v>122</v>
      </c>
      <c r="B124" t="s">
        <v>3449</v>
      </c>
      <c r="C124" s="1">
        <v>45855</v>
      </c>
      <c r="D124" s="3">
        <v>46220</v>
      </c>
      <c r="E124" s="5">
        <v>89</v>
      </c>
      <c r="F124" s="3">
        <v>45856</v>
      </c>
      <c r="G124">
        <v>61</v>
      </c>
      <c r="H124" s="1">
        <v>46170</v>
      </c>
    </row>
    <row r="125" spans="1:8" x14ac:dyDescent="0.25">
      <c r="A125" s="2">
        <v>123</v>
      </c>
      <c r="B125" t="s">
        <v>214</v>
      </c>
      <c r="C125" s="1">
        <v>45855</v>
      </c>
      <c r="D125" s="3">
        <v>46220</v>
      </c>
      <c r="E125" s="5">
        <v>100.2945</v>
      </c>
      <c r="F125" s="3">
        <v>45930</v>
      </c>
      <c r="G125">
        <v>89.5</v>
      </c>
      <c r="H125" s="1">
        <v>46185</v>
      </c>
    </row>
    <row r="126" spans="1:8" x14ac:dyDescent="0.25">
      <c r="A126" s="2">
        <v>124</v>
      </c>
      <c r="B126" t="s">
        <v>3379</v>
      </c>
      <c r="C126" s="1">
        <v>45855</v>
      </c>
      <c r="D126" s="3">
        <v>46220</v>
      </c>
      <c r="E126" s="5">
        <v>97.75</v>
      </c>
      <c r="F126" s="3">
        <v>46129</v>
      </c>
      <c r="G126">
        <v>80.5</v>
      </c>
      <c r="H126" s="1">
        <v>46150</v>
      </c>
    </row>
    <row r="127" spans="1:8" x14ac:dyDescent="0.25">
      <c r="A127" s="2">
        <v>125</v>
      </c>
      <c r="B127" t="s">
        <v>1379</v>
      </c>
      <c r="C127" s="1">
        <v>45855</v>
      </c>
      <c r="D127" s="3">
        <v>46220</v>
      </c>
      <c r="E127" s="5">
        <v>91.5</v>
      </c>
      <c r="F127" s="3">
        <v>46195</v>
      </c>
      <c r="G127">
        <v>28</v>
      </c>
      <c r="H127" s="1">
        <v>46078</v>
      </c>
    </row>
    <row r="128" spans="1:8" x14ac:dyDescent="0.25">
      <c r="A128" s="2">
        <v>126</v>
      </c>
      <c r="B128" t="s">
        <v>1732</v>
      </c>
      <c r="C128" s="1">
        <v>45855</v>
      </c>
      <c r="D128" s="3">
        <v>46220</v>
      </c>
      <c r="E128" s="5">
        <v>91.5</v>
      </c>
      <c r="F128" s="3">
        <v>45938</v>
      </c>
      <c r="G128">
        <v>67.5</v>
      </c>
      <c r="H128" s="1">
        <v>46216</v>
      </c>
    </row>
    <row r="129" spans="1:8" x14ac:dyDescent="0.25">
      <c r="A129" s="2">
        <v>127</v>
      </c>
      <c r="B129" t="s">
        <v>114</v>
      </c>
      <c r="C129" s="1">
        <v>45855</v>
      </c>
      <c r="D129" s="3">
        <v>46220</v>
      </c>
      <c r="E129" s="5">
        <v>94.875</v>
      </c>
      <c r="F129" s="3">
        <v>46001</v>
      </c>
      <c r="G129">
        <v>83</v>
      </c>
      <c r="H129" s="1">
        <v>45947</v>
      </c>
    </row>
    <row r="130" spans="1:8" x14ac:dyDescent="0.25">
      <c r="A130" s="2">
        <v>128</v>
      </c>
      <c r="B130" t="s">
        <v>3401</v>
      </c>
      <c r="C130" s="1">
        <v>45855</v>
      </c>
      <c r="D130" s="3">
        <v>46220</v>
      </c>
      <c r="E130" s="5">
        <v>96</v>
      </c>
      <c r="F130" s="3">
        <v>46212</v>
      </c>
      <c r="G130">
        <v>62.5</v>
      </c>
      <c r="H130" s="1">
        <v>46085</v>
      </c>
    </row>
    <row r="131" spans="1:8" x14ac:dyDescent="0.25">
      <c r="A131" s="2">
        <v>129</v>
      </c>
      <c r="B131" t="s">
        <v>130</v>
      </c>
      <c r="C131" s="1">
        <v>45855</v>
      </c>
      <c r="D131" s="3">
        <v>46220</v>
      </c>
      <c r="E131" s="5">
        <v>78.5</v>
      </c>
      <c r="F131" s="3">
        <v>46036</v>
      </c>
      <c r="G131">
        <v>47.5</v>
      </c>
      <c r="H131" s="1">
        <v>45967</v>
      </c>
    </row>
    <row r="132" spans="1:8" x14ac:dyDescent="0.25">
      <c r="A132" s="2">
        <v>130</v>
      </c>
      <c r="B132" t="s">
        <v>2007</v>
      </c>
      <c r="C132" s="1">
        <v>45855</v>
      </c>
      <c r="D132" s="3">
        <v>46220</v>
      </c>
      <c r="E132" s="5">
        <v>44.5</v>
      </c>
      <c r="F132" s="3">
        <v>45855</v>
      </c>
      <c r="G132">
        <v>7.5</v>
      </c>
      <c r="H132" s="1">
        <v>46174</v>
      </c>
    </row>
    <row r="133" spans="1:8" x14ac:dyDescent="0.25">
      <c r="A133" s="2">
        <v>131</v>
      </c>
      <c r="B133" t="s">
        <v>118</v>
      </c>
      <c r="C133" s="1">
        <v>45855</v>
      </c>
      <c r="D133" s="3">
        <v>46220</v>
      </c>
      <c r="E133" s="5">
        <v>82.25</v>
      </c>
      <c r="F133" s="3">
        <v>46202</v>
      </c>
      <c r="G133">
        <v>47</v>
      </c>
      <c r="H133" s="1">
        <v>46078</v>
      </c>
    </row>
    <row r="134" spans="1:8" x14ac:dyDescent="0.25">
      <c r="A134" s="2">
        <v>132</v>
      </c>
      <c r="B134" t="s">
        <v>1021</v>
      </c>
      <c r="C134" s="1">
        <v>45855</v>
      </c>
      <c r="D134" s="3">
        <v>46220</v>
      </c>
      <c r="E134" s="5">
        <v>91.1875</v>
      </c>
      <c r="F134" s="3">
        <v>46191</v>
      </c>
      <c r="G134">
        <v>87.25</v>
      </c>
      <c r="H134" s="1">
        <v>45855</v>
      </c>
    </row>
    <row r="135" spans="1:8" x14ac:dyDescent="0.25">
      <c r="A135" s="2">
        <v>133</v>
      </c>
      <c r="B135" t="s">
        <v>371</v>
      </c>
      <c r="C135" s="1">
        <v>45855</v>
      </c>
      <c r="D135" s="3">
        <v>46220</v>
      </c>
      <c r="E135" s="5">
        <v>96.25</v>
      </c>
      <c r="F135" s="3">
        <v>45908</v>
      </c>
      <c r="G135">
        <v>55</v>
      </c>
      <c r="H135" s="1">
        <v>46210</v>
      </c>
    </row>
    <row r="136" spans="1:8" x14ac:dyDescent="0.25">
      <c r="A136" s="2">
        <v>134</v>
      </c>
      <c r="B136" t="s">
        <v>534</v>
      </c>
      <c r="C136" s="1">
        <v>45855</v>
      </c>
      <c r="D136" s="3">
        <v>46220</v>
      </c>
      <c r="E136" s="5">
        <v>97</v>
      </c>
      <c r="F136" s="3">
        <v>45924</v>
      </c>
      <c r="G136">
        <v>62.5</v>
      </c>
      <c r="H136" s="1">
        <v>46118</v>
      </c>
    </row>
    <row r="137" spans="1:8" x14ac:dyDescent="0.25">
      <c r="A137" s="2">
        <v>135</v>
      </c>
      <c r="B137" t="s">
        <v>3216</v>
      </c>
      <c r="C137" s="1">
        <v>45855</v>
      </c>
      <c r="D137" s="3">
        <v>46220</v>
      </c>
      <c r="E137" s="5">
        <v>71</v>
      </c>
      <c r="F137" s="3">
        <v>45859</v>
      </c>
      <c r="G137">
        <v>40</v>
      </c>
      <c r="H137" s="1">
        <v>46220</v>
      </c>
    </row>
    <row r="138" spans="1:8" x14ac:dyDescent="0.25">
      <c r="A138" s="2">
        <v>136</v>
      </c>
      <c r="B138" t="s">
        <v>1484</v>
      </c>
      <c r="C138" s="1">
        <v>45855</v>
      </c>
      <c r="D138" s="3">
        <v>46220</v>
      </c>
      <c r="E138" s="5">
        <v>80</v>
      </c>
      <c r="F138" s="3">
        <v>46043</v>
      </c>
      <c r="G138">
        <v>27.5</v>
      </c>
      <c r="H138" s="1">
        <v>45882</v>
      </c>
    </row>
    <row r="139" spans="1:8" x14ac:dyDescent="0.25">
      <c r="A139" s="2">
        <v>137</v>
      </c>
      <c r="B139" t="s">
        <v>1483</v>
      </c>
      <c r="C139" s="1">
        <v>45855</v>
      </c>
      <c r="D139" s="3">
        <v>46220</v>
      </c>
      <c r="E139" s="5">
        <v>49</v>
      </c>
      <c r="F139" s="3">
        <v>46037</v>
      </c>
      <c r="G139">
        <v>20</v>
      </c>
      <c r="H139" s="1">
        <v>45889</v>
      </c>
    </row>
    <row r="140" spans="1:8" x14ac:dyDescent="0.25">
      <c r="A140" s="2">
        <v>138</v>
      </c>
      <c r="B140" t="s">
        <v>1966</v>
      </c>
      <c r="C140" s="1">
        <v>45855</v>
      </c>
      <c r="D140" s="3">
        <v>46220</v>
      </c>
      <c r="E140" s="5">
        <v>44.371850000000002</v>
      </c>
      <c r="F140" s="3">
        <v>45992</v>
      </c>
      <c r="G140">
        <v>42.6203</v>
      </c>
      <c r="H140" s="1">
        <v>45996</v>
      </c>
    </row>
    <row r="141" spans="1:8" x14ac:dyDescent="0.25">
      <c r="A141" s="2">
        <v>139</v>
      </c>
      <c r="B141" t="s">
        <v>1964</v>
      </c>
      <c r="C141" s="1">
        <v>45855</v>
      </c>
      <c r="D141" s="3">
        <v>46220</v>
      </c>
      <c r="E141" s="5">
        <v>15.964090000000001</v>
      </c>
      <c r="F141" s="3">
        <v>46141</v>
      </c>
      <c r="G141">
        <v>15.52117</v>
      </c>
      <c r="H141" s="1">
        <v>45887</v>
      </c>
    </row>
    <row r="142" spans="1:8" x14ac:dyDescent="0.25">
      <c r="A142" s="2">
        <v>140</v>
      </c>
      <c r="B142" t="s">
        <v>562</v>
      </c>
      <c r="C142" s="1">
        <v>45855</v>
      </c>
      <c r="D142" s="3">
        <v>46220</v>
      </c>
      <c r="E142" s="5">
        <v>99</v>
      </c>
      <c r="F142" s="3">
        <v>45915</v>
      </c>
      <c r="G142">
        <v>84.5</v>
      </c>
      <c r="H142" s="1">
        <v>46157</v>
      </c>
    </row>
    <row r="143" spans="1:8" x14ac:dyDescent="0.25">
      <c r="A143" s="2">
        <v>141</v>
      </c>
      <c r="B143" t="s">
        <v>2524</v>
      </c>
      <c r="C143" s="1">
        <v>45855</v>
      </c>
      <c r="D143" s="3">
        <v>46220</v>
      </c>
      <c r="E143" s="5">
        <v>98.75</v>
      </c>
      <c r="F143" s="3">
        <v>45856</v>
      </c>
      <c r="G143">
        <v>89.25</v>
      </c>
      <c r="H143" s="1">
        <v>45985</v>
      </c>
    </row>
    <row r="144" spans="1:8" x14ac:dyDescent="0.25">
      <c r="A144" s="2">
        <v>142</v>
      </c>
      <c r="B144" t="s">
        <v>3512</v>
      </c>
      <c r="C144" s="1">
        <v>45855</v>
      </c>
      <c r="D144" s="3">
        <v>46220</v>
      </c>
      <c r="E144" s="5">
        <v>89.75</v>
      </c>
      <c r="F144" s="3">
        <v>46189</v>
      </c>
      <c r="G144">
        <v>46.5</v>
      </c>
      <c r="H144" s="1">
        <v>45910</v>
      </c>
    </row>
    <row r="145" spans="1:8" x14ac:dyDescent="0.25">
      <c r="A145" s="2">
        <v>143</v>
      </c>
      <c r="B145" t="s">
        <v>3510</v>
      </c>
      <c r="C145" s="1">
        <v>45855</v>
      </c>
      <c r="D145" s="3">
        <v>46220</v>
      </c>
      <c r="E145" s="5">
        <v>32.5</v>
      </c>
      <c r="F145" s="3">
        <v>45855</v>
      </c>
      <c r="G145">
        <v>12.5</v>
      </c>
      <c r="H145" s="1">
        <v>46134</v>
      </c>
    </row>
    <row r="146" spans="1:8" x14ac:dyDescent="0.25">
      <c r="A146" s="2">
        <v>144</v>
      </c>
      <c r="B146" t="s">
        <v>405</v>
      </c>
      <c r="C146" s="1">
        <v>45855</v>
      </c>
      <c r="D146" s="3">
        <v>46220</v>
      </c>
      <c r="E146" s="5">
        <v>98.5</v>
      </c>
      <c r="F146" s="3">
        <v>45855</v>
      </c>
      <c r="G146">
        <v>82.25</v>
      </c>
      <c r="H146" s="1">
        <v>46094</v>
      </c>
    </row>
    <row r="147" spans="1:8" x14ac:dyDescent="0.25">
      <c r="A147" s="2">
        <v>145</v>
      </c>
      <c r="B147" t="s">
        <v>403</v>
      </c>
      <c r="C147" s="1">
        <v>45855</v>
      </c>
      <c r="D147" s="3">
        <v>46220</v>
      </c>
      <c r="E147" s="5">
        <v>96.5</v>
      </c>
      <c r="F147" s="3">
        <v>45867</v>
      </c>
      <c r="G147">
        <v>79.25</v>
      </c>
      <c r="H147" s="1">
        <v>46094</v>
      </c>
    </row>
    <row r="148" spans="1:8" x14ac:dyDescent="0.25">
      <c r="A148" s="2">
        <v>146</v>
      </c>
      <c r="B148" t="s">
        <v>401</v>
      </c>
      <c r="C148" s="1">
        <v>45855</v>
      </c>
      <c r="D148" s="3">
        <v>46220</v>
      </c>
      <c r="E148" s="5">
        <v>95.25</v>
      </c>
      <c r="F148" s="3">
        <v>45877</v>
      </c>
      <c r="G148">
        <v>77.5</v>
      </c>
      <c r="H148" s="1">
        <v>46094</v>
      </c>
    </row>
    <row r="149" spans="1:8" x14ac:dyDescent="0.25">
      <c r="A149" s="2">
        <v>147</v>
      </c>
      <c r="B149" t="s">
        <v>400</v>
      </c>
      <c r="C149" s="1">
        <v>45855</v>
      </c>
      <c r="D149" s="3">
        <v>46220</v>
      </c>
      <c r="E149" s="5">
        <v>98</v>
      </c>
      <c r="F149" s="3">
        <v>45855</v>
      </c>
      <c r="G149">
        <v>73.5</v>
      </c>
      <c r="H149" s="1">
        <v>46093</v>
      </c>
    </row>
    <row r="150" spans="1:8" x14ac:dyDescent="0.25">
      <c r="A150" s="2">
        <v>148</v>
      </c>
      <c r="B150" t="s">
        <v>308</v>
      </c>
      <c r="C150" s="1">
        <v>45855</v>
      </c>
      <c r="D150" s="3">
        <v>46220</v>
      </c>
      <c r="E150" s="5">
        <v>90.5</v>
      </c>
      <c r="F150" s="3">
        <v>45925</v>
      </c>
      <c r="G150">
        <v>56</v>
      </c>
      <c r="H150" s="1">
        <v>46220</v>
      </c>
    </row>
    <row r="151" spans="1:8" x14ac:dyDescent="0.25">
      <c r="A151" s="2">
        <v>149</v>
      </c>
      <c r="B151" t="s">
        <v>306</v>
      </c>
      <c r="C151" s="1">
        <v>45855</v>
      </c>
      <c r="D151" s="3">
        <v>46220</v>
      </c>
      <c r="E151" s="5">
        <v>90.5</v>
      </c>
      <c r="F151" s="3">
        <v>45925</v>
      </c>
      <c r="G151">
        <v>56</v>
      </c>
      <c r="H151" s="1">
        <v>46220</v>
      </c>
    </row>
    <row r="152" spans="1:8" x14ac:dyDescent="0.25">
      <c r="A152" s="2">
        <v>150</v>
      </c>
      <c r="B152" t="s">
        <v>424</v>
      </c>
      <c r="C152" s="1">
        <v>45855</v>
      </c>
      <c r="D152" s="3">
        <v>46220</v>
      </c>
      <c r="E152" s="5">
        <v>100.5</v>
      </c>
      <c r="F152" s="3">
        <v>45959</v>
      </c>
      <c r="G152">
        <v>99.25</v>
      </c>
      <c r="H152" s="1">
        <v>45859</v>
      </c>
    </row>
    <row r="153" spans="1:8" x14ac:dyDescent="0.25">
      <c r="A153" s="2">
        <v>151</v>
      </c>
      <c r="B153" t="s">
        <v>3377</v>
      </c>
      <c r="C153" s="1">
        <v>45855</v>
      </c>
      <c r="D153" s="3">
        <v>46220</v>
      </c>
      <c r="E153" s="5">
        <v>98</v>
      </c>
      <c r="F153" s="3">
        <v>46129</v>
      </c>
      <c r="G153">
        <v>81</v>
      </c>
      <c r="H153" s="1">
        <v>46149</v>
      </c>
    </row>
    <row r="154" spans="1:8" x14ac:dyDescent="0.25">
      <c r="A154" s="2">
        <v>152</v>
      </c>
      <c r="B154" t="s">
        <v>1233</v>
      </c>
      <c r="C154" s="1">
        <v>45855</v>
      </c>
      <c r="D154" s="3">
        <v>46220</v>
      </c>
      <c r="E154" s="5">
        <v>99</v>
      </c>
      <c r="F154" s="3">
        <v>45912</v>
      </c>
      <c r="G154">
        <v>99</v>
      </c>
      <c r="H154" s="1">
        <v>45912</v>
      </c>
    </row>
    <row r="155" spans="1:8" x14ac:dyDescent="0.25">
      <c r="A155" s="2">
        <v>153</v>
      </c>
      <c r="B155" t="s">
        <v>2354</v>
      </c>
      <c r="C155" s="1">
        <v>45855</v>
      </c>
      <c r="D155" s="3">
        <v>46220</v>
      </c>
      <c r="E155" s="5">
        <v>99.25</v>
      </c>
      <c r="F155" s="3">
        <v>45873</v>
      </c>
      <c r="G155">
        <v>92.375</v>
      </c>
      <c r="H155" s="1">
        <v>46084</v>
      </c>
    </row>
    <row r="156" spans="1:8" x14ac:dyDescent="0.25">
      <c r="A156" s="2">
        <v>154</v>
      </c>
      <c r="B156" t="s">
        <v>1722</v>
      </c>
      <c r="C156" s="1">
        <v>45855</v>
      </c>
      <c r="D156" s="3">
        <v>46220</v>
      </c>
      <c r="E156" s="5">
        <v>58.5</v>
      </c>
      <c r="F156" s="3">
        <v>46197</v>
      </c>
      <c r="G156">
        <v>30.5</v>
      </c>
      <c r="H156" s="1">
        <v>46092</v>
      </c>
    </row>
    <row r="157" spans="1:8" x14ac:dyDescent="0.25">
      <c r="A157" s="2">
        <v>155</v>
      </c>
      <c r="B157" t="s">
        <v>1718</v>
      </c>
      <c r="C157" s="1">
        <v>45855</v>
      </c>
      <c r="D157" s="3">
        <v>46220</v>
      </c>
      <c r="E157" s="5">
        <v>58.5</v>
      </c>
      <c r="F157" s="3">
        <v>46206</v>
      </c>
      <c r="G157">
        <v>32.75</v>
      </c>
      <c r="H157" s="1">
        <v>46042</v>
      </c>
    </row>
    <row r="158" spans="1:8" x14ac:dyDescent="0.25">
      <c r="A158" s="2">
        <v>156</v>
      </c>
      <c r="B158" t="s">
        <v>3432</v>
      </c>
      <c r="C158" s="1">
        <v>45855</v>
      </c>
      <c r="D158" s="3">
        <v>46220</v>
      </c>
      <c r="E158" s="5">
        <v>99.8125</v>
      </c>
      <c r="F158" s="3">
        <v>45860</v>
      </c>
      <c r="G158">
        <v>89</v>
      </c>
      <c r="H158" s="1">
        <v>46171</v>
      </c>
    </row>
    <row r="159" spans="1:8" x14ac:dyDescent="0.25">
      <c r="A159" s="2">
        <v>157</v>
      </c>
      <c r="B159" t="s">
        <v>3390</v>
      </c>
      <c r="C159" s="1">
        <v>45855</v>
      </c>
      <c r="D159" s="3">
        <v>46220</v>
      </c>
      <c r="E159" s="5">
        <v>98.875</v>
      </c>
      <c r="F159" s="3">
        <v>45929</v>
      </c>
      <c r="G159">
        <v>76</v>
      </c>
      <c r="H159" s="1">
        <v>46202</v>
      </c>
    </row>
    <row r="160" spans="1:8" x14ac:dyDescent="0.25">
      <c r="A160" s="2">
        <v>158</v>
      </c>
      <c r="B160" t="s">
        <v>3387</v>
      </c>
      <c r="C160" s="1">
        <v>45855</v>
      </c>
      <c r="D160" s="3">
        <v>46220</v>
      </c>
      <c r="E160" s="5">
        <v>91.25</v>
      </c>
      <c r="F160" s="3">
        <v>45929</v>
      </c>
      <c r="G160">
        <v>60</v>
      </c>
      <c r="H160" s="1">
        <v>46204</v>
      </c>
    </row>
    <row r="161" spans="1:8" x14ac:dyDescent="0.25">
      <c r="A161" s="2">
        <v>159</v>
      </c>
      <c r="B161" t="s">
        <v>532</v>
      </c>
      <c r="C161" s="1">
        <v>45855</v>
      </c>
      <c r="D161" s="3">
        <v>46220</v>
      </c>
      <c r="E161" s="5">
        <v>101.375</v>
      </c>
      <c r="F161" s="3">
        <v>45873</v>
      </c>
      <c r="G161">
        <v>97.875</v>
      </c>
      <c r="H161" s="1">
        <v>46219</v>
      </c>
    </row>
    <row r="162" spans="1:8" x14ac:dyDescent="0.25">
      <c r="A162" s="2">
        <v>160</v>
      </c>
      <c r="B162" t="s">
        <v>1003</v>
      </c>
      <c r="C162" s="1">
        <v>45855</v>
      </c>
      <c r="D162" s="3">
        <v>46220</v>
      </c>
      <c r="E162" s="5">
        <v>100.25</v>
      </c>
      <c r="F162" s="3">
        <v>45916</v>
      </c>
      <c r="G162">
        <v>90</v>
      </c>
      <c r="H162" s="1">
        <v>46135</v>
      </c>
    </row>
    <row r="163" spans="1:8" x14ac:dyDescent="0.25">
      <c r="A163" s="2">
        <v>161</v>
      </c>
      <c r="B163" t="s">
        <v>3369</v>
      </c>
      <c r="C163" s="1">
        <v>45855</v>
      </c>
      <c r="D163" s="3">
        <v>46220</v>
      </c>
      <c r="E163" s="5">
        <v>97</v>
      </c>
      <c r="F163" s="3">
        <v>45882</v>
      </c>
      <c r="G163">
        <v>62.85</v>
      </c>
      <c r="H163" s="1">
        <v>46210</v>
      </c>
    </row>
    <row r="164" spans="1:8" x14ac:dyDescent="0.25">
      <c r="A164" s="2">
        <v>162</v>
      </c>
      <c r="B164" t="s">
        <v>1592</v>
      </c>
      <c r="C164" s="1">
        <v>45855</v>
      </c>
      <c r="D164" s="3">
        <v>46220</v>
      </c>
      <c r="E164" s="5">
        <v>83.375</v>
      </c>
      <c r="F164" s="3">
        <v>45910</v>
      </c>
      <c r="G164">
        <v>52.1875</v>
      </c>
      <c r="H164" s="1">
        <v>46189</v>
      </c>
    </row>
    <row r="165" spans="1:8" x14ac:dyDescent="0.25">
      <c r="A165" s="2">
        <v>163</v>
      </c>
      <c r="B165" t="s">
        <v>3363</v>
      </c>
      <c r="C165" s="1">
        <v>45855</v>
      </c>
      <c r="D165" s="3">
        <v>46220</v>
      </c>
      <c r="E165" s="5">
        <v>90.375</v>
      </c>
      <c r="F165" s="3">
        <v>45966</v>
      </c>
      <c r="G165">
        <v>52.5</v>
      </c>
      <c r="H165" s="1">
        <v>46120</v>
      </c>
    </row>
    <row r="166" spans="1:8" x14ac:dyDescent="0.25">
      <c r="A166" s="2">
        <v>164</v>
      </c>
      <c r="B166" t="s">
        <v>3492</v>
      </c>
      <c r="C166" s="1">
        <v>45855</v>
      </c>
      <c r="D166" s="3">
        <v>46220</v>
      </c>
      <c r="E166" s="5">
        <v>100.75</v>
      </c>
      <c r="F166" s="3">
        <v>45867</v>
      </c>
      <c r="G166">
        <v>88</v>
      </c>
      <c r="H166" s="1">
        <v>46084</v>
      </c>
    </row>
    <row r="167" spans="1:8" x14ac:dyDescent="0.25">
      <c r="A167" s="2">
        <v>165</v>
      </c>
      <c r="B167" t="s">
        <v>3828</v>
      </c>
      <c r="C167" s="1">
        <v>45855</v>
      </c>
      <c r="D167" s="3">
        <v>46220</v>
      </c>
      <c r="E167" s="5">
        <v>100</v>
      </c>
      <c r="F167" s="3">
        <v>46038</v>
      </c>
      <c r="G167">
        <v>92.5</v>
      </c>
      <c r="H167" s="1">
        <v>46101</v>
      </c>
    </row>
    <row r="168" spans="1:8" x14ac:dyDescent="0.25">
      <c r="A168" s="2">
        <v>166</v>
      </c>
      <c r="B168" t="s">
        <v>3826</v>
      </c>
      <c r="C168" s="1">
        <v>45855</v>
      </c>
      <c r="D168" s="3">
        <v>46220</v>
      </c>
      <c r="E168" s="5">
        <v>100.625</v>
      </c>
      <c r="F168" s="3">
        <v>46020</v>
      </c>
      <c r="G168">
        <v>99.625</v>
      </c>
      <c r="H168" s="1">
        <v>46083</v>
      </c>
    </row>
    <row r="169" spans="1:8" x14ac:dyDescent="0.25">
      <c r="A169" s="2">
        <v>167</v>
      </c>
      <c r="B169" t="s">
        <v>2380</v>
      </c>
      <c r="C169" s="1">
        <v>45855</v>
      </c>
      <c r="D169" s="3">
        <v>46220</v>
      </c>
      <c r="E169" s="5">
        <v>87.5625</v>
      </c>
      <c r="F169" s="3">
        <v>46190</v>
      </c>
      <c r="G169">
        <v>87.5</v>
      </c>
      <c r="H169" s="1">
        <v>45855</v>
      </c>
    </row>
    <row r="170" spans="1:8" x14ac:dyDescent="0.25">
      <c r="A170" s="2">
        <v>168</v>
      </c>
      <c r="B170" t="s">
        <v>2420</v>
      </c>
      <c r="C170" s="1">
        <v>45855</v>
      </c>
      <c r="D170" s="3">
        <v>46220</v>
      </c>
      <c r="E170" s="5">
        <v>94.25</v>
      </c>
      <c r="F170" s="3">
        <v>45876</v>
      </c>
      <c r="G170">
        <v>66.5</v>
      </c>
      <c r="H170" s="1">
        <v>46119</v>
      </c>
    </row>
    <row r="171" spans="1:8" x14ac:dyDescent="0.25">
      <c r="A171" s="2">
        <v>169</v>
      </c>
      <c r="B171" t="s">
        <v>3593</v>
      </c>
      <c r="C171" s="1">
        <v>45855</v>
      </c>
      <c r="D171" s="3">
        <v>46220</v>
      </c>
      <c r="E171" s="5">
        <v>60.616475000000001</v>
      </c>
      <c r="F171" s="3">
        <v>46220</v>
      </c>
      <c r="G171">
        <v>60.310139999999997</v>
      </c>
      <c r="H171" s="1">
        <v>46084</v>
      </c>
    </row>
    <row r="172" spans="1:8" x14ac:dyDescent="0.25">
      <c r="A172" s="2">
        <v>170</v>
      </c>
      <c r="B172" t="s">
        <v>1605</v>
      </c>
      <c r="C172" s="1">
        <v>45855</v>
      </c>
      <c r="D172" s="3">
        <v>46220</v>
      </c>
      <c r="E172" s="5">
        <v>98.25</v>
      </c>
      <c r="F172" s="3">
        <v>45855</v>
      </c>
      <c r="G172">
        <v>85.337999999999994</v>
      </c>
      <c r="H172" s="1">
        <v>46119</v>
      </c>
    </row>
    <row r="173" spans="1:8" x14ac:dyDescent="0.25">
      <c r="A173" s="2">
        <v>171</v>
      </c>
      <c r="B173" t="s">
        <v>3477</v>
      </c>
      <c r="C173" s="1">
        <v>45855</v>
      </c>
      <c r="D173" s="3">
        <v>46220</v>
      </c>
      <c r="E173" s="5">
        <v>27.5</v>
      </c>
      <c r="F173" s="3">
        <v>45855</v>
      </c>
      <c r="G173">
        <v>16.393160000000002</v>
      </c>
      <c r="H173" s="1">
        <v>46142</v>
      </c>
    </row>
    <row r="174" spans="1:8" x14ac:dyDescent="0.25">
      <c r="A174" s="2">
        <v>172</v>
      </c>
      <c r="B174" t="s">
        <v>526</v>
      </c>
      <c r="C174" s="1">
        <v>45855</v>
      </c>
      <c r="D174" s="3">
        <v>46220</v>
      </c>
      <c r="E174" s="5">
        <v>92</v>
      </c>
      <c r="F174" s="3">
        <v>45856</v>
      </c>
      <c r="G174">
        <v>42</v>
      </c>
      <c r="H174" s="1">
        <v>46086</v>
      </c>
    </row>
    <row r="175" spans="1:8" x14ac:dyDescent="0.25">
      <c r="A175" s="2">
        <v>173</v>
      </c>
      <c r="B175" t="s">
        <v>524</v>
      </c>
      <c r="C175" s="1">
        <v>45855</v>
      </c>
      <c r="D175" s="3">
        <v>46220</v>
      </c>
      <c r="E175" s="5">
        <v>88.5</v>
      </c>
      <c r="F175" s="3">
        <v>45855</v>
      </c>
      <c r="G175">
        <v>41</v>
      </c>
      <c r="H175" s="1">
        <v>46097</v>
      </c>
    </row>
    <row r="176" spans="1:8" x14ac:dyDescent="0.25">
      <c r="A176" s="2">
        <v>174</v>
      </c>
      <c r="B176" t="s">
        <v>3603</v>
      </c>
      <c r="C176" s="1">
        <v>45855</v>
      </c>
      <c r="D176" s="3">
        <v>46220</v>
      </c>
      <c r="E176" s="5">
        <v>99.375</v>
      </c>
      <c r="F176" s="3">
        <v>45856</v>
      </c>
      <c r="G176">
        <v>45.5</v>
      </c>
      <c r="H176" s="1">
        <v>46071</v>
      </c>
    </row>
    <row r="177" spans="1:8" x14ac:dyDescent="0.25">
      <c r="A177" s="2">
        <v>175</v>
      </c>
      <c r="B177" t="s">
        <v>528</v>
      </c>
      <c r="C177" s="1">
        <v>45855</v>
      </c>
      <c r="D177" s="3">
        <v>46220</v>
      </c>
      <c r="E177" s="5">
        <v>97.5</v>
      </c>
      <c r="F177" s="3">
        <v>45860</v>
      </c>
      <c r="G177">
        <v>76</v>
      </c>
      <c r="H177" s="1">
        <v>46170</v>
      </c>
    </row>
    <row r="178" spans="1:8" x14ac:dyDescent="0.25">
      <c r="A178" s="2">
        <v>176</v>
      </c>
      <c r="B178" t="s">
        <v>172</v>
      </c>
      <c r="C178" s="1">
        <v>45855</v>
      </c>
      <c r="D178" s="3">
        <v>46220</v>
      </c>
      <c r="E178" s="5">
        <v>98.875</v>
      </c>
      <c r="F178" s="3">
        <v>46097</v>
      </c>
      <c r="G178">
        <v>72.625</v>
      </c>
      <c r="H178" s="1">
        <v>46001</v>
      </c>
    </row>
    <row r="179" spans="1:8" x14ac:dyDescent="0.25">
      <c r="A179" s="2">
        <v>177</v>
      </c>
      <c r="B179" t="s">
        <v>2472</v>
      </c>
      <c r="C179" s="1">
        <v>45855</v>
      </c>
      <c r="D179" s="3">
        <v>46220</v>
      </c>
      <c r="E179" s="5">
        <v>82.5</v>
      </c>
      <c r="F179" s="3">
        <v>46171</v>
      </c>
      <c r="G179">
        <v>70</v>
      </c>
      <c r="H179" s="1">
        <v>46219</v>
      </c>
    </row>
    <row r="180" spans="1:8" x14ac:dyDescent="0.25">
      <c r="A180" s="2">
        <v>178</v>
      </c>
      <c r="B180" t="s">
        <v>2343</v>
      </c>
      <c r="C180" s="1">
        <v>45855</v>
      </c>
      <c r="D180" s="3">
        <v>46220</v>
      </c>
      <c r="E180" s="5">
        <v>92</v>
      </c>
      <c r="F180" s="3">
        <v>45855</v>
      </c>
      <c r="G180">
        <v>64.5</v>
      </c>
      <c r="H180" s="1">
        <v>46115</v>
      </c>
    </row>
    <row r="181" spans="1:8" x14ac:dyDescent="0.25">
      <c r="A181" s="2">
        <v>179</v>
      </c>
      <c r="B181" t="s">
        <v>1673</v>
      </c>
      <c r="C181" s="1">
        <v>45855</v>
      </c>
      <c r="D181" s="3">
        <v>46220</v>
      </c>
      <c r="E181" s="5">
        <v>31.058810000000001</v>
      </c>
      <c r="F181" s="3">
        <v>46218</v>
      </c>
      <c r="G181">
        <v>20.77994</v>
      </c>
      <c r="H181" s="1">
        <v>46125</v>
      </c>
    </row>
    <row r="182" spans="1:8" x14ac:dyDescent="0.25">
      <c r="A182" s="2">
        <v>180</v>
      </c>
      <c r="B182" t="s">
        <v>2368</v>
      </c>
      <c r="C182" s="1">
        <v>45855</v>
      </c>
      <c r="D182" s="3">
        <v>46220</v>
      </c>
      <c r="E182" s="5">
        <v>100.5</v>
      </c>
      <c r="F182" s="3">
        <v>46027</v>
      </c>
      <c r="G182">
        <v>76.25</v>
      </c>
      <c r="H182" s="1">
        <v>46177</v>
      </c>
    </row>
    <row r="183" spans="1:8" x14ac:dyDescent="0.25">
      <c r="A183" s="2">
        <v>181</v>
      </c>
      <c r="B183" t="s">
        <v>1794</v>
      </c>
      <c r="C183" s="1">
        <v>45855</v>
      </c>
      <c r="D183" s="3">
        <v>46220</v>
      </c>
      <c r="E183" s="5">
        <v>87.75</v>
      </c>
      <c r="F183" s="3">
        <v>45855</v>
      </c>
      <c r="G183">
        <v>27.5</v>
      </c>
      <c r="H183" s="1">
        <v>46071</v>
      </c>
    </row>
    <row r="184" spans="1:8" x14ac:dyDescent="0.25">
      <c r="A184" s="2">
        <v>182</v>
      </c>
      <c r="B184" t="s">
        <v>2075</v>
      </c>
      <c r="C184" s="1">
        <v>45855</v>
      </c>
      <c r="D184" s="3">
        <v>46220</v>
      </c>
      <c r="E184" s="5">
        <v>77.25</v>
      </c>
      <c r="F184" s="3">
        <v>45993</v>
      </c>
      <c r="G184">
        <v>43.06</v>
      </c>
      <c r="H184" s="1">
        <v>46198</v>
      </c>
    </row>
    <row r="185" spans="1:8" x14ac:dyDescent="0.25">
      <c r="A185" s="2">
        <v>183</v>
      </c>
      <c r="B185" t="s">
        <v>3768</v>
      </c>
      <c r="C185" s="1">
        <v>45855</v>
      </c>
      <c r="D185" s="3">
        <v>46220</v>
      </c>
      <c r="E185" s="5">
        <v>100.625</v>
      </c>
      <c r="F185" s="3">
        <v>46028</v>
      </c>
      <c r="G185">
        <v>99.625</v>
      </c>
      <c r="H185" s="1">
        <v>45861</v>
      </c>
    </row>
    <row r="186" spans="1:8" x14ac:dyDescent="0.25">
      <c r="A186" s="2">
        <v>184</v>
      </c>
      <c r="B186" t="s">
        <v>2269</v>
      </c>
      <c r="C186" s="1">
        <v>45855</v>
      </c>
      <c r="D186" s="3">
        <v>46220</v>
      </c>
      <c r="E186" s="5">
        <v>100.75</v>
      </c>
      <c r="F186" s="3">
        <v>45867</v>
      </c>
      <c r="G186">
        <v>97.5</v>
      </c>
      <c r="H186" s="1">
        <v>46090</v>
      </c>
    </row>
    <row r="187" spans="1:8" x14ac:dyDescent="0.25">
      <c r="A187" s="2">
        <v>185</v>
      </c>
      <c r="B187" t="s">
        <v>1928</v>
      </c>
      <c r="C187" s="1">
        <v>45855</v>
      </c>
      <c r="D187" s="3">
        <v>46220</v>
      </c>
      <c r="E187" s="5">
        <v>100.75</v>
      </c>
      <c r="F187" s="3">
        <v>45855</v>
      </c>
      <c r="G187">
        <v>82.5</v>
      </c>
      <c r="H187" s="1">
        <v>46133</v>
      </c>
    </row>
    <row r="188" spans="1:8" x14ac:dyDescent="0.25">
      <c r="A188" s="2">
        <v>186</v>
      </c>
      <c r="B188" t="s">
        <v>1362</v>
      </c>
      <c r="C188" s="1">
        <v>45855</v>
      </c>
      <c r="D188" s="3">
        <v>46220</v>
      </c>
      <c r="E188" s="5">
        <v>96</v>
      </c>
      <c r="F188" s="3">
        <v>45883</v>
      </c>
      <c r="G188">
        <v>86.5</v>
      </c>
      <c r="H188" s="1">
        <v>46132</v>
      </c>
    </row>
    <row r="189" spans="1:8" x14ac:dyDescent="0.25">
      <c r="A189" s="2">
        <v>187</v>
      </c>
      <c r="B189" t="s">
        <v>3502</v>
      </c>
      <c r="C189" s="1">
        <v>45855</v>
      </c>
      <c r="D189" s="3">
        <v>46220</v>
      </c>
      <c r="E189" s="5">
        <v>97</v>
      </c>
      <c r="F189" s="3">
        <v>45855</v>
      </c>
      <c r="G189">
        <v>76</v>
      </c>
      <c r="H189" s="1">
        <v>46218</v>
      </c>
    </row>
    <row r="190" spans="1:8" x14ac:dyDescent="0.25">
      <c r="A190" s="2">
        <v>188</v>
      </c>
      <c r="B190" t="s">
        <v>3500</v>
      </c>
      <c r="C190" s="1">
        <v>45855</v>
      </c>
      <c r="D190" s="3">
        <v>46220</v>
      </c>
      <c r="E190" s="5">
        <v>99</v>
      </c>
      <c r="F190" s="3">
        <v>45855</v>
      </c>
      <c r="G190">
        <v>55</v>
      </c>
      <c r="H190" s="1">
        <v>45993</v>
      </c>
    </row>
    <row r="191" spans="1:8" x14ac:dyDescent="0.25">
      <c r="A191" s="2">
        <v>189</v>
      </c>
      <c r="B191" t="s">
        <v>3564</v>
      </c>
      <c r="C191" s="1">
        <v>45855</v>
      </c>
      <c r="D191" s="3">
        <v>46220</v>
      </c>
      <c r="E191" s="5">
        <v>97.125</v>
      </c>
      <c r="F191" s="3">
        <v>46036</v>
      </c>
      <c r="G191">
        <v>85.5</v>
      </c>
      <c r="H191" s="1">
        <v>46150</v>
      </c>
    </row>
    <row r="192" spans="1:8" x14ac:dyDescent="0.25">
      <c r="A192" s="2">
        <v>190</v>
      </c>
      <c r="B192" t="s">
        <v>160</v>
      </c>
      <c r="C192" s="1">
        <v>45855</v>
      </c>
      <c r="D192" s="3">
        <v>46220</v>
      </c>
      <c r="E192" s="5">
        <v>88.5</v>
      </c>
      <c r="F192" s="3">
        <v>46189</v>
      </c>
      <c r="G192">
        <v>87.5</v>
      </c>
      <c r="H192" s="1">
        <v>45867</v>
      </c>
    </row>
    <row r="193" spans="1:8" x14ac:dyDescent="0.25">
      <c r="A193" s="2">
        <v>191</v>
      </c>
      <c r="B193" t="s">
        <v>1946</v>
      </c>
      <c r="C193" s="1">
        <v>45855</v>
      </c>
      <c r="D193" s="3">
        <v>46220</v>
      </c>
      <c r="E193" s="5">
        <v>99.375</v>
      </c>
      <c r="F193" s="3">
        <v>45917</v>
      </c>
      <c r="G193">
        <v>84</v>
      </c>
      <c r="H193" s="1">
        <v>46212</v>
      </c>
    </row>
    <row r="194" spans="1:8" x14ac:dyDescent="0.25">
      <c r="A194" s="2">
        <v>192</v>
      </c>
      <c r="B194" t="s">
        <v>2522</v>
      </c>
      <c r="C194" s="1">
        <v>45855</v>
      </c>
      <c r="D194" s="3">
        <v>46220</v>
      </c>
      <c r="E194" s="5">
        <v>99.75</v>
      </c>
      <c r="F194" s="3">
        <v>45855</v>
      </c>
      <c r="G194">
        <v>90.5</v>
      </c>
      <c r="H194" s="1">
        <v>46108</v>
      </c>
    </row>
    <row r="195" spans="1:8" x14ac:dyDescent="0.25">
      <c r="A195" s="2">
        <v>193</v>
      </c>
      <c r="B195" t="s">
        <v>3524</v>
      </c>
      <c r="C195" s="1">
        <v>45855</v>
      </c>
      <c r="D195" s="3">
        <v>46220</v>
      </c>
      <c r="E195" s="5">
        <v>86</v>
      </c>
      <c r="F195" s="3">
        <v>45996</v>
      </c>
      <c r="G195">
        <v>57</v>
      </c>
      <c r="H195" s="1">
        <v>46097</v>
      </c>
    </row>
    <row r="196" spans="1:8" x14ac:dyDescent="0.25">
      <c r="A196" s="2">
        <v>194</v>
      </c>
      <c r="B196" t="s">
        <v>3519</v>
      </c>
      <c r="C196" s="1">
        <v>45855</v>
      </c>
      <c r="D196" s="3">
        <v>46220</v>
      </c>
      <c r="E196" s="5">
        <v>70</v>
      </c>
      <c r="F196" s="3">
        <v>45861</v>
      </c>
      <c r="G196">
        <v>33.5</v>
      </c>
      <c r="H196" s="1">
        <v>46125</v>
      </c>
    </row>
    <row r="197" spans="1:8" x14ac:dyDescent="0.25">
      <c r="A197" s="2">
        <v>195</v>
      </c>
      <c r="B197" t="s">
        <v>2616</v>
      </c>
      <c r="C197" s="1">
        <v>45855</v>
      </c>
      <c r="D197" s="3">
        <v>46220</v>
      </c>
      <c r="E197" s="5">
        <v>98.5</v>
      </c>
      <c r="F197" s="3">
        <v>46077</v>
      </c>
      <c r="G197">
        <v>92.25</v>
      </c>
      <c r="H197" s="1">
        <v>46170</v>
      </c>
    </row>
    <row r="198" spans="1:8" x14ac:dyDescent="0.25">
      <c r="A198" s="2">
        <v>196</v>
      </c>
      <c r="B198" t="s">
        <v>1706</v>
      </c>
      <c r="C198" s="1">
        <v>45855</v>
      </c>
      <c r="D198" s="3">
        <v>46220</v>
      </c>
      <c r="E198" s="5">
        <v>92</v>
      </c>
      <c r="F198" s="3">
        <v>45856</v>
      </c>
      <c r="G198">
        <v>60.5</v>
      </c>
      <c r="H198" s="1">
        <v>46182</v>
      </c>
    </row>
    <row r="199" spans="1:8" x14ac:dyDescent="0.25">
      <c r="A199" s="2">
        <v>197</v>
      </c>
      <c r="B199" t="s">
        <v>3444</v>
      </c>
      <c r="C199" s="1">
        <v>45855</v>
      </c>
      <c r="D199" s="3">
        <v>46220</v>
      </c>
      <c r="E199" s="5">
        <v>93</v>
      </c>
      <c r="F199" s="3">
        <v>46188</v>
      </c>
      <c r="G199">
        <v>83</v>
      </c>
      <c r="H199" s="1">
        <v>45959</v>
      </c>
    </row>
    <row r="200" spans="1:8" x14ac:dyDescent="0.25">
      <c r="A200" s="2">
        <v>198</v>
      </c>
      <c r="B200" t="s">
        <v>3574</v>
      </c>
      <c r="C200" s="1">
        <v>45855</v>
      </c>
      <c r="D200" s="3">
        <v>46220</v>
      </c>
      <c r="E200" s="5">
        <v>93.5</v>
      </c>
      <c r="F200" s="3">
        <v>45855</v>
      </c>
      <c r="G200">
        <v>63</v>
      </c>
      <c r="H200" s="1">
        <v>46189</v>
      </c>
    </row>
    <row r="201" spans="1:8" x14ac:dyDescent="0.25">
      <c r="A201" s="2">
        <v>199</v>
      </c>
      <c r="B201" t="s">
        <v>369</v>
      </c>
      <c r="C201" s="1">
        <v>45855</v>
      </c>
      <c r="D201" s="3">
        <v>46220</v>
      </c>
      <c r="E201" s="5">
        <v>99.875</v>
      </c>
      <c r="F201" s="3">
        <v>45989</v>
      </c>
      <c r="G201">
        <v>53.5</v>
      </c>
      <c r="H201" s="1">
        <v>46153</v>
      </c>
    </row>
    <row r="202" spans="1:8" x14ac:dyDescent="0.25">
      <c r="A202" s="2">
        <v>200</v>
      </c>
      <c r="B202" t="s">
        <v>1813</v>
      </c>
      <c r="C202" s="1">
        <v>45855</v>
      </c>
      <c r="D202" s="3">
        <v>46220</v>
      </c>
      <c r="E202" s="5">
        <v>84</v>
      </c>
      <c r="F202" s="3">
        <v>45866</v>
      </c>
      <c r="G202">
        <v>70</v>
      </c>
      <c r="H202" s="1">
        <v>46090</v>
      </c>
    </row>
    <row r="203" spans="1:8" x14ac:dyDescent="0.25">
      <c r="A203" s="2">
        <v>201</v>
      </c>
      <c r="B203" t="s">
        <v>3475</v>
      </c>
      <c r="C203" s="1">
        <v>45855</v>
      </c>
      <c r="D203" s="3">
        <v>46220</v>
      </c>
      <c r="E203" s="5">
        <v>40.254100000000001</v>
      </c>
      <c r="F203" s="3">
        <v>46155</v>
      </c>
      <c r="G203">
        <v>39.953060000000001</v>
      </c>
      <c r="H203" s="1">
        <v>46084</v>
      </c>
    </row>
    <row r="204" spans="1:8" x14ac:dyDescent="0.25">
      <c r="A204" s="2">
        <v>202</v>
      </c>
      <c r="B204" t="s">
        <v>3375</v>
      </c>
      <c r="C204" s="1">
        <v>45855</v>
      </c>
      <c r="D204" s="3">
        <v>46220</v>
      </c>
      <c r="E204" s="5">
        <v>98.375</v>
      </c>
      <c r="F204" s="3">
        <v>46073</v>
      </c>
      <c r="G204">
        <v>91</v>
      </c>
      <c r="H204" s="1">
        <v>46196</v>
      </c>
    </row>
    <row r="205" spans="1:8" x14ac:dyDescent="0.25">
      <c r="A205" s="2">
        <v>203</v>
      </c>
      <c r="B205" t="s">
        <v>3439</v>
      </c>
      <c r="C205" s="1">
        <v>45855</v>
      </c>
      <c r="D205" s="3">
        <v>46220</v>
      </c>
      <c r="E205" s="5">
        <v>82.5</v>
      </c>
      <c r="F205" s="3">
        <v>46037</v>
      </c>
      <c r="G205">
        <v>72.5</v>
      </c>
      <c r="H205" s="1">
        <v>45855</v>
      </c>
    </row>
    <row r="206" spans="1:8" x14ac:dyDescent="0.25">
      <c r="A206" s="2">
        <v>204</v>
      </c>
      <c r="B206" t="s">
        <v>3612</v>
      </c>
      <c r="C206" s="1">
        <v>45855</v>
      </c>
      <c r="D206" s="3">
        <v>46220</v>
      </c>
      <c r="E206" s="5">
        <v>100</v>
      </c>
      <c r="F206" s="3">
        <v>45855</v>
      </c>
      <c r="G206">
        <v>100</v>
      </c>
      <c r="H206" s="1">
        <v>45855</v>
      </c>
    </row>
    <row r="207" spans="1:8" x14ac:dyDescent="0.25">
      <c r="A207" s="2">
        <v>205</v>
      </c>
      <c r="B207" t="s">
        <v>982</v>
      </c>
      <c r="C207" s="1">
        <v>45855</v>
      </c>
      <c r="D207" s="3">
        <v>46220</v>
      </c>
      <c r="E207" s="5">
        <v>99.75</v>
      </c>
      <c r="F207" s="3">
        <v>45883</v>
      </c>
      <c r="G207">
        <v>91</v>
      </c>
      <c r="H207" s="1">
        <v>45889</v>
      </c>
    </row>
    <row r="208" spans="1:8" x14ac:dyDescent="0.25">
      <c r="A208" s="2">
        <v>206</v>
      </c>
      <c r="B208" t="s">
        <v>1449</v>
      </c>
      <c r="C208" s="1">
        <v>45855</v>
      </c>
      <c r="D208" s="3">
        <v>46220</v>
      </c>
      <c r="E208" s="5">
        <v>86</v>
      </c>
      <c r="F208" s="3">
        <v>45867</v>
      </c>
      <c r="G208">
        <v>70</v>
      </c>
      <c r="H208" s="1">
        <v>45995</v>
      </c>
    </row>
    <row r="209" spans="1:8" x14ac:dyDescent="0.25">
      <c r="A209" s="2">
        <v>207</v>
      </c>
      <c r="B209" t="s">
        <v>1447</v>
      </c>
      <c r="C209" s="1">
        <v>45855</v>
      </c>
      <c r="D209" s="3">
        <v>46220</v>
      </c>
      <c r="E209" s="5">
        <v>89.25</v>
      </c>
      <c r="F209" s="3">
        <v>45863</v>
      </c>
      <c r="G209">
        <v>70.25</v>
      </c>
      <c r="H209" s="1">
        <v>46001</v>
      </c>
    </row>
    <row r="210" spans="1:8" x14ac:dyDescent="0.25">
      <c r="A210" s="2">
        <v>208</v>
      </c>
      <c r="B210" t="s">
        <v>897</v>
      </c>
      <c r="C210" s="1">
        <v>45855</v>
      </c>
      <c r="D210" s="3">
        <v>46220</v>
      </c>
      <c r="E210" s="5">
        <v>99.75</v>
      </c>
      <c r="F210" s="3">
        <v>46127</v>
      </c>
      <c r="G210">
        <v>98.75</v>
      </c>
      <c r="H210" s="1">
        <v>45943</v>
      </c>
    </row>
    <row r="211" spans="1:8" x14ac:dyDescent="0.25">
      <c r="A211" s="2">
        <v>209</v>
      </c>
      <c r="B211" t="s">
        <v>1482</v>
      </c>
      <c r="C211" s="1">
        <v>45855</v>
      </c>
      <c r="D211" s="3">
        <v>46220</v>
      </c>
      <c r="E211" s="5">
        <v>37.5</v>
      </c>
      <c r="F211" s="3">
        <v>45855</v>
      </c>
      <c r="G211">
        <v>37.5</v>
      </c>
      <c r="H211" s="1">
        <v>45855</v>
      </c>
    </row>
    <row r="212" spans="1:8" x14ac:dyDescent="0.25">
      <c r="A212" s="2">
        <v>210</v>
      </c>
      <c r="B212" t="s">
        <v>3739</v>
      </c>
      <c r="C212" s="1">
        <v>45855</v>
      </c>
      <c r="D212" s="3">
        <v>46220</v>
      </c>
      <c r="E212" s="5">
        <v>100</v>
      </c>
      <c r="F212" s="3">
        <v>46030</v>
      </c>
      <c r="G212">
        <v>99</v>
      </c>
      <c r="H212" s="1">
        <v>46078</v>
      </c>
    </row>
    <row r="213" spans="1:8" x14ac:dyDescent="0.25">
      <c r="A213" s="2">
        <v>211</v>
      </c>
      <c r="B213" t="s">
        <v>1553</v>
      </c>
      <c r="C213" s="1">
        <v>45855</v>
      </c>
      <c r="D213" s="3">
        <v>46220</v>
      </c>
      <c r="E213" s="5">
        <v>96</v>
      </c>
      <c r="F213" s="3">
        <v>46196</v>
      </c>
      <c r="G213">
        <v>62</v>
      </c>
      <c r="H213" s="1">
        <v>46035</v>
      </c>
    </row>
    <row r="214" spans="1:8" x14ac:dyDescent="0.25">
      <c r="A214" s="2">
        <v>212</v>
      </c>
      <c r="B214" t="s">
        <v>1552</v>
      </c>
      <c r="C214" s="1">
        <v>45855</v>
      </c>
      <c r="D214" s="3">
        <v>46220</v>
      </c>
      <c r="E214" s="5">
        <v>93.5</v>
      </c>
      <c r="F214" s="3">
        <v>45855</v>
      </c>
      <c r="G214">
        <v>60.5</v>
      </c>
      <c r="H214" s="1">
        <v>46031</v>
      </c>
    </row>
    <row r="215" spans="1:8" x14ac:dyDescent="0.25">
      <c r="A215" s="2">
        <v>213</v>
      </c>
      <c r="B215" t="s">
        <v>1123</v>
      </c>
      <c r="C215" s="1">
        <v>45855</v>
      </c>
      <c r="D215" s="3">
        <v>46220</v>
      </c>
      <c r="E215" s="5">
        <v>99.625</v>
      </c>
      <c r="F215" s="3">
        <v>46030</v>
      </c>
      <c r="G215">
        <v>87.75</v>
      </c>
      <c r="H215" s="1">
        <v>46204</v>
      </c>
    </row>
    <row r="216" spans="1:8" x14ac:dyDescent="0.25">
      <c r="A216" s="2">
        <v>214</v>
      </c>
      <c r="B216" t="s">
        <v>560</v>
      </c>
      <c r="C216" s="1">
        <v>45855</v>
      </c>
      <c r="D216" s="3">
        <v>46220</v>
      </c>
      <c r="E216" s="5">
        <v>100.5</v>
      </c>
      <c r="F216" s="3">
        <v>46129</v>
      </c>
      <c r="G216">
        <v>84</v>
      </c>
      <c r="H216" s="1">
        <v>46162</v>
      </c>
    </row>
    <row r="217" spans="1:8" x14ac:dyDescent="0.25">
      <c r="A217" s="2">
        <v>215</v>
      </c>
      <c r="B217" t="s">
        <v>558</v>
      </c>
      <c r="C217" s="1">
        <v>45855</v>
      </c>
      <c r="D217" s="3">
        <v>46220</v>
      </c>
      <c r="E217" s="5">
        <v>100.5</v>
      </c>
      <c r="F217" s="3">
        <v>46129</v>
      </c>
      <c r="G217">
        <v>84</v>
      </c>
      <c r="H217" s="1">
        <v>46162</v>
      </c>
    </row>
    <row r="218" spans="1:8" x14ac:dyDescent="0.25">
      <c r="A218" s="2">
        <v>216</v>
      </c>
      <c r="B218" t="s">
        <v>1698</v>
      </c>
      <c r="C218" s="1">
        <v>45855</v>
      </c>
      <c r="D218" s="3">
        <v>46220</v>
      </c>
      <c r="E218" s="5">
        <v>99.5</v>
      </c>
      <c r="F218" s="3">
        <v>45862</v>
      </c>
      <c r="G218">
        <v>81</v>
      </c>
      <c r="H218" s="1">
        <v>46114</v>
      </c>
    </row>
    <row r="219" spans="1:8" x14ac:dyDescent="0.25">
      <c r="A219" s="2">
        <v>217</v>
      </c>
      <c r="B219" t="s">
        <v>1696</v>
      </c>
      <c r="C219" s="1">
        <v>45855</v>
      </c>
      <c r="D219" s="3">
        <v>46220</v>
      </c>
      <c r="E219" s="5">
        <v>95.5</v>
      </c>
      <c r="F219" s="3">
        <v>45861</v>
      </c>
      <c r="G219">
        <v>85</v>
      </c>
      <c r="H219" s="1">
        <v>46171</v>
      </c>
    </row>
    <row r="220" spans="1:8" x14ac:dyDescent="0.25">
      <c r="A220" s="2">
        <v>218</v>
      </c>
      <c r="B220" t="s">
        <v>1692</v>
      </c>
      <c r="C220" s="1">
        <v>45855</v>
      </c>
      <c r="D220" s="3">
        <v>46220</v>
      </c>
      <c r="E220" s="5">
        <v>95.125</v>
      </c>
      <c r="F220" s="3">
        <v>45855</v>
      </c>
      <c r="G220">
        <v>84.5</v>
      </c>
      <c r="H220" s="1">
        <v>46175</v>
      </c>
    </row>
    <row r="221" spans="1:8" x14ac:dyDescent="0.25">
      <c r="A221" s="2">
        <v>219</v>
      </c>
      <c r="B221" t="s">
        <v>3397</v>
      </c>
      <c r="C221" s="1">
        <v>45855</v>
      </c>
      <c r="D221" s="3">
        <v>46220</v>
      </c>
      <c r="E221" s="5">
        <v>98.25</v>
      </c>
      <c r="F221" s="3">
        <v>46209</v>
      </c>
      <c r="G221">
        <v>80</v>
      </c>
      <c r="H221" s="1">
        <v>46080</v>
      </c>
    </row>
    <row r="222" spans="1:8" x14ac:dyDescent="0.25">
      <c r="A222" s="2">
        <v>220</v>
      </c>
      <c r="B222" t="s">
        <v>1357</v>
      </c>
      <c r="C222" s="1">
        <v>45855</v>
      </c>
      <c r="D222" s="3">
        <v>46220</v>
      </c>
      <c r="E222" s="5">
        <v>96.25</v>
      </c>
      <c r="F222" s="3">
        <v>45855</v>
      </c>
      <c r="G222">
        <v>87.75</v>
      </c>
      <c r="H222" s="1">
        <v>46136</v>
      </c>
    </row>
    <row r="223" spans="1:8" x14ac:dyDescent="0.25">
      <c r="A223" s="2">
        <v>221</v>
      </c>
      <c r="B223" t="s">
        <v>3614</v>
      </c>
      <c r="C223" s="1">
        <v>45855</v>
      </c>
      <c r="D223" s="3">
        <v>46220</v>
      </c>
      <c r="E223" s="5">
        <v>93.25</v>
      </c>
      <c r="F223" s="3">
        <v>46162</v>
      </c>
      <c r="G223">
        <v>76.5</v>
      </c>
      <c r="H223" s="1">
        <v>45880</v>
      </c>
    </row>
    <row r="224" spans="1:8" x14ac:dyDescent="0.25">
      <c r="A224" s="2">
        <v>222</v>
      </c>
      <c r="B224" t="s">
        <v>3496</v>
      </c>
      <c r="C224" s="1">
        <v>45855</v>
      </c>
      <c r="D224" s="3">
        <v>46220</v>
      </c>
      <c r="E224" s="5">
        <v>103.25</v>
      </c>
      <c r="F224" s="3">
        <v>45964</v>
      </c>
      <c r="G224">
        <v>82.5</v>
      </c>
      <c r="H224" s="1">
        <v>46220</v>
      </c>
    </row>
    <row r="225" spans="1:8" x14ac:dyDescent="0.25">
      <c r="A225" s="2">
        <v>223</v>
      </c>
      <c r="B225" t="s">
        <v>3600</v>
      </c>
      <c r="C225" s="1">
        <v>45855</v>
      </c>
      <c r="D225" s="3">
        <v>46220</v>
      </c>
      <c r="E225" s="5">
        <v>100.25</v>
      </c>
      <c r="F225" s="3">
        <v>45869</v>
      </c>
      <c r="G225">
        <v>47</v>
      </c>
      <c r="H225" s="1">
        <v>46073</v>
      </c>
    </row>
    <row r="226" spans="1:8" x14ac:dyDescent="0.25">
      <c r="A226" s="2">
        <v>224</v>
      </c>
      <c r="B226" t="s">
        <v>1546</v>
      </c>
      <c r="C226" s="1">
        <v>45855</v>
      </c>
      <c r="D226" s="3">
        <v>46220</v>
      </c>
      <c r="E226" s="5">
        <v>101.5</v>
      </c>
      <c r="F226" s="3">
        <v>46164</v>
      </c>
      <c r="G226">
        <v>73.5</v>
      </c>
      <c r="H226" s="1">
        <v>46050</v>
      </c>
    </row>
    <row r="227" spans="1:8" x14ac:dyDescent="0.25">
      <c r="A227" s="2">
        <v>225</v>
      </c>
      <c r="B227" t="s">
        <v>1545</v>
      </c>
      <c r="C227" s="1">
        <v>45855</v>
      </c>
      <c r="D227" s="3">
        <v>46220</v>
      </c>
      <c r="E227" s="5">
        <v>100.125</v>
      </c>
      <c r="F227" s="3">
        <v>45912</v>
      </c>
      <c r="G227">
        <v>70</v>
      </c>
      <c r="H227" s="1">
        <v>46058</v>
      </c>
    </row>
    <row r="228" spans="1:8" x14ac:dyDescent="0.25">
      <c r="A228" s="2">
        <v>226</v>
      </c>
      <c r="B228" t="s">
        <v>1279</v>
      </c>
      <c r="C228" s="1">
        <v>45855</v>
      </c>
      <c r="D228" s="3">
        <v>46220</v>
      </c>
      <c r="E228" s="5">
        <v>100.625</v>
      </c>
      <c r="F228" s="3">
        <v>45869</v>
      </c>
      <c r="G228">
        <v>87.5</v>
      </c>
      <c r="H228" s="1">
        <v>46073</v>
      </c>
    </row>
    <row r="229" spans="1:8" x14ac:dyDescent="0.25">
      <c r="A229" s="2">
        <v>227</v>
      </c>
      <c r="B229" t="s">
        <v>2006</v>
      </c>
      <c r="C229" s="1">
        <v>45855</v>
      </c>
      <c r="D229" s="3">
        <v>46220</v>
      </c>
      <c r="E229" s="5">
        <v>102</v>
      </c>
      <c r="F229" s="3">
        <v>45869</v>
      </c>
      <c r="G229">
        <v>71</v>
      </c>
      <c r="H229" s="1">
        <v>46014</v>
      </c>
    </row>
    <row r="230" spans="1:8" x14ac:dyDescent="0.25">
      <c r="A230" s="2">
        <v>228</v>
      </c>
      <c r="B230" t="s">
        <v>2005</v>
      </c>
      <c r="C230" s="1">
        <v>45855</v>
      </c>
      <c r="D230" s="3">
        <v>46220</v>
      </c>
      <c r="E230" s="5">
        <v>102</v>
      </c>
      <c r="F230" s="3">
        <v>45855</v>
      </c>
      <c r="G230">
        <v>71</v>
      </c>
      <c r="H230" s="1">
        <v>46014</v>
      </c>
    </row>
    <row r="231" spans="1:8" x14ac:dyDescent="0.25">
      <c r="A231" s="2">
        <v>229</v>
      </c>
      <c r="B231" t="s">
        <v>3430</v>
      </c>
      <c r="C231" s="1">
        <v>45855</v>
      </c>
      <c r="D231" s="3">
        <v>46220</v>
      </c>
      <c r="E231" s="5">
        <v>100.375</v>
      </c>
      <c r="F231" s="3">
        <v>45859</v>
      </c>
      <c r="G231">
        <v>84</v>
      </c>
      <c r="H231" s="1">
        <v>46171</v>
      </c>
    </row>
    <row r="232" spans="1:8" x14ac:dyDescent="0.25">
      <c r="A232" s="2">
        <v>230</v>
      </c>
      <c r="B232" t="s">
        <v>891</v>
      </c>
      <c r="C232" s="1">
        <v>45855</v>
      </c>
      <c r="D232" s="3">
        <v>46220</v>
      </c>
      <c r="E232" s="5">
        <v>99.5</v>
      </c>
      <c r="F232" s="3">
        <v>45943</v>
      </c>
      <c r="G232">
        <v>99.25</v>
      </c>
      <c r="H232" s="1">
        <v>45855</v>
      </c>
    </row>
    <row r="233" spans="1:8" x14ac:dyDescent="0.25">
      <c r="A233" s="2">
        <v>231</v>
      </c>
      <c r="B233" t="s">
        <v>393</v>
      </c>
      <c r="C233" s="1">
        <v>45855</v>
      </c>
      <c r="D233" s="3">
        <v>46220</v>
      </c>
      <c r="E233" s="5">
        <v>95.25</v>
      </c>
      <c r="F233" s="3">
        <v>45905</v>
      </c>
      <c r="G233">
        <v>54</v>
      </c>
      <c r="H233" s="1">
        <v>46129</v>
      </c>
    </row>
    <row r="234" spans="1:8" x14ac:dyDescent="0.25">
      <c r="A234" s="2">
        <v>232</v>
      </c>
      <c r="B234" t="s">
        <v>1445</v>
      </c>
      <c r="C234" s="1">
        <v>45855</v>
      </c>
      <c r="D234" s="3">
        <v>46220</v>
      </c>
      <c r="E234" s="5">
        <v>102.125</v>
      </c>
      <c r="F234" s="3">
        <v>46153</v>
      </c>
      <c r="G234">
        <v>70.5</v>
      </c>
      <c r="H234" s="1">
        <v>46211</v>
      </c>
    </row>
    <row r="235" spans="1:8" x14ac:dyDescent="0.25">
      <c r="A235" s="2">
        <v>233</v>
      </c>
      <c r="B235" t="s">
        <v>1544</v>
      </c>
      <c r="C235" s="1">
        <v>45855</v>
      </c>
      <c r="D235" s="3">
        <v>46220</v>
      </c>
      <c r="E235" s="5">
        <v>94.625</v>
      </c>
      <c r="F235" s="3">
        <v>45856</v>
      </c>
      <c r="G235">
        <v>66.25</v>
      </c>
      <c r="H235" s="1">
        <v>46037</v>
      </c>
    </row>
    <row r="236" spans="1:8" x14ac:dyDescent="0.25">
      <c r="A236" s="2">
        <v>234</v>
      </c>
      <c r="B236" t="s">
        <v>1543</v>
      </c>
      <c r="C236" s="1">
        <v>45855</v>
      </c>
      <c r="D236" s="3">
        <v>46220</v>
      </c>
      <c r="E236" s="5">
        <v>95.25</v>
      </c>
      <c r="F236" s="3">
        <v>45860</v>
      </c>
      <c r="G236">
        <v>65</v>
      </c>
      <c r="H236" s="1">
        <v>46038</v>
      </c>
    </row>
    <row r="237" spans="1:8" x14ac:dyDescent="0.25">
      <c r="A237" s="2">
        <v>235</v>
      </c>
      <c r="B237" t="s">
        <v>500</v>
      </c>
      <c r="C237" s="1">
        <v>45855</v>
      </c>
      <c r="D237" s="3">
        <v>46220</v>
      </c>
      <c r="E237" s="5">
        <v>96</v>
      </c>
      <c r="F237" s="3">
        <v>45859</v>
      </c>
      <c r="G237">
        <v>64</v>
      </c>
      <c r="H237" s="1">
        <v>46097</v>
      </c>
    </row>
    <row r="238" spans="1:8" x14ac:dyDescent="0.25">
      <c r="A238" s="2">
        <v>236</v>
      </c>
      <c r="B238" t="s">
        <v>2416</v>
      </c>
      <c r="C238" s="1">
        <v>45855</v>
      </c>
      <c r="D238" s="3">
        <v>46220</v>
      </c>
      <c r="E238" s="5">
        <v>102.125</v>
      </c>
      <c r="F238" s="3">
        <v>45855</v>
      </c>
      <c r="G238">
        <v>101.625</v>
      </c>
      <c r="H238" s="1">
        <v>46169</v>
      </c>
    </row>
    <row r="239" spans="1:8" x14ac:dyDescent="0.25">
      <c r="A239" s="2">
        <v>237</v>
      </c>
      <c r="B239" t="s">
        <v>2414</v>
      </c>
      <c r="C239" s="1">
        <v>45855</v>
      </c>
      <c r="D239" s="3">
        <v>46220</v>
      </c>
      <c r="E239" s="5">
        <v>102</v>
      </c>
      <c r="F239" s="3">
        <v>45855</v>
      </c>
      <c r="G239">
        <v>101.4375</v>
      </c>
      <c r="H239" s="1">
        <v>46170</v>
      </c>
    </row>
    <row r="240" spans="1:8" x14ac:dyDescent="0.25">
      <c r="A240" s="2">
        <v>238</v>
      </c>
      <c r="B240" t="s">
        <v>304</v>
      </c>
      <c r="C240" s="1">
        <v>45855</v>
      </c>
      <c r="D240" s="3">
        <v>46220</v>
      </c>
      <c r="E240" s="5">
        <v>89.875</v>
      </c>
      <c r="F240" s="3">
        <v>45925</v>
      </c>
      <c r="G240">
        <v>55.75</v>
      </c>
      <c r="H240" s="1">
        <v>46220</v>
      </c>
    </row>
    <row r="241" spans="1:8" x14ac:dyDescent="0.25">
      <c r="A241" s="2">
        <v>239</v>
      </c>
      <c r="B241" t="s">
        <v>455</v>
      </c>
      <c r="C241" s="1">
        <v>45855</v>
      </c>
      <c r="D241" s="3">
        <v>46220</v>
      </c>
      <c r="E241" s="5">
        <v>100.375</v>
      </c>
      <c r="F241" s="3">
        <v>45992</v>
      </c>
      <c r="G241">
        <v>83</v>
      </c>
      <c r="H241" s="1">
        <v>46177</v>
      </c>
    </row>
    <row r="242" spans="1:8" x14ac:dyDescent="0.25">
      <c r="A242" s="2">
        <v>240</v>
      </c>
      <c r="B242" t="s">
        <v>3371</v>
      </c>
      <c r="C242" s="1">
        <v>45855</v>
      </c>
      <c r="D242" s="3">
        <v>46220</v>
      </c>
      <c r="E242" s="5">
        <v>98.625</v>
      </c>
      <c r="F242" s="3">
        <v>46065</v>
      </c>
      <c r="G242">
        <v>85.75</v>
      </c>
      <c r="H242" s="1">
        <v>46149</v>
      </c>
    </row>
    <row r="243" spans="1:8" x14ac:dyDescent="0.25">
      <c r="A243" s="2">
        <v>241</v>
      </c>
      <c r="B243" t="s">
        <v>2576</v>
      </c>
      <c r="C243" s="1">
        <v>45855</v>
      </c>
      <c r="D243" s="3">
        <v>46220</v>
      </c>
      <c r="E243" s="5">
        <v>102.875</v>
      </c>
      <c r="F243" s="3">
        <v>45855</v>
      </c>
      <c r="G243">
        <v>99.125</v>
      </c>
      <c r="H243" s="1">
        <v>46080</v>
      </c>
    </row>
    <row r="244" spans="1:8" x14ac:dyDescent="0.25">
      <c r="A244" s="2">
        <v>242</v>
      </c>
      <c r="B244" t="s">
        <v>2323</v>
      </c>
      <c r="C244" s="1">
        <v>45855</v>
      </c>
      <c r="D244" s="3">
        <v>46220</v>
      </c>
      <c r="E244" s="5">
        <v>98.25</v>
      </c>
      <c r="F244" s="3">
        <v>45894</v>
      </c>
      <c r="G244">
        <v>73</v>
      </c>
      <c r="H244" s="1">
        <v>46101</v>
      </c>
    </row>
    <row r="245" spans="1:8" x14ac:dyDescent="0.25">
      <c r="A245" s="2">
        <v>243</v>
      </c>
      <c r="B245" t="s">
        <v>1252</v>
      </c>
      <c r="C245" s="1">
        <v>45855</v>
      </c>
      <c r="D245" s="3">
        <v>46220</v>
      </c>
      <c r="E245" s="5">
        <v>87</v>
      </c>
      <c r="F245" s="3">
        <v>45987</v>
      </c>
      <c r="G245">
        <v>70</v>
      </c>
      <c r="H245" s="1">
        <v>45880</v>
      </c>
    </row>
    <row r="246" spans="1:8" x14ac:dyDescent="0.25">
      <c r="A246" s="2">
        <v>244</v>
      </c>
      <c r="B246" t="s">
        <v>2009</v>
      </c>
      <c r="C246" s="1">
        <v>45855</v>
      </c>
      <c r="D246" s="3">
        <v>46220</v>
      </c>
      <c r="E246" s="5">
        <v>98.25</v>
      </c>
      <c r="F246" s="3">
        <v>45855</v>
      </c>
      <c r="G246">
        <v>85.25</v>
      </c>
      <c r="H246" s="1">
        <v>45918</v>
      </c>
    </row>
    <row r="247" spans="1:8" x14ac:dyDescent="0.25">
      <c r="A247" s="2">
        <v>245</v>
      </c>
      <c r="B247" t="s">
        <v>1249</v>
      </c>
      <c r="C247" s="1">
        <v>45855</v>
      </c>
      <c r="D247" s="3">
        <v>46220</v>
      </c>
      <c r="E247" s="5">
        <v>96.5</v>
      </c>
      <c r="F247" s="3">
        <v>45855</v>
      </c>
      <c r="G247">
        <v>80.25</v>
      </c>
      <c r="H247" s="1">
        <v>46184</v>
      </c>
    </row>
    <row r="248" spans="1:8" x14ac:dyDescent="0.25">
      <c r="A248" s="2">
        <v>246</v>
      </c>
      <c r="B248" t="s">
        <v>1870</v>
      </c>
      <c r="C248" s="1">
        <v>45855</v>
      </c>
      <c r="D248" s="3">
        <v>46220</v>
      </c>
      <c r="E248" s="5">
        <v>100.125</v>
      </c>
      <c r="F248" s="3">
        <v>45882</v>
      </c>
      <c r="G248">
        <v>83.5</v>
      </c>
      <c r="H248" s="1">
        <v>46085</v>
      </c>
    </row>
    <row r="249" spans="1:8" x14ac:dyDescent="0.25">
      <c r="A249" s="2">
        <v>247</v>
      </c>
      <c r="B249" t="s">
        <v>3458</v>
      </c>
      <c r="C249" s="1">
        <v>45855</v>
      </c>
      <c r="D249" s="3">
        <v>46220</v>
      </c>
      <c r="E249" s="5">
        <v>97.5</v>
      </c>
      <c r="F249" s="3">
        <v>45993</v>
      </c>
      <c r="G249">
        <v>86.5</v>
      </c>
      <c r="H249" s="1">
        <v>46104</v>
      </c>
    </row>
    <row r="250" spans="1:8" x14ac:dyDescent="0.25">
      <c r="A250" s="2">
        <v>248</v>
      </c>
      <c r="B250" t="s">
        <v>1577</v>
      </c>
      <c r="C250" s="1">
        <v>45855</v>
      </c>
      <c r="D250" s="3">
        <v>46220</v>
      </c>
      <c r="E250" s="5">
        <v>90</v>
      </c>
      <c r="F250" s="3">
        <v>46190</v>
      </c>
      <c r="G250">
        <v>80</v>
      </c>
      <c r="H250" s="1">
        <v>46042</v>
      </c>
    </row>
    <row r="251" spans="1:8" x14ac:dyDescent="0.25">
      <c r="A251" s="2">
        <v>249</v>
      </c>
      <c r="B251" t="s">
        <v>1247</v>
      </c>
      <c r="C251" s="1">
        <v>45855</v>
      </c>
      <c r="D251" s="3">
        <v>46220</v>
      </c>
      <c r="E251" s="5">
        <v>94.25</v>
      </c>
      <c r="F251" s="3">
        <v>45862</v>
      </c>
      <c r="G251">
        <v>81.75</v>
      </c>
      <c r="H251" s="1">
        <v>46183</v>
      </c>
    </row>
    <row r="252" spans="1:8" x14ac:dyDescent="0.25">
      <c r="A252" s="2">
        <v>250</v>
      </c>
      <c r="B252" t="s">
        <v>1868</v>
      </c>
      <c r="C252" s="1">
        <v>45855</v>
      </c>
      <c r="D252" s="3">
        <v>46220</v>
      </c>
      <c r="E252" s="5">
        <v>100.625</v>
      </c>
      <c r="F252" s="3">
        <v>45873</v>
      </c>
      <c r="G252">
        <v>82.5</v>
      </c>
      <c r="H252" s="1">
        <v>46097</v>
      </c>
    </row>
    <row r="253" spans="1:8" x14ac:dyDescent="0.25">
      <c r="A253" s="2">
        <v>251</v>
      </c>
      <c r="B253" t="s">
        <v>2105</v>
      </c>
      <c r="C253" s="1">
        <v>45855</v>
      </c>
      <c r="D253" s="3">
        <v>46220</v>
      </c>
      <c r="E253" s="5">
        <v>102.25</v>
      </c>
      <c r="F253" s="3">
        <v>46185</v>
      </c>
      <c r="G253">
        <v>72.8125</v>
      </c>
      <c r="H253" s="1">
        <v>45946</v>
      </c>
    </row>
    <row r="254" spans="1:8" x14ac:dyDescent="0.25">
      <c r="A254" s="2">
        <v>252</v>
      </c>
      <c r="B254" t="s">
        <v>2101</v>
      </c>
      <c r="C254" s="1">
        <v>45855</v>
      </c>
      <c r="D254" s="3">
        <v>46220</v>
      </c>
      <c r="E254" s="5">
        <v>94.75</v>
      </c>
      <c r="F254" s="3">
        <v>46188</v>
      </c>
      <c r="G254">
        <v>72</v>
      </c>
      <c r="H254" s="1">
        <v>45936</v>
      </c>
    </row>
    <row r="255" spans="1:8" x14ac:dyDescent="0.25">
      <c r="A255" s="2">
        <v>253</v>
      </c>
      <c r="B255" t="s">
        <v>1717</v>
      </c>
      <c r="C255" s="1">
        <v>45855</v>
      </c>
      <c r="D255" s="3">
        <v>46220</v>
      </c>
      <c r="E255" s="5">
        <v>89.25</v>
      </c>
      <c r="F255" s="3">
        <v>46008</v>
      </c>
      <c r="G255">
        <v>81</v>
      </c>
      <c r="H255" s="1">
        <v>46108</v>
      </c>
    </row>
    <row r="256" spans="1:8" x14ac:dyDescent="0.25">
      <c r="A256" s="2">
        <v>254</v>
      </c>
      <c r="B256" t="s">
        <v>1715</v>
      </c>
      <c r="C256" s="1">
        <v>45855</v>
      </c>
      <c r="D256" s="3">
        <v>46220</v>
      </c>
      <c r="E256" s="5">
        <v>41.5</v>
      </c>
      <c r="F256" s="3">
        <v>46002</v>
      </c>
      <c r="G256">
        <v>22</v>
      </c>
      <c r="H256" s="1">
        <v>46219</v>
      </c>
    </row>
    <row r="257" spans="1:8" x14ac:dyDescent="0.25">
      <c r="A257" s="2">
        <v>255</v>
      </c>
      <c r="B257" t="s">
        <v>1940</v>
      </c>
      <c r="C257" s="1">
        <v>45855</v>
      </c>
      <c r="D257" s="3">
        <v>46220</v>
      </c>
      <c r="E257" s="5">
        <v>83.875</v>
      </c>
      <c r="F257" s="3">
        <v>46035</v>
      </c>
      <c r="G257">
        <v>58.5</v>
      </c>
      <c r="H257" s="1">
        <v>46161</v>
      </c>
    </row>
    <row r="258" spans="1:8" x14ac:dyDescent="0.25">
      <c r="A258" s="2">
        <v>256</v>
      </c>
      <c r="B258" t="s">
        <v>1914</v>
      </c>
      <c r="C258" s="1">
        <v>45855</v>
      </c>
      <c r="D258" s="3">
        <v>46220</v>
      </c>
      <c r="E258" s="5">
        <v>97.375</v>
      </c>
      <c r="F258" s="3">
        <v>45860</v>
      </c>
      <c r="G258">
        <v>40</v>
      </c>
      <c r="H258" s="1">
        <v>46209</v>
      </c>
    </row>
    <row r="259" spans="1:8" x14ac:dyDescent="0.25">
      <c r="A259" s="2">
        <v>257</v>
      </c>
      <c r="B259" t="s">
        <v>1378</v>
      </c>
      <c r="C259" s="1">
        <v>45855</v>
      </c>
      <c r="D259" s="3">
        <v>46220</v>
      </c>
      <c r="E259" s="5">
        <v>94.125</v>
      </c>
      <c r="F259" s="3">
        <v>46212</v>
      </c>
      <c r="G259">
        <v>23.75</v>
      </c>
      <c r="H259" s="1">
        <v>46066</v>
      </c>
    </row>
    <row r="260" spans="1:8" x14ac:dyDescent="0.25">
      <c r="A260" s="2">
        <v>258</v>
      </c>
      <c r="B260" t="s">
        <v>3654</v>
      </c>
      <c r="C260" s="1">
        <v>45855</v>
      </c>
      <c r="D260" s="3">
        <v>46220</v>
      </c>
      <c r="E260" s="5">
        <v>101</v>
      </c>
      <c r="F260" s="3">
        <v>46002</v>
      </c>
      <c r="G260">
        <v>93</v>
      </c>
      <c r="H260" s="1">
        <v>45855</v>
      </c>
    </row>
    <row r="261" spans="1:8" x14ac:dyDescent="0.25">
      <c r="A261" s="2">
        <v>259</v>
      </c>
      <c r="B261" t="s">
        <v>1376</v>
      </c>
      <c r="C261" s="1">
        <v>45855</v>
      </c>
      <c r="D261" s="3">
        <v>46220</v>
      </c>
      <c r="E261" s="5">
        <v>82.5</v>
      </c>
      <c r="F261" s="3">
        <v>46084</v>
      </c>
      <c r="G261">
        <v>80.5</v>
      </c>
      <c r="H261" s="1">
        <v>45855</v>
      </c>
    </row>
    <row r="262" spans="1:8" x14ac:dyDescent="0.25">
      <c r="A262" s="2">
        <v>260</v>
      </c>
      <c r="B262" t="s">
        <v>1374</v>
      </c>
      <c r="C262" s="1">
        <v>45855</v>
      </c>
      <c r="D262" s="3">
        <v>46220</v>
      </c>
      <c r="E262" s="5">
        <v>103</v>
      </c>
      <c r="F262" s="3">
        <v>45993</v>
      </c>
      <c r="G262">
        <v>98.5</v>
      </c>
      <c r="H262" s="1">
        <v>46122</v>
      </c>
    </row>
    <row r="263" spans="1:8" x14ac:dyDescent="0.25">
      <c r="A263" s="2">
        <v>261</v>
      </c>
      <c r="B263" t="s">
        <v>2537</v>
      </c>
      <c r="C263" s="1">
        <v>45855</v>
      </c>
      <c r="D263" s="3">
        <v>46220</v>
      </c>
      <c r="E263" s="5">
        <v>101.125</v>
      </c>
      <c r="F263" s="3">
        <v>45855</v>
      </c>
      <c r="G263">
        <v>70</v>
      </c>
      <c r="H263" s="1">
        <v>46199</v>
      </c>
    </row>
    <row r="264" spans="1:8" x14ac:dyDescent="0.25">
      <c r="A264" s="2">
        <v>262</v>
      </c>
      <c r="B264" t="s">
        <v>434</v>
      </c>
      <c r="C264" s="1">
        <v>45855</v>
      </c>
      <c r="D264" s="3">
        <v>46220</v>
      </c>
      <c r="E264" s="5">
        <v>93</v>
      </c>
      <c r="F264" s="3">
        <v>46017</v>
      </c>
      <c r="G264">
        <v>77.375</v>
      </c>
      <c r="H264" s="1">
        <v>46212</v>
      </c>
    </row>
    <row r="265" spans="1:8" x14ac:dyDescent="0.25">
      <c r="A265" s="2">
        <v>263</v>
      </c>
      <c r="B265" t="s">
        <v>3381</v>
      </c>
      <c r="C265" s="1">
        <v>45855</v>
      </c>
      <c r="D265" s="3">
        <v>46220</v>
      </c>
      <c r="E265" s="5">
        <v>99.875</v>
      </c>
      <c r="F265" s="3">
        <v>46024</v>
      </c>
      <c r="G265">
        <v>88</v>
      </c>
      <c r="H265" s="1">
        <v>46083</v>
      </c>
    </row>
    <row r="266" spans="1:8" x14ac:dyDescent="0.25">
      <c r="A266" s="2">
        <v>264</v>
      </c>
      <c r="B266" t="s">
        <v>3634</v>
      </c>
      <c r="C266" s="1">
        <v>45855</v>
      </c>
      <c r="D266" s="3">
        <v>46220</v>
      </c>
      <c r="E266" s="5">
        <v>95.25</v>
      </c>
      <c r="F266" s="3">
        <v>46198</v>
      </c>
      <c r="G266">
        <v>79.5</v>
      </c>
      <c r="H266" s="1">
        <v>46015</v>
      </c>
    </row>
    <row r="267" spans="1:8" x14ac:dyDescent="0.25">
      <c r="A267" s="2">
        <v>265</v>
      </c>
      <c r="B267" t="s">
        <v>365</v>
      </c>
      <c r="C267" s="1">
        <v>45855</v>
      </c>
      <c r="D267" s="3">
        <v>46220</v>
      </c>
      <c r="E267" s="5">
        <v>92</v>
      </c>
      <c r="F267" s="3">
        <v>45909</v>
      </c>
      <c r="G267">
        <v>45</v>
      </c>
      <c r="H267" s="1">
        <v>46210</v>
      </c>
    </row>
    <row r="268" spans="1:8" x14ac:dyDescent="0.25">
      <c r="A268" s="2">
        <v>266</v>
      </c>
      <c r="B268" t="s">
        <v>3473</v>
      </c>
      <c r="C268" s="1">
        <v>45855</v>
      </c>
      <c r="D268" s="3">
        <v>46220</v>
      </c>
      <c r="E268" s="5">
        <v>102.5</v>
      </c>
      <c r="F268" s="3">
        <v>45881</v>
      </c>
      <c r="G268">
        <v>98.5</v>
      </c>
      <c r="H268" s="1">
        <v>46098</v>
      </c>
    </row>
    <row r="269" spans="1:8" x14ac:dyDescent="0.25">
      <c r="A269" s="2">
        <v>267</v>
      </c>
      <c r="B269" t="s">
        <v>103</v>
      </c>
      <c r="C269" s="1">
        <v>45855</v>
      </c>
      <c r="D269" s="3">
        <v>46220</v>
      </c>
      <c r="E269" s="5">
        <v>88</v>
      </c>
      <c r="F269" s="3">
        <v>45996</v>
      </c>
      <c r="G269">
        <v>42</v>
      </c>
      <c r="H269" s="1">
        <v>46146</v>
      </c>
    </row>
    <row r="270" spans="1:8" x14ac:dyDescent="0.25">
      <c r="A270" s="2">
        <v>268</v>
      </c>
      <c r="B270" t="s">
        <v>222</v>
      </c>
      <c r="C270" s="1">
        <v>45855</v>
      </c>
      <c r="D270" s="3">
        <v>46220</v>
      </c>
      <c r="E270" s="5">
        <v>96.25</v>
      </c>
      <c r="F270" s="3">
        <v>46064</v>
      </c>
      <c r="G270">
        <v>90</v>
      </c>
      <c r="H270" s="1">
        <v>46084</v>
      </c>
    </row>
    <row r="271" spans="1:8" x14ac:dyDescent="0.25">
      <c r="A271" s="2">
        <v>269</v>
      </c>
      <c r="B271" t="s">
        <v>2568</v>
      </c>
      <c r="C271" s="1">
        <v>45855</v>
      </c>
      <c r="D271" s="3">
        <v>46220</v>
      </c>
      <c r="E271" s="5">
        <v>92</v>
      </c>
      <c r="F271" s="3">
        <v>45868</v>
      </c>
      <c r="G271">
        <v>56.25</v>
      </c>
      <c r="H271" s="1">
        <v>46064</v>
      </c>
    </row>
    <row r="272" spans="1:8" x14ac:dyDescent="0.25">
      <c r="A272" s="2">
        <v>270</v>
      </c>
      <c r="B272" t="s">
        <v>3471</v>
      </c>
      <c r="C272" s="1">
        <v>45855</v>
      </c>
      <c r="D272" s="3">
        <v>46220</v>
      </c>
      <c r="E272" s="5">
        <v>79.75</v>
      </c>
      <c r="F272" s="3">
        <v>45859</v>
      </c>
      <c r="G272">
        <v>35</v>
      </c>
      <c r="H272" s="1">
        <v>46094</v>
      </c>
    </row>
    <row r="273" spans="1:8" x14ac:dyDescent="0.25">
      <c r="A273" s="2">
        <v>271</v>
      </c>
      <c r="B273" t="s">
        <v>3469</v>
      </c>
      <c r="C273" s="1">
        <v>45855</v>
      </c>
      <c r="D273" s="3">
        <v>46220</v>
      </c>
      <c r="E273" s="5">
        <v>32.5</v>
      </c>
      <c r="F273" s="3">
        <v>45855</v>
      </c>
      <c r="G273">
        <v>16.5</v>
      </c>
      <c r="H273" s="1">
        <v>46080</v>
      </c>
    </row>
    <row r="274" spans="1:8" x14ac:dyDescent="0.25">
      <c r="A274" s="2">
        <v>272</v>
      </c>
      <c r="B274" t="s">
        <v>3466</v>
      </c>
      <c r="C274" s="1">
        <v>45855</v>
      </c>
      <c r="D274" s="3">
        <v>46220</v>
      </c>
      <c r="E274" s="5">
        <v>19.5</v>
      </c>
      <c r="F274" s="3">
        <v>45855</v>
      </c>
      <c r="G274">
        <v>17.5</v>
      </c>
      <c r="H274" s="1">
        <v>45915</v>
      </c>
    </row>
    <row r="275" spans="1:8" x14ac:dyDescent="0.25">
      <c r="A275" s="2">
        <v>273</v>
      </c>
      <c r="B275" t="s">
        <v>2065</v>
      </c>
      <c r="C275" s="1">
        <v>45855</v>
      </c>
      <c r="D275" s="3">
        <v>46220</v>
      </c>
      <c r="E275" s="5">
        <v>100.5</v>
      </c>
      <c r="F275" s="3">
        <v>45895</v>
      </c>
      <c r="G275">
        <v>70.55</v>
      </c>
      <c r="H275" s="1">
        <v>46050</v>
      </c>
    </row>
    <row r="276" spans="1:8" x14ac:dyDescent="0.25">
      <c r="A276" s="2">
        <v>274</v>
      </c>
      <c r="B276" t="s">
        <v>2392</v>
      </c>
      <c r="C276" s="1">
        <v>45855</v>
      </c>
      <c r="D276" s="3">
        <v>46220</v>
      </c>
      <c r="E276" s="5">
        <v>99.875</v>
      </c>
      <c r="F276" s="3">
        <v>45855</v>
      </c>
      <c r="G276">
        <v>79.25</v>
      </c>
      <c r="H276" s="1">
        <v>46203</v>
      </c>
    </row>
    <row r="277" spans="1:8" x14ac:dyDescent="0.25">
      <c r="A277" s="2">
        <v>275</v>
      </c>
      <c r="B277" t="s">
        <v>174</v>
      </c>
      <c r="C277" s="1">
        <v>45855</v>
      </c>
      <c r="D277" s="3">
        <v>46220</v>
      </c>
      <c r="E277" s="5">
        <v>99.625</v>
      </c>
      <c r="F277" s="3">
        <v>45863</v>
      </c>
      <c r="G277">
        <v>87.5</v>
      </c>
      <c r="H277" s="1">
        <v>46077</v>
      </c>
    </row>
    <row r="278" spans="1:8" x14ac:dyDescent="0.25">
      <c r="A278" s="2">
        <v>276</v>
      </c>
      <c r="B278" t="s">
        <v>1866</v>
      </c>
      <c r="C278" s="1">
        <v>45855</v>
      </c>
      <c r="D278" s="3">
        <v>46220</v>
      </c>
      <c r="E278" s="5">
        <v>100.125</v>
      </c>
      <c r="F278" s="3">
        <v>45888</v>
      </c>
      <c r="G278">
        <v>85.75</v>
      </c>
      <c r="H278" s="1">
        <v>46105</v>
      </c>
    </row>
    <row r="279" spans="1:8" x14ac:dyDescent="0.25">
      <c r="A279" s="2">
        <v>277</v>
      </c>
      <c r="B279" t="s">
        <v>343</v>
      </c>
      <c r="C279" s="1">
        <v>45855</v>
      </c>
      <c r="D279" s="3">
        <v>46220</v>
      </c>
      <c r="E279" s="5">
        <v>98.375</v>
      </c>
      <c r="F279" s="3">
        <v>45908</v>
      </c>
      <c r="G279">
        <v>71.5</v>
      </c>
      <c r="H279" s="1">
        <v>46153</v>
      </c>
    </row>
    <row r="280" spans="1:8" x14ac:dyDescent="0.25">
      <c r="A280" s="2">
        <v>278</v>
      </c>
      <c r="B280" t="s">
        <v>1542</v>
      </c>
      <c r="C280" s="1">
        <v>45855</v>
      </c>
      <c r="D280" s="3">
        <v>46220</v>
      </c>
      <c r="E280" s="5">
        <v>99</v>
      </c>
      <c r="F280" s="3">
        <v>45860</v>
      </c>
      <c r="G280">
        <v>76.5</v>
      </c>
      <c r="H280" s="1">
        <v>46055</v>
      </c>
    </row>
    <row r="281" spans="1:8" x14ac:dyDescent="0.25">
      <c r="A281" s="2">
        <v>279</v>
      </c>
      <c r="B281" t="s">
        <v>1541</v>
      </c>
      <c r="C281" s="1">
        <v>45855</v>
      </c>
      <c r="D281" s="3">
        <v>46220</v>
      </c>
      <c r="E281" s="5">
        <v>97</v>
      </c>
      <c r="F281" s="3">
        <v>45855</v>
      </c>
      <c r="G281">
        <v>74.5</v>
      </c>
      <c r="H281" s="1">
        <v>46050</v>
      </c>
    </row>
    <row r="282" spans="1:8" x14ac:dyDescent="0.25">
      <c r="A282" s="2">
        <v>280</v>
      </c>
      <c r="B282" t="s">
        <v>3446</v>
      </c>
      <c r="C282" s="1">
        <v>45855</v>
      </c>
      <c r="D282" s="3">
        <v>46220</v>
      </c>
      <c r="E282" s="5">
        <v>100.125</v>
      </c>
      <c r="F282" s="3">
        <v>45981</v>
      </c>
      <c r="G282">
        <v>70</v>
      </c>
      <c r="H282" s="1">
        <v>46162</v>
      </c>
    </row>
    <row r="283" spans="1:8" x14ac:dyDescent="0.25">
      <c r="A283" s="2">
        <v>281</v>
      </c>
      <c r="B283" t="s">
        <v>2267</v>
      </c>
      <c r="C283" s="1">
        <v>45855</v>
      </c>
      <c r="D283" s="3">
        <v>46220</v>
      </c>
      <c r="E283" s="5">
        <v>100.3125</v>
      </c>
      <c r="F283" s="3">
        <v>45855</v>
      </c>
      <c r="G283">
        <v>97.75</v>
      </c>
      <c r="H283" s="1">
        <v>46003</v>
      </c>
    </row>
    <row r="284" spans="1:8" x14ac:dyDescent="0.25">
      <c r="A284" s="2">
        <v>282</v>
      </c>
      <c r="B284" t="s">
        <v>956</v>
      </c>
      <c r="C284" s="1">
        <v>45855</v>
      </c>
      <c r="D284" s="3">
        <v>46220</v>
      </c>
      <c r="E284" s="5">
        <v>94.125</v>
      </c>
      <c r="F284" s="3">
        <v>45925</v>
      </c>
      <c r="G284">
        <v>63</v>
      </c>
      <c r="H284" s="1">
        <v>46156</v>
      </c>
    </row>
    <row r="285" spans="1:8" x14ac:dyDescent="0.25">
      <c r="A285" s="2">
        <v>283</v>
      </c>
      <c r="B285" t="s">
        <v>1497</v>
      </c>
      <c r="C285" s="1">
        <v>45855</v>
      </c>
      <c r="D285" s="3">
        <v>46220</v>
      </c>
      <c r="E285" s="5">
        <v>100.5</v>
      </c>
      <c r="F285" s="3">
        <v>46022</v>
      </c>
      <c r="G285">
        <v>87</v>
      </c>
      <c r="H285" s="1">
        <v>46210</v>
      </c>
    </row>
    <row r="286" spans="1:8" x14ac:dyDescent="0.25">
      <c r="A286" s="2">
        <v>284</v>
      </c>
      <c r="B286" t="s">
        <v>1819</v>
      </c>
      <c r="C286" s="1">
        <v>45855</v>
      </c>
      <c r="D286" s="3">
        <v>46220</v>
      </c>
      <c r="E286" s="5">
        <v>99.625</v>
      </c>
      <c r="F286" s="3">
        <v>45859</v>
      </c>
      <c r="G286">
        <v>61.5</v>
      </c>
      <c r="H286" s="1">
        <v>46162</v>
      </c>
    </row>
    <row r="287" spans="1:8" x14ac:dyDescent="0.25">
      <c r="A287" s="2">
        <v>285</v>
      </c>
      <c r="B287" t="s">
        <v>1231</v>
      </c>
      <c r="C287" s="1">
        <v>45855</v>
      </c>
      <c r="D287" s="3">
        <v>46220</v>
      </c>
      <c r="E287" s="5">
        <v>88.25</v>
      </c>
      <c r="F287" s="3">
        <v>45860</v>
      </c>
      <c r="G287">
        <v>54</v>
      </c>
      <c r="H287" s="1">
        <v>46113</v>
      </c>
    </row>
    <row r="288" spans="1:8" x14ac:dyDescent="0.25">
      <c r="A288" s="2">
        <v>286</v>
      </c>
      <c r="B288" t="s">
        <v>2584</v>
      </c>
      <c r="C288" s="1">
        <v>45855</v>
      </c>
      <c r="D288" s="3">
        <v>46220</v>
      </c>
      <c r="E288" s="5">
        <v>112.87</v>
      </c>
      <c r="F288" s="3">
        <v>46062</v>
      </c>
      <c r="G288">
        <v>90.5</v>
      </c>
      <c r="H288" s="1">
        <v>45873</v>
      </c>
    </row>
    <row r="289" spans="1:8" x14ac:dyDescent="0.25">
      <c r="A289" s="2">
        <v>287</v>
      </c>
      <c r="B289" t="s">
        <v>3625</v>
      </c>
      <c r="C289" s="1">
        <v>45855</v>
      </c>
      <c r="D289" s="3">
        <v>46220</v>
      </c>
      <c r="E289" s="5">
        <v>99.125</v>
      </c>
      <c r="F289" s="3">
        <v>45860</v>
      </c>
      <c r="G289">
        <v>82.5</v>
      </c>
      <c r="H289" s="1">
        <v>46080</v>
      </c>
    </row>
    <row r="290" spans="1:8" x14ac:dyDescent="0.25">
      <c r="A290" s="2">
        <v>288</v>
      </c>
      <c r="B290" t="s">
        <v>432</v>
      </c>
      <c r="C290" s="1">
        <v>45855</v>
      </c>
      <c r="D290" s="3">
        <v>46220</v>
      </c>
      <c r="E290" s="5">
        <v>82.5</v>
      </c>
      <c r="F290" s="3">
        <v>46153</v>
      </c>
      <c r="G290">
        <v>78.5</v>
      </c>
      <c r="H290" s="1">
        <v>46211</v>
      </c>
    </row>
    <row r="291" spans="1:8" x14ac:dyDescent="0.25">
      <c r="A291" s="2">
        <v>289</v>
      </c>
      <c r="B291" t="s">
        <v>1571</v>
      </c>
      <c r="C291" s="1">
        <v>45855</v>
      </c>
      <c r="D291" s="3">
        <v>46220</v>
      </c>
      <c r="E291" s="5">
        <v>99.0625</v>
      </c>
      <c r="F291" s="3">
        <v>45859</v>
      </c>
      <c r="G291">
        <v>86.5</v>
      </c>
      <c r="H291" s="1">
        <v>46107</v>
      </c>
    </row>
    <row r="292" spans="1:8" x14ac:dyDescent="0.25">
      <c r="A292" s="2">
        <v>290</v>
      </c>
      <c r="B292" t="s">
        <v>1987</v>
      </c>
      <c r="C292" s="1">
        <v>45855</v>
      </c>
      <c r="D292" s="3">
        <v>46220</v>
      </c>
      <c r="E292" s="5">
        <v>99.25</v>
      </c>
      <c r="F292" s="3">
        <v>45929</v>
      </c>
      <c r="G292">
        <v>79</v>
      </c>
      <c r="H292" s="1">
        <v>46195</v>
      </c>
    </row>
    <row r="293" spans="1:8" x14ac:dyDescent="0.25">
      <c r="A293" s="2">
        <v>291</v>
      </c>
      <c r="B293" t="s">
        <v>2043</v>
      </c>
      <c r="C293" s="1">
        <v>45855</v>
      </c>
      <c r="D293" s="3">
        <v>46220</v>
      </c>
      <c r="E293" s="5">
        <v>102.75</v>
      </c>
      <c r="F293" s="3">
        <v>45926</v>
      </c>
      <c r="G293">
        <v>100</v>
      </c>
      <c r="H293" s="1">
        <v>46104</v>
      </c>
    </row>
    <row r="294" spans="1:8" x14ac:dyDescent="0.25">
      <c r="A294" s="2">
        <v>292</v>
      </c>
      <c r="B294" t="s">
        <v>2402</v>
      </c>
      <c r="C294" s="1">
        <v>45855</v>
      </c>
      <c r="D294" s="3">
        <v>46220</v>
      </c>
      <c r="E294" s="5">
        <v>100.625</v>
      </c>
      <c r="F294" s="3">
        <v>45862</v>
      </c>
      <c r="G294">
        <v>97.125</v>
      </c>
      <c r="H294" s="1">
        <v>46189</v>
      </c>
    </row>
    <row r="295" spans="1:8" x14ac:dyDescent="0.25">
      <c r="A295" s="2">
        <v>293</v>
      </c>
      <c r="B295" t="s">
        <v>883</v>
      </c>
      <c r="C295" s="1">
        <v>45855</v>
      </c>
      <c r="D295" s="3">
        <v>46220</v>
      </c>
      <c r="E295" s="5">
        <v>102.25</v>
      </c>
      <c r="F295" s="3">
        <v>45855</v>
      </c>
      <c r="G295">
        <v>96.3125</v>
      </c>
      <c r="H295" s="1">
        <v>46202</v>
      </c>
    </row>
    <row r="296" spans="1:8" x14ac:dyDescent="0.25">
      <c r="A296" s="2">
        <v>294</v>
      </c>
      <c r="B296" t="s">
        <v>1481</v>
      </c>
      <c r="C296" s="1">
        <v>45855</v>
      </c>
      <c r="D296" s="3">
        <v>46220</v>
      </c>
      <c r="E296" s="5">
        <v>102.25</v>
      </c>
      <c r="F296" s="3">
        <v>45894</v>
      </c>
      <c r="G296">
        <v>98</v>
      </c>
      <c r="H296" s="1">
        <v>46191</v>
      </c>
    </row>
    <row r="297" spans="1:8" x14ac:dyDescent="0.25">
      <c r="A297" s="2">
        <v>295</v>
      </c>
      <c r="B297" t="s">
        <v>1480</v>
      </c>
      <c r="C297" s="1">
        <v>45855</v>
      </c>
      <c r="D297" s="3">
        <v>46220</v>
      </c>
      <c r="E297" s="5">
        <v>84.25</v>
      </c>
      <c r="F297" s="3">
        <v>45855</v>
      </c>
      <c r="G297">
        <v>60</v>
      </c>
      <c r="H297" s="1">
        <v>46218</v>
      </c>
    </row>
    <row r="298" spans="1:8" x14ac:dyDescent="0.25">
      <c r="A298" s="2">
        <v>296</v>
      </c>
      <c r="B298" t="s">
        <v>1479</v>
      </c>
      <c r="C298" s="1">
        <v>45855</v>
      </c>
      <c r="D298" s="3">
        <v>46220</v>
      </c>
      <c r="E298" s="5">
        <v>49.5</v>
      </c>
      <c r="F298" s="3">
        <v>46036</v>
      </c>
      <c r="G298">
        <v>33</v>
      </c>
      <c r="H298" s="1">
        <v>46219</v>
      </c>
    </row>
    <row r="299" spans="1:8" x14ac:dyDescent="0.25">
      <c r="A299" s="2">
        <v>297</v>
      </c>
      <c r="B299" t="s">
        <v>1478</v>
      </c>
      <c r="C299" s="1">
        <v>45855</v>
      </c>
      <c r="D299" s="3">
        <v>46220</v>
      </c>
      <c r="E299" s="5">
        <v>27.25</v>
      </c>
      <c r="F299" s="3">
        <v>46049</v>
      </c>
      <c r="G299">
        <v>15</v>
      </c>
      <c r="H299" s="1">
        <v>46199</v>
      </c>
    </row>
    <row r="300" spans="1:8" x14ac:dyDescent="0.25">
      <c r="A300" s="2">
        <v>298</v>
      </c>
      <c r="B300" t="s">
        <v>325</v>
      </c>
      <c r="C300" s="1">
        <v>45855</v>
      </c>
      <c r="D300" s="3">
        <v>46220</v>
      </c>
      <c r="E300" s="5">
        <v>60.5</v>
      </c>
      <c r="F300" s="3">
        <v>46101</v>
      </c>
      <c r="G300">
        <v>37.5</v>
      </c>
      <c r="H300" s="1">
        <v>45999</v>
      </c>
    </row>
    <row r="301" spans="1:8" x14ac:dyDescent="0.25">
      <c r="A301" s="2">
        <v>299</v>
      </c>
      <c r="B301" t="s">
        <v>3821</v>
      </c>
      <c r="C301" s="1">
        <v>45855</v>
      </c>
      <c r="D301" s="3">
        <v>46220</v>
      </c>
      <c r="E301" s="5">
        <v>100.5625</v>
      </c>
      <c r="F301" s="3">
        <v>45996</v>
      </c>
      <c r="G301">
        <v>97.375</v>
      </c>
      <c r="H301" s="1">
        <v>46218</v>
      </c>
    </row>
    <row r="302" spans="1:8" x14ac:dyDescent="0.25">
      <c r="A302" s="2">
        <v>300</v>
      </c>
      <c r="B302" t="s">
        <v>1598</v>
      </c>
      <c r="C302" s="1">
        <v>45855</v>
      </c>
      <c r="D302" s="3">
        <v>46220</v>
      </c>
      <c r="E302" s="5">
        <v>97.875</v>
      </c>
      <c r="F302" s="3">
        <v>45859</v>
      </c>
      <c r="G302">
        <v>85.25</v>
      </c>
      <c r="H302" s="1">
        <v>46118</v>
      </c>
    </row>
    <row r="303" spans="1:8" x14ac:dyDescent="0.25">
      <c r="A303" s="2">
        <v>301</v>
      </c>
      <c r="B303" t="s">
        <v>470</v>
      </c>
      <c r="C303" s="1">
        <v>45855</v>
      </c>
      <c r="D303" s="3">
        <v>46220</v>
      </c>
      <c r="E303" s="5">
        <v>98.75</v>
      </c>
      <c r="F303" s="3">
        <v>45855</v>
      </c>
      <c r="G303">
        <v>70</v>
      </c>
      <c r="H303" s="1">
        <v>46017</v>
      </c>
    </row>
    <row r="304" spans="1:8" x14ac:dyDescent="0.25">
      <c r="A304" s="2">
        <v>302</v>
      </c>
      <c r="B304" t="s">
        <v>1536</v>
      </c>
      <c r="C304" s="1">
        <v>45855</v>
      </c>
      <c r="D304" s="3">
        <v>46220</v>
      </c>
      <c r="E304" s="5">
        <v>93.25</v>
      </c>
      <c r="F304" s="3">
        <v>45855</v>
      </c>
      <c r="G304">
        <v>60</v>
      </c>
      <c r="H304" s="1">
        <v>46031</v>
      </c>
    </row>
    <row r="305" spans="1:8" x14ac:dyDescent="0.25">
      <c r="A305" s="2">
        <v>303</v>
      </c>
      <c r="B305" t="s">
        <v>1534</v>
      </c>
      <c r="C305" s="1">
        <v>45855</v>
      </c>
      <c r="D305" s="3">
        <v>46220</v>
      </c>
      <c r="E305" s="5">
        <v>95</v>
      </c>
      <c r="F305" s="3">
        <v>45860</v>
      </c>
      <c r="G305">
        <v>62</v>
      </c>
      <c r="H305" s="1">
        <v>46038</v>
      </c>
    </row>
    <row r="306" spans="1:8" x14ac:dyDescent="0.25">
      <c r="A306" s="2">
        <v>304</v>
      </c>
      <c r="B306" t="s">
        <v>3534</v>
      </c>
      <c r="C306" s="1">
        <v>45855</v>
      </c>
      <c r="D306" s="3">
        <v>46220</v>
      </c>
      <c r="E306" s="5">
        <v>92.05</v>
      </c>
      <c r="F306" s="3">
        <v>46157</v>
      </c>
      <c r="G306">
        <v>74</v>
      </c>
      <c r="H306" s="1">
        <v>45972</v>
      </c>
    </row>
    <row r="307" spans="1:8" x14ac:dyDescent="0.25">
      <c r="A307" s="2">
        <v>305</v>
      </c>
      <c r="B307" t="s">
        <v>3532</v>
      </c>
      <c r="C307" s="1">
        <v>45855</v>
      </c>
      <c r="D307" s="3">
        <v>46220</v>
      </c>
      <c r="E307" s="5">
        <v>83.375</v>
      </c>
      <c r="F307" s="3">
        <v>46220</v>
      </c>
      <c r="G307">
        <v>77.5</v>
      </c>
      <c r="H307" s="1">
        <v>45867</v>
      </c>
    </row>
    <row r="308" spans="1:8" x14ac:dyDescent="0.25">
      <c r="A308" s="2">
        <v>306</v>
      </c>
      <c r="B308" t="s">
        <v>3526</v>
      </c>
      <c r="C308" s="1">
        <v>45855</v>
      </c>
      <c r="D308" s="3">
        <v>46220</v>
      </c>
      <c r="E308" s="5">
        <v>84</v>
      </c>
      <c r="F308" s="3">
        <v>46021</v>
      </c>
      <c r="G308">
        <v>78.25</v>
      </c>
      <c r="H308" s="1">
        <v>46219</v>
      </c>
    </row>
    <row r="309" spans="1:8" x14ac:dyDescent="0.25">
      <c r="A309" s="2">
        <v>307</v>
      </c>
      <c r="B309" t="s">
        <v>354</v>
      </c>
      <c r="C309" s="1">
        <v>45855</v>
      </c>
      <c r="D309" s="3">
        <v>46220</v>
      </c>
      <c r="E309" s="5">
        <v>85.25</v>
      </c>
      <c r="F309" s="3">
        <v>46120</v>
      </c>
      <c r="G309">
        <v>65</v>
      </c>
      <c r="H309" s="1">
        <v>46009</v>
      </c>
    </row>
    <row r="310" spans="1:8" x14ac:dyDescent="0.25">
      <c r="A310" s="2">
        <v>308</v>
      </c>
      <c r="B310" t="s">
        <v>212</v>
      </c>
      <c r="C310" s="1">
        <v>45855</v>
      </c>
      <c r="D310" s="3">
        <v>46220</v>
      </c>
      <c r="E310" s="5">
        <v>97.875</v>
      </c>
      <c r="F310" s="3">
        <v>45855</v>
      </c>
      <c r="G310">
        <v>89.5</v>
      </c>
      <c r="H310" s="1">
        <v>46189</v>
      </c>
    </row>
    <row r="311" spans="1:8" x14ac:dyDescent="0.25">
      <c r="A311" s="2">
        <v>309</v>
      </c>
      <c r="B311" t="s">
        <v>379</v>
      </c>
      <c r="C311" s="1">
        <v>45855</v>
      </c>
      <c r="D311" s="3">
        <v>46220</v>
      </c>
      <c r="E311" s="5">
        <v>100.25</v>
      </c>
      <c r="F311" s="3">
        <v>45870</v>
      </c>
      <c r="G311">
        <v>54.5</v>
      </c>
      <c r="H311" s="1">
        <v>46197</v>
      </c>
    </row>
    <row r="312" spans="1:8" x14ac:dyDescent="0.25">
      <c r="A312" s="2">
        <v>310</v>
      </c>
      <c r="B312" t="s">
        <v>1962</v>
      </c>
      <c r="C312" s="1">
        <v>45855</v>
      </c>
      <c r="D312" s="3">
        <v>46220</v>
      </c>
      <c r="E312" s="5">
        <v>38.5</v>
      </c>
      <c r="F312" s="3">
        <v>45924</v>
      </c>
      <c r="G312">
        <v>7</v>
      </c>
      <c r="H312" s="1">
        <v>46210</v>
      </c>
    </row>
    <row r="313" spans="1:8" x14ac:dyDescent="0.25">
      <c r="A313" s="2">
        <v>311</v>
      </c>
      <c r="B313" t="s">
        <v>1960</v>
      </c>
      <c r="C313" s="1">
        <v>45855</v>
      </c>
      <c r="D313" s="3">
        <v>46220</v>
      </c>
      <c r="E313" s="5">
        <v>34.5</v>
      </c>
      <c r="F313" s="3">
        <v>45924</v>
      </c>
      <c r="G313">
        <v>7</v>
      </c>
      <c r="H313" s="1">
        <v>46210</v>
      </c>
    </row>
    <row r="314" spans="1:8" x14ac:dyDescent="0.25">
      <c r="A314" s="2">
        <v>312</v>
      </c>
      <c r="B314" t="s">
        <v>1958</v>
      </c>
      <c r="C314" s="1">
        <v>45855</v>
      </c>
      <c r="D314" s="3">
        <v>46220</v>
      </c>
      <c r="E314" s="5">
        <v>78.5</v>
      </c>
      <c r="F314" s="3">
        <v>46062</v>
      </c>
      <c r="G314">
        <v>56</v>
      </c>
      <c r="H314" s="1">
        <v>46220</v>
      </c>
    </row>
    <row r="315" spans="1:8" x14ac:dyDescent="0.25">
      <c r="A315" s="2">
        <v>313</v>
      </c>
      <c r="B315" t="s">
        <v>1956</v>
      </c>
      <c r="C315" s="1">
        <v>45855</v>
      </c>
      <c r="D315" s="3">
        <v>46220</v>
      </c>
      <c r="E315" s="5">
        <v>77.5</v>
      </c>
      <c r="F315" s="3">
        <v>46062</v>
      </c>
      <c r="G315">
        <v>56</v>
      </c>
      <c r="H315" s="1">
        <v>46220</v>
      </c>
    </row>
    <row r="316" spans="1:8" x14ac:dyDescent="0.25">
      <c r="A316" s="2">
        <v>314</v>
      </c>
      <c r="B316" t="s">
        <v>1954</v>
      </c>
      <c r="C316" s="1">
        <v>45855</v>
      </c>
      <c r="D316" s="3">
        <v>46220</v>
      </c>
      <c r="E316" s="5">
        <v>101.875</v>
      </c>
      <c r="F316" s="3">
        <v>45994</v>
      </c>
      <c r="G316">
        <v>97.5</v>
      </c>
      <c r="H316" s="1">
        <v>45916</v>
      </c>
    </row>
    <row r="317" spans="1:8" x14ac:dyDescent="0.25">
      <c r="A317" s="2">
        <v>315</v>
      </c>
      <c r="B317" t="s">
        <v>3819</v>
      </c>
      <c r="C317" s="1">
        <v>45855</v>
      </c>
      <c r="D317" s="3">
        <v>46220</v>
      </c>
      <c r="E317" s="5">
        <v>100.375</v>
      </c>
      <c r="F317" s="3">
        <v>46029</v>
      </c>
      <c r="G317">
        <v>97</v>
      </c>
      <c r="H317" s="1">
        <v>46218</v>
      </c>
    </row>
    <row r="318" spans="1:8" x14ac:dyDescent="0.25">
      <c r="A318" s="2">
        <v>316</v>
      </c>
      <c r="B318" t="s">
        <v>2594</v>
      </c>
      <c r="C318" s="1">
        <v>45855</v>
      </c>
      <c r="D318" s="3">
        <v>46220</v>
      </c>
      <c r="E318" s="5">
        <v>100.875</v>
      </c>
      <c r="F318" s="3">
        <v>45856</v>
      </c>
      <c r="G318">
        <v>92.5</v>
      </c>
      <c r="H318" s="1">
        <v>45981</v>
      </c>
    </row>
    <row r="319" spans="1:8" x14ac:dyDescent="0.25">
      <c r="A319" s="2">
        <v>317</v>
      </c>
      <c r="B319" t="s">
        <v>375</v>
      </c>
      <c r="C319" s="1">
        <v>45855</v>
      </c>
      <c r="D319" s="3">
        <v>46220</v>
      </c>
      <c r="E319" s="5">
        <v>100.75</v>
      </c>
      <c r="F319" s="3">
        <v>45855</v>
      </c>
      <c r="G319">
        <v>70.25</v>
      </c>
      <c r="H319" s="1">
        <v>46177</v>
      </c>
    </row>
    <row r="320" spans="1:8" x14ac:dyDescent="0.25">
      <c r="A320" s="2">
        <v>318</v>
      </c>
      <c r="B320" t="s">
        <v>1475</v>
      </c>
      <c r="C320" s="1">
        <v>45855</v>
      </c>
      <c r="D320" s="3">
        <v>46220</v>
      </c>
      <c r="E320" s="5">
        <v>101.726</v>
      </c>
      <c r="F320" s="3">
        <v>45930</v>
      </c>
      <c r="G320">
        <v>99.4</v>
      </c>
      <c r="H320" s="1">
        <v>46112</v>
      </c>
    </row>
    <row r="321" spans="1:8" x14ac:dyDescent="0.25">
      <c r="A321" s="2">
        <v>319</v>
      </c>
      <c r="B321" t="s">
        <v>3630</v>
      </c>
      <c r="C321" s="1">
        <v>45855</v>
      </c>
      <c r="D321" s="3">
        <v>46220</v>
      </c>
      <c r="E321" s="5">
        <v>98.75</v>
      </c>
      <c r="F321" s="3">
        <v>45856</v>
      </c>
      <c r="G321">
        <v>73</v>
      </c>
      <c r="H321" s="1">
        <v>46191</v>
      </c>
    </row>
    <row r="322" spans="1:8" x14ac:dyDescent="0.25">
      <c r="A322" s="2">
        <v>320</v>
      </c>
      <c r="B322" t="s">
        <v>3766</v>
      </c>
      <c r="C322" s="1">
        <v>45855</v>
      </c>
      <c r="D322" s="3">
        <v>46220</v>
      </c>
      <c r="E322" s="5">
        <v>99.407499999999999</v>
      </c>
      <c r="F322" s="3">
        <v>46022</v>
      </c>
      <c r="G322">
        <v>99.374499999999998</v>
      </c>
      <c r="H322" s="1">
        <v>45855</v>
      </c>
    </row>
    <row r="323" spans="1:8" x14ac:dyDescent="0.25">
      <c r="A323" s="2">
        <v>321</v>
      </c>
      <c r="B323" t="s">
        <v>940</v>
      </c>
      <c r="C323" s="1">
        <v>45855</v>
      </c>
      <c r="D323" s="3">
        <v>46220</v>
      </c>
      <c r="E323" s="5">
        <v>100.75</v>
      </c>
      <c r="F323" s="3">
        <v>45870</v>
      </c>
      <c r="G323">
        <v>69</v>
      </c>
      <c r="H323" s="1">
        <v>46064</v>
      </c>
    </row>
    <row r="324" spans="1:8" x14ac:dyDescent="0.25">
      <c r="A324" s="2">
        <v>322</v>
      </c>
      <c r="B324" t="s">
        <v>939</v>
      </c>
      <c r="C324" s="1">
        <v>45855</v>
      </c>
      <c r="D324" s="3">
        <v>46220</v>
      </c>
      <c r="E324" s="5">
        <v>97</v>
      </c>
      <c r="F324" s="3">
        <v>45869</v>
      </c>
      <c r="G324">
        <v>69</v>
      </c>
      <c r="H324" s="1">
        <v>46064</v>
      </c>
    </row>
    <row r="325" spans="1:8" x14ac:dyDescent="0.25">
      <c r="A325" s="2">
        <v>323</v>
      </c>
      <c r="B325" t="s">
        <v>3627</v>
      </c>
      <c r="C325" s="1">
        <v>45855</v>
      </c>
      <c r="D325" s="3">
        <v>46220</v>
      </c>
      <c r="E325" s="5">
        <v>94.75</v>
      </c>
      <c r="F325" s="3">
        <v>45986</v>
      </c>
      <c r="G325">
        <v>89.75</v>
      </c>
      <c r="H325" s="1">
        <v>46219</v>
      </c>
    </row>
    <row r="326" spans="1:8" x14ac:dyDescent="0.25">
      <c r="A326" s="2">
        <v>324</v>
      </c>
      <c r="B326" t="s">
        <v>259</v>
      </c>
      <c r="C326" s="1">
        <v>45855</v>
      </c>
      <c r="D326" s="3">
        <v>46220</v>
      </c>
      <c r="E326" s="5">
        <v>101.37</v>
      </c>
      <c r="F326" s="3">
        <v>46022</v>
      </c>
      <c r="G326">
        <v>96.242599999999996</v>
      </c>
      <c r="H326" s="1">
        <v>45855</v>
      </c>
    </row>
    <row r="327" spans="1:8" x14ac:dyDescent="0.25">
      <c r="A327" s="2">
        <v>325</v>
      </c>
      <c r="B327" t="s">
        <v>1198</v>
      </c>
      <c r="C327" s="1">
        <v>45855</v>
      </c>
      <c r="D327" s="3">
        <v>46220</v>
      </c>
      <c r="E327" s="5">
        <v>94</v>
      </c>
      <c r="F327" s="3">
        <v>45856</v>
      </c>
      <c r="G327">
        <v>67</v>
      </c>
      <c r="H327" s="1">
        <v>46141</v>
      </c>
    </row>
    <row r="328" spans="1:8" x14ac:dyDescent="0.25">
      <c r="A328" s="2">
        <v>326</v>
      </c>
      <c r="B328" t="s">
        <v>3392</v>
      </c>
      <c r="C328" s="1">
        <v>45855</v>
      </c>
      <c r="D328" s="3">
        <v>46220</v>
      </c>
      <c r="E328" s="5">
        <v>91</v>
      </c>
      <c r="F328" s="3">
        <v>45929</v>
      </c>
      <c r="G328">
        <v>66.25</v>
      </c>
      <c r="H328" s="1">
        <v>46108</v>
      </c>
    </row>
    <row r="329" spans="1:8" x14ac:dyDescent="0.25">
      <c r="A329" s="2">
        <v>327</v>
      </c>
      <c r="B329" t="s">
        <v>2087</v>
      </c>
      <c r="C329" s="1">
        <v>45855</v>
      </c>
      <c r="D329" s="3">
        <v>46220</v>
      </c>
      <c r="E329" s="5">
        <v>85</v>
      </c>
      <c r="F329" s="3">
        <v>46157</v>
      </c>
      <c r="G329">
        <v>70</v>
      </c>
      <c r="H329" s="1">
        <v>46212</v>
      </c>
    </row>
    <row r="330" spans="1:8" x14ac:dyDescent="0.25">
      <c r="A330" s="2">
        <v>328</v>
      </c>
      <c r="B330" t="s">
        <v>1532</v>
      </c>
      <c r="C330" s="1">
        <v>45855</v>
      </c>
      <c r="D330" s="3">
        <v>46220</v>
      </c>
      <c r="E330" s="5">
        <v>100.3125</v>
      </c>
      <c r="F330" s="3">
        <v>46107</v>
      </c>
      <c r="G330">
        <v>70</v>
      </c>
      <c r="H330" s="1">
        <v>46052</v>
      </c>
    </row>
    <row r="331" spans="1:8" x14ac:dyDescent="0.25">
      <c r="A331" s="2">
        <v>329</v>
      </c>
      <c r="B331" t="s">
        <v>1530</v>
      </c>
      <c r="C331" s="1">
        <v>45855</v>
      </c>
      <c r="D331" s="3">
        <v>46220</v>
      </c>
      <c r="E331" s="5">
        <v>98.5</v>
      </c>
      <c r="F331" s="3">
        <v>45860</v>
      </c>
      <c r="G331">
        <v>76.5</v>
      </c>
      <c r="H331" s="1">
        <v>46055</v>
      </c>
    </row>
    <row r="332" spans="1:8" x14ac:dyDescent="0.25">
      <c r="A332" s="2">
        <v>330</v>
      </c>
      <c r="B332" t="s">
        <v>3358</v>
      </c>
      <c r="C332" s="1">
        <v>45855</v>
      </c>
      <c r="D332" s="3">
        <v>46220</v>
      </c>
      <c r="E332" s="5">
        <v>101.992</v>
      </c>
      <c r="F332" s="3">
        <v>45930</v>
      </c>
      <c r="G332">
        <v>101.992</v>
      </c>
      <c r="H332" s="1">
        <v>45930</v>
      </c>
    </row>
    <row r="333" spans="1:8" x14ac:dyDescent="0.25">
      <c r="A333" s="2">
        <v>331</v>
      </c>
      <c r="B333" t="s">
        <v>3604</v>
      </c>
      <c r="C333" s="1">
        <v>45855</v>
      </c>
      <c r="D333" s="3">
        <v>46220</v>
      </c>
      <c r="E333" s="5">
        <v>100.1875</v>
      </c>
      <c r="F333" s="3">
        <v>45859</v>
      </c>
      <c r="G333">
        <v>87</v>
      </c>
      <c r="H333" s="1">
        <v>46091</v>
      </c>
    </row>
    <row r="334" spans="1:8" x14ac:dyDescent="0.25">
      <c r="A334" s="2">
        <v>332</v>
      </c>
      <c r="B334" t="s">
        <v>465</v>
      </c>
      <c r="C334" s="1">
        <v>45855</v>
      </c>
      <c r="D334" s="3">
        <v>46220</v>
      </c>
      <c r="E334" s="5">
        <v>98.875</v>
      </c>
      <c r="F334" s="3">
        <v>45856</v>
      </c>
      <c r="G334">
        <v>74.25</v>
      </c>
      <c r="H334" s="1">
        <v>45979</v>
      </c>
    </row>
    <row r="335" spans="1:8" x14ac:dyDescent="0.25">
      <c r="A335" s="2">
        <v>333</v>
      </c>
      <c r="B335" t="s">
        <v>1193</v>
      </c>
      <c r="C335" s="1">
        <v>45855</v>
      </c>
      <c r="D335" s="3">
        <v>46220</v>
      </c>
      <c r="E335" s="5">
        <v>84.5</v>
      </c>
      <c r="F335" s="3">
        <v>46191</v>
      </c>
      <c r="G335">
        <v>39.5</v>
      </c>
      <c r="H335" s="1">
        <v>46042</v>
      </c>
    </row>
    <row r="336" spans="1:8" x14ac:dyDescent="0.25">
      <c r="A336" s="2">
        <v>334</v>
      </c>
      <c r="B336" t="s">
        <v>1221</v>
      </c>
      <c r="C336" s="1">
        <v>45855</v>
      </c>
      <c r="D336" s="3">
        <v>46220</v>
      </c>
      <c r="E336" s="5">
        <v>100.5</v>
      </c>
      <c r="F336" s="3">
        <v>46034</v>
      </c>
      <c r="G336">
        <v>90.125</v>
      </c>
      <c r="H336" s="1">
        <v>46211</v>
      </c>
    </row>
    <row r="337" spans="1:8" x14ac:dyDescent="0.25">
      <c r="A337" s="2">
        <v>335</v>
      </c>
      <c r="B337" t="s">
        <v>1740</v>
      </c>
      <c r="C337" s="1">
        <v>45855</v>
      </c>
      <c r="D337" s="3">
        <v>46220</v>
      </c>
      <c r="E337" s="5">
        <v>98.75</v>
      </c>
      <c r="F337" s="3">
        <v>45880</v>
      </c>
      <c r="G337">
        <v>72.5</v>
      </c>
      <c r="H337" s="1">
        <v>46065</v>
      </c>
    </row>
    <row r="338" spans="1:8" x14ac:dyDescent="0.25">
      <c r="A338" s="2">
        <v>336</v>
      </c>
      <c r="B338" t="s">
        <v>1910</v>
      </c>
      <c r="C338" s="1">
        <v>45855</v>
      </c>
      <c r="D338" s="3">
        <v>46220</v>
      </c>
      <c r="E338" s="5">
        <v>97.875</v>
      </c>
      <c r="F338" s="3">
        <v>45856</v>
      </c>
      <c r="G338">
        <v>55</v>
      </c>
      <c r="H338" s="1">
        <v>46210</v>
      </c>
    </row>
    <row r="339" spans="1:8" x14ac:dyDescent="0.25">
      <c r="A339" s="2">
        <v>337</v>
      </c>
      <c r="B339" t="s">
        <v>1736</v>
      </c>
      <c r="C339" s="1">
        <v>45855</v>
      </c>
      <c r="D339" s="3">
        <v>46220</v>
      </c>
      <c r="E339" s="5">
        <v>91</v>
      </c>
      <c r="F339" s="3">
        <v>45855</v>
      </c>
      <c r="G339">
        <v>62.5</v>
      </c>
      <c r="H339" s="1">
        <v>46184</v>
      </c>
    </row>
    <row r="340" spans="1:8" x14ac:dyDescent="0.25">
      <c r="A340" s="2">
        <v>338</v>
      </c>
      <c r="B340" t="s">
        <v>1200</v>
      </c>
      <c r="C340" s="1">
        <v>45855</v>
      </c>
      <c r="D340" s="3">
        <v>46220</v>
      </c>
      <c r="E340" s="5">
        <v>99.375</v>
      </c>
      <c r="F340" s="3">
        <v>45855</v>
      </c>
      <c r="G340">
        <v>76.25</v>
      </c>
      <c r="H340" s="1">
        <v>46057</v>
      </c>
    </row>
    <row r="341" spans="1:8" x14ac:dyDescent="0.25">
      <c r="A341" s="2">
        <v>339</v>
      </c>
      <c r="B341" t="s">
        <v>95</v>
      </c>
      <c r="C341" s="1">
        <v>45855</v>
      </c>
      <c r="D341" s="3">
        <v>46220</v>
      </c>
      <c r="E341" s="5">
        <v>98.25</v>
      </c>
      <c r="F341" s="3">
        <v>45855</v>
      </c>
      <c r="G341">
        <v>84.875</v>
      </c>
      <c r="H341" s="1">
        <v>46077</v>
      </c>
    </row>
    <row r="342" spans="1:8" x14ac:dyDescent="0.25">
      <c r="A342" s="2">
        <v>340</v>
      </c>
      <c r="B342" t="s">
        <v>919</v>
      </c>
      <c r="C342" s="1">
        <v>45855</v>
      </c>
      <c r="D342" s="3">
        <v>46220</v>
      </c>
      <c r="E342" s="5">
        <v>92.3125</v>
      </c>
      <c r="F342" s="3">
        <v>45867</v>
      </c>
      <c r="G342">
        <v>82</v>
      </c>
      <c r="H342" s="1">
        <v>46111</v>
      </c>
    </row>
    <row r="343" spans="1:8" x14ac:dyDescent="0.25">
      <c r="A343" s="2">
        <v>341</v>
      </c>
      <c r="B343" t="s">
        <v>2606</v>
      </c>
      <c r="C343" s="1">
        <v>45855</v>
      </c>
      <c r="D343" s="3">
        <v>46220</v>
      </c>
      <c r="E343" s="5">
        <v>100</v>
      </c>
      <c r="F343" s="3">
        <v>46036</v>
      </c>
      <c r="G343">
        <v>91.5</v>
      </c>
      <c r="H343" s="1">
        <v>46084</v>
      </c>
    </row>
    <row r="344" spans="1:8" x14ac:dyDescent="0.25">
      <c r="A344" s="2">
        <v>342</v>
      </c>
      <c r="B344" t="s">
        <v>2604</v>
      </c>
      <c r="C344" s="1">
        <v>45855</v>
      </c>
      <c r="D344" s="3">
        <v>46220</v>
      </c>
      <c r="E344" s="5">
        <v>100</v>
      </c>
      <c r="F344" s="3">
        <v>46036</v>
      </c>
      <c r="G344">
        <v>91.5</v>
      </c>
      <c r="H344" s="1">
        <v>46084</v>
      </c>
    </row>
    <row r="345" spans="1:8" x14ac:dyDescent="0.25">
      <c r="A345" s="2">
        <v>343</v>
      </c>
      <c r="B345" t="s">
        <v>254</v>
      </c>
      <c r="C345" s="1">
        <v>45855</v>
      </c>
      <c r="D345" s="3">
        <v>46220</v>
      </c>
      <c r="E345" s="5">
        <v>103</v>
      </c>
      <c r="F345" s="3">
        <v>45891</v>
      </c>
      <c r="G345">
        <v>100.5</v>
      </c>
      <c r="H345" s="1">
        <v>45936</v>
      </c>
    </row>
    <row r="346" spans="1:8" x14ac:dyDescent="0.25">
      <c r="A346" s="2">
        <v>344</v>
      </c>
      <c r="B346" t="s">
        <v>352</v>
      </c>
      <c r="C346" s="1">
        <v>45855</v>
      </c>
      <c r="D346" s="3">
        <v>46220</v>
      </c>
      <c r="E346" s="5">
        <v>95.75</v>
      </c>
      <c r="F346" s="3">
        <v>46142</v>
      </c>
      <c r="G346">
        <v>87.25</v>
      </c>
      <c r="H346" s="1">
        <v>46022</v>
      </c>
    </row>
    <row r="347" spans="1:8" x14ac:dyDescent="0.25">
      <c r="A347" s="2">
        <v>345</v>
      </c>
      <c r="B347" t="s">
        <v>1151</v>
      </c>
      <c r="C347" s="1">
        <v>45855</v>
      </c>
      <c r="D347" s="3">
        <v>46220</v>
      </c>
      <c r="E347" s="5">
        <v>100.125</v>
      </c>
      <c r="F347" s="3">
        <v>45937</v>
      </c>
      <c r="G347">
        <v>80.5</v>
      </c>
      <c r="H347" s="1">
        <v>45877</v>
      </c>
    </row>
    <row r="348" spans="1:8" x14ac:dyDescent="0.25">
      <c r="A348" s="2">
        <v>346</v>
      </c>
      <c r="B348" t="s">
        <v>1590</v>
      </c>
      <c r="C348" s="1">
        <v>45855</v>
      </c>
      <c r="D348" s="3">
        <v>46220</v>
      </c>
      <c r="E348" s="5">
        <v>100.75</v>
      </c>
      <c r="F348" s="3">
        <v>45919</v>
      </c>
      <c r="G348">
        <v>98</v>
      </c>
      <c r="H348" s="1">
        <v>45973</v>
      </c>
    </row>
    <row r="349" spans="1:8" x14ac:dyDescent="0.25">
      <c r="A349" s="2">
        <v>347</v>
      </c>
      <c r="B349" t="s">
        <v>1588</v>
      </c>
      <c r="C349" s="1">
        <v>45855</v>
      </c>
      <c r="D349" s="3">
        <v>46220</v>
      </c>
      <c r="E349" s="5">
        <v>83.25</v>
      </c>
      <c r="F349" s="3">
        <v>45908</v>
      </c>
      <c r="G349">
        <v>51.5</v>
      </c>
      <c r="H349" s="1">
        <v>46170</v>
      </c>
    </row>
    <row r="350" spans="1:8" x14ac:dyDescent="0.25">
      <c r="A350" s="2">
        <v>348</v>
      </c>
      <c r="B350" t="s">
        <v>1985</v>
      </c>
      <c r="C350" s="1">
        <v>45855</v>
      </c>
      <c r="D350" s="3">
        <v>46220</v>
      </c>
      <c r="E350" s="5">
        <v>103</v>
      </c>
      <c r="F350" s="3">
        <v>46029</v>
      </c>
      <c r="G350">
        <v>94.75</v>
      </c>
      <c r="H350" s="1">
        <v>46097</v>
      </c>
    </row>
    <row r="351" spans="1:8" x14ac:dyDescent="0.25">
      <c r="A351" s="2">
        <v>349</v>
      </c>
      <c r="B351" t="s">
        <v>3456</v>
      </c>
      <c r="C351" s="1">
        <v>45855</v>
      </c>
      <c r="D351" s="3">
        <v>46220</v>
      </c>
      <c r="E351" s="5">
        <v>98.356200000000001</v>
      </c>
      <c r="F351" s="3">
        <v>46022</v>
      </c>
      <c r="G351">
        <v>89.6845</v>
      </c>
      <c r="H351" s="1">
        <v>46112</v>
      </c>
    </row>
    <row r="352" spans="1:8" x14ac:dyDescent="0.25">
      <c r="A352" s="2">
        <v>350</v>
      </c>
      <c r="B352" t="s">
        <v>1885</v>
      </c>
      <c r="C352" s="1">
        <v>45855</v>
      </c>
      <c r="D352" s="3">
        <v>46220</v>
      </c>
      <c r="E352" s="5">
        <v>100</v>
      </c>
      <c r="F352" s="3">
        <v>45855</v>
      </c>
      <c r="G352">
        <v>80</v>
      </c>
      <c r="H352" s="1">
        <v>46097</v>
      </c>
    </row>
    <row r="353" spans="1:8" x14ac:dyDescent="0.25">
      <c r="A353" s="2">
        <v>351</v>
      </c>
      <c r="B353" t="s">
        <v>3623</v>
      </c>
      <c r="C353" s="1">
        <v>45855</v>
      </c>
      <c r="D353" s="3">
        <v>46220</v>
      </c>
      <c r="E353" s="5">
        <v>100.1875</v>
      </c>
      <c r="F353" s="3">
        <v>45869</v>
      </c>
      <c r="G353">
        <v>90</v>
      </c>
      <c r="H353" s="1">
        <v>46217</v>
      </c>
    </row>
    <row r="354" spans="1:8" x14ac:dyDescent="0.25">
      <c r="A354" s="2">
        <v>352</v>
      </c>
      <c r="B354" t="s">
        <v>3619</v>
      </c>
      <c r="C354" s="1">
        <v>45855</v>
      </c>
      <c r="D354" s="3">
        <v>46220</v>
      </c>
      <c r="E354" s="5">
        <v>101</v>
      </c>
      <c r="F354" s="3">
        <v>45916</v>
      </c>
      <c r="G354">
        <v>91</v>
      </c>
      <c r="H354" s="1">
        <v>46077</v>
      </c>
    </row>
    <row r="355" spans="1:8" x14ac:dyDescent="0.25">
      <c r="A355" s="2">
        <v>353</v>
      </c>
      <c r="B355" t="s">
        <v>124</v>
      </c>
      <c r="C355" s="1">
        <v>45855</v>
      </c>
      <c r="D355" s="3">
        <v>46220</v>
      </c>
      <c r="E355" s="5">
        <v>100.75</v>
      </c>
      <c r="F355" s="3">
        <v>46136</v>
      </c>
      <c r="G355">
        <v>98</v>
      </c>
      <c r="H355" s="1">
        <v>46196</v>
      </c>
    </row>
    <row r="356" spans="1:8" x14ac:dyDescent="0.25">
      <c r="A356" s="2">
        <v>354</v>
      </c>
      <c r="B356" t="s">
        <v>1154</v>
      </c>
      <c r="C356" s="1">
        <v>45855</v>
      </c>
      <c r="D356" s="3">
        <v>46220</v>
      </c>
      <c r="E356" s="5">
        <v>100.063</v>
      </c>
      <c r="F356" s="3">
        <v>45855</v>
      </c>
      <c r="G356">
        <v>59.5</v>
      </c>
      <c r="H356" s="1">
        <v>46091</v>
      </c>
    </row>
    <row r="357" spans="1:8" x14ac:dyDescent="0.25">
      <c r="A357" s="2">
        <v>355</v>
      </c>
      <c r="B357" t="s">
        <v>2002</v>
      </c>
      <c r="C357" s="1">
        <v>45855</v>
      </c>
      <c r="D357" s="3">
        <v>46220</v>
      </c>
      <c r="E357" s="5">
        <v>102.25</v>
      </c>
      <c r="F357" s="3">
        <v>45874</v>
      </c>
      <c r="G357">
        <v>71</v>
      </c>
      <c r="H357" s="1">
        <v>46014</v>
      </c>
    </row>
    <row r="358" spans="1:8" x14ac:dyDescent="0.25">
      <c r="A358" s="2">
        <v>356</v>
      </c>
      <c r="B358" t="s">
        <v>2001</v>
      </c>
      <c r="C358" s="1">
        <v>45855</v>
      </c>
      <c r="D358" s="3">
        <v>46220</v>
      </c>
      <c r="E358" s="5">
        <v>97.5</v>
      </c>
      <c r="F358" s="3">
        <v>46071</v>
      </c>
      <c r="G358">
        <v>60</v>
      </c>
      <c r="H358" s="1">
        <v>46030</v>
      </c>
    </row>
    <row r="359" spans="1:8" x14ac:dyDescent="0.25">
      <c r="A359" s="2">
        <v>357</v>
      </c>
      <c r="B359" t="s">
        <v>3329</v>
      </c>
      <c r="C359" s="1">
        <v>45855</v>
      </c>
      <c r="D359" s="3">
        <v>46220</v>
      </c>
      <c r="E359" s="5">
        <v>100</v>
      </c>
      <c r="F359" s="3">
        <v>45859</v>
      </c>
      <c r="G359">
        <v>83.5</v>
      </c>
      <c r="H359" s="1">
        <v>46168</v>
      </c>
    </row>
    <row r="360" spans="1:8" x14ac:dyDescent="0.25">
      <c r="A360" s="2">
        <v>358</v>
      </c>
      <c r="B360" t="s">
        <v>1019</v>
      </c>
      <c r="C360" s="1">
        <v>45855</v>
      </c>
      <c r="D360" s="3">
        <v>46220</v>
      </c>
      <c r="E360" s="5">
        <v>95</v>
      </c>
      <c r="F360" s="3">
        <v>45861</v>
      </c>
      <c r="G360">
        <v>84</v>
      </c>
      <c r="H360" s="1">
        <v>46080</v>
      </c>
    </row>
    <row r="361" spans="1:8" x14ac:dyDescent="0.25">
      <c r="A361" s="2">
        <v>359</v>
      </c>
      <c r="B361" t="s">
        <v>1017</v>
      </c>
      <c r="C361" s="1">
        <v>45855</v>
      </c>
      <c r="D361" s="3">
        <v>46220</v>
      </c>
      <c r="E361" s="5">
        <v>94.5</v>
      </c>
      <c r="F361" s="3">
        <v>45861</v>
      </c>
      <c r="G361">
        <v>85</v>
      </c>
      <c r="H361" s="1">
        <v>46084</v>
      </c>
    </row>
    <row r="362" spans="1:8" x14ac:dyDescent="0.25">
      <c r="A362" s="2">
        <v>360</v>
      </c>
      <c r="B362" t="s">
        <v>3194</v>
      </c>
      <c r="C362" s="1">
        <v>45855</v>
      </c>
      <c r="D362" s="3">
        <v>46220</v>
      </c>
      <c r="E362" s="5">
        <v>100.625</v>
      </c>
      <c r="F362" s="3">
        <v>45862</v>
      </c>
      <c r="G362">
        <v>94.5</v>
      </c>
      <c r="H362" s="1">
        <v>46220</v>
      </c>
    </row>
    <row r="363" spans="1:8" x14ac:dyDescent="0.25">
      <c r="A363" s="2">
        <v>361</v>
      </c>
      <c r="B363" t="s">
        <v>280</v>
      </c>
      <c r="C363" s="1">
        <v>45855</v>
      </c>
      <c r="D363" s="3">
        <v>46220</v>
      </c>
      <c r="E363" s="5">
        <v>101.125</v>
      </c>
      <c r="F363" s="3">
        <v>46043</v>
      </c>
      <c r="G363">
        <v>87.5</v>
      </c>
      <c r="H363" s="1">
        <v>46090</v>
      </c>
    </row>
    <row r="364" spans="1:8" x14ac:dyDescent="0.25">
      <c r="A364" s="2">
        <v>362</v>
      </c>
      <c r="B364" t="s">
        <v>278</v>
      </c>
      <c r="C364" s="1">
        <v>45855</v>
      </c>
      <c r="D364" s="3">
        <v>46220</v>
      </c>
      <c r="E364" s="5">
        <v>96.5</v>
      </c>
      <c r="F364" s="3">
        <v>45968</v>
      </c>
      <c r="G364">
        <v>82</v>
      </c>
      <c r="H364" s="1">
        <v>46084</v>
      </c>
    </row>
    <row r="365" spans="1:8" x14ac:dyDescent="0.25">
      <c r="A365" s="2">
        <v>363</v>
      </c>
      <c r="B365" t="s">
        <v>3503</v>
      </c>
      <c r="C365" s="1">
        <v>45855</v>
      </c>
      <c r="D365" s="3">
        <v>46220</v>
      </c>
      <c r="E365" s="5">
        <v>99.625</v>
      </c>
      <c r="F365" s="3">
        <v>45859</v>
      </c>
      <c r="G365">
        <v>79.81</v>
      </c>
      <c r="H365" s="1">
        <v>45882</v>
      </c>
    </row>
    <row r="366" spans="1:8" x14ac:dyDescent="0.25">
      <c r="A366" s="2">
        <v>364</v>
      </c>
      <c r="B366" t="s">
        <v>1641</v>
      </c>
      <c r="C366" s="1">
        <v>45855</v>
      </c>
      <c r="D366" s="3">
        <v>46220</v>
      </c>
      <c r="E366" s="5">
        <v>99.75</v>
      </c>
      <c r="F366" s="3">
        <v>45855</v>
      </c>
      <c r="G366">
        <v>75</v>
      </c>
      <c r="H366" s="1">
        <v>46210</v>
      </c>
    </row>
    <row r="367" spans="1:8" x14ac:dyDescent="0.25">
      <c r="A367" s="2">
        <v>365</v>
      </c>
      <c r="B367" t="s">
        <v>1639</v>
      </c>
      <c r="C367" s="1">
        <v>45855</v>
      </c>
      <c r="D367" s="3">
        <v>46220</v>
      </c>
      <c r="E367" s="5">
        <v>98</v>
      </c>
      <c r="F367" s="3">
        <v>45968</v>
      </c>
      <c r="G367">
        <v>74</v>
      </c>
      <c r="H367" s="1">
        <v>46209</v>
      </c>
    </row>
    <row r="368" spans="1:8" x14ac:dyDescent="0.25">
      <c r="A368" s="2">
        <v>366</v>
      </c>
      <c r="B368" t="s">
        <v>1932</v>
      </c>
      <c r="C368" s="1">
        <v>45855</v>
      </c>
      <c r="D368" s="3">
        <v>46220</v>
      </c>
      <c r="E368" s="5">
        <v>99.5</v>
      </c>
      <c r="F368" s="3">
        <v>46077</v>
      </c>
      <c r="G368">
        <v>91.25</v>
      </c>
      <c r="H368" s="1">
        <v>46100</v>
      </c>
    </row>
    <row r="369" spans="1:8" x14ac:dyDescent="0.25">
      <c r="A369" s="2">
        <v>367</v>
      </c>
      <c r="B369" t="s">
        <v>1653</v>
      </c>
      <c r="C369" s="1">
        <v>45855</v>
      </c>
      <c r="D369" s="3">
        <v>46220</v>
      </c>
      <c r="E369" s="5">
        <v>100.5</v>
      </c>
      <c r="F369" s="3">
        <v>45855</v>
      </c>
      <c r="G369">
        <v>82.75</v>
      </c>
      <c r="H369" s="1">
        <v>46135</v>
      </c>
    </row>
    <row r="370" spans="1:8" x14ac:dyDescent="0.25">
      <c r="A370" s="2">
        <v>368</v>
      </c>
      <c r="B370" t="s">
        <v>1950</v>
      </c>
      <c r="C370" s="1">
        <v>45855</v>
      </c>
      <c r="D370" s="3">
        <v>46220</v>
      </c>
      <c r="E370" s="5">
        <v>96.25</v>
      </c>
      <c r="F370" s="3">
        <v>45922</v>
      </c>
      <c r="G370">
        <v>92.75</v>
      </c>
      <c r="H370" s="1">
        <v>46083</v>
      </c>
    </row>
    <row r="371" spans="1:8" x14ac:dyDescent="0.25">
      <c r="A371" s="2">
        <v>369</v>
      </c>
      <c r="B371" t="s">
        <v>453</v>
      </c>
      <c r="C371" s="1">
        <v>45855</v>
      </c>
      <c r="D371" s="3">
        <v>46220</v>
      </c>
      <c r="E371" s="5">
        <v>98</v>
      </c>
      <c r="F371" s="3">
        <v>46029</v>
      </c>
      <c r="G371">
        <v>83</v>
      </c>
      <c r="H371" s="1">
        <v>46183</v>
      </c>
    </row>
    <row r="372" spans="1:8" x14ac:dyDescent="0.25">
      <c r="A372" s="2">
        <v>370</v>
      </c>
      <c r="B372" t="s">
        <v>3589</v>
      </c>
      <c r="C372" s="1">
        <v>45855</v>
      </c>
      <c r="D372" s="3">
        <v>46220</v>
      </c>
      <c r="E372" s="5">
        <v>102.5</v>
      </c>
      <c r="F372" s="3">
        <v>46006</v>
      </c>
      <c r="G372">
        <v>99</v>
      </c>
      <c r="H372" s="1">
        <v>45861</v>
      </c>
    </row>
    <row r="373" spans="1:8" x14ac:dyDescent="0.25">
      <c r="A373" s="2">
        <v>371</v>
      </c>
      <c r="B373" t="s">
        <v>3587</v>
      </c>
      <c r="C373" s="1">
        <v>45855</v>
      </c>
      <c r="D373" s="3">
        <v>46220</v>
      </c>
      <c r="E373" s="5">
        <v>83.25</v>
      </c>
      <c r="F373" s="3">
        <v>45859</v>
      </c>
      <c r="G373">
        <v>52.125</v>
      </c>
      <c r="H373" s="1">
        <v>46161</v>
      </c>
    </row>
    <row r="374" spans="1:8" x14ac:dyDescent="0.25">
      <c r="A374" s="2">
        <v>372</v>
      </c>
      <c r="B374" t="s">
        <v>286</v>
      </c>
      <c r="C374" s="1">
        <v>45855</v>
      </c>
      <c r="D374" s="3">
        <v>46220</v>
      </c>
      <c r="E374" s="5">
        <v>100.813</v>
      </c>
      <c r="F374" s="3">
        <v>45855</v>
      </c>
      <c r="G374">
        <v>75</v>
      </c>
      <c r="H374" s="1">
        <v>46183</v>
      </c>
    </row>
    <row r="375" spans="1:8" x14ac:dyDescent="0.25">
      <c r="A375" s="2">
        <v>373</v>
      </c>
      <c r="B375" t="s">
        <v>285</v>
      </c>
      <c r="C375" s="1">
        <v>45855</v>
      </c>
      <c r="D375" s="3">
        <v>46220</v>
      </c>
      <c r="E375" s="5">
        <v>100.875</v>
      </c>
      <c r="F375" s="3">
        <v>45859</v>
      </c>
      <c r="G375">
        <v>57.5</v>
      </c>
      <c r="H375" s="1">
        <v>46182</v>
      </c>
    </row>
    <row r="376" spans="1:8" x14ac:dyDescent="0.25">
      <c r="A376" s="2">
        <v>374</v>
      </c>
      <c r="B376" t="s">
        <v>2013</v>
      </c>
      <c r="C376" s="1">
        <v>45855</v>
      </c>
      <c r="D376" s="3">
        <v>46220</v>
      </c>
      <c r="E376" s="5">
        <v>101</v>
      </c>
      <c r="F376" s="3">
        <v>46029</v>
      </c>
      <c r="G376">
        <v>84.5</v>
      </c>
      <c r="H376" s="1">
        <v>46219</v>
      </c>
    </row>
    <row r="377" spans="1:8" x14ac:dyDescent="0.25">
      <c r="A377" s="2">
        <v>375</v>
      </c>
      <c r="B377" t="s">
        <v>950</v>
      </c>
      <c r="C377" s="1">
        <v>45855</v>
      </c>
      <c r="D377" s="3">
        <v>46220</v>
      </c>
      <c r="E377" s="5">
        <v>100.375</v>
      </c>
      <c r="F377" s="3">
        <v>46003</v>
      </c>
      <c r="G377">
        <v>82</v>
      </c>
      <c r="H377" s="1">
        <v>46217</v>
      </c>
    </row>
    <row r="378" spans="1:8" x14ac:dyDescent="0.25">
      <c r="A378" s="2">
        <v>376</v>
      </c>
      <c r="B378" t="s">
        <v>946</v>
      </c>
      <c r="C378" s="1">
        <v>45855</v>
      </c>
      <c r="D378" s="3">
        <v>46220</v>
      </c>
      <c r="E378" s="5">
        <v>99.375</v>
      </c>
      <c r="F378" s="3">
        <v>45922</v>
      </c>
      <c r="G378">
        <v>90.875</v>
      </c>
      <c r="H378" s="1">
        <v>46217</v>
      </c>
    </row>
    <row r="379" spans="1:8" x14ac:dyDescent="0.25">
      <c r="A379" s="2">
        <v>377</v>
      </c>
      <c r="B379" t="s">
        <v>3357</v>
      </c>
      <c r="C379" s="1">
        <v>45855</v>
      </c>
      <c r="D379" s="3">
        <v>46220</v>
      </c>
      <c r="E379" s="5">
        <v>102.125</v>
      </c>
      <c r="F379" s="3">
        <v>45882</v>
      </c>
      <c r="G379">
        <v>101.5</v>
      </c>
      <c r="H379" s="1">
        <v>45855</v>
      </c>
    </row>
    <row r="380" spans="1:8" x14ac:dyDescent="0.25">
      <c r="A380" s="2">
        <v>378</v>
      </c>
      <c r="B380" t="s">
        <v>158</v>
      </c>
      <c r="C380" s="1">
        <v>45855</v>
      </c>
      <c r="D380" s="3">
        <v>46220</v>
      </c>
      <c r="E380" s="5">
        <v>99.5</v>
      </c>
      <c r="F380" s="3">
        <v>45951</v>
      </c>
      <c r="G380">
        <v>95.5</v>
      </c>
      <c r="H380" s="1">
        <v>46094</v>
      </c>
    </row>
    <row r="381" spans="1:8" x14ac:dyDescent="0.25">
      <c r="A381" s="2">
        <v>379</v>
      </c>
      <c r="B381" t="s">
        <v>323</v>
      </c>
      <c r="C381" s="1">
        <v>45855</v>
      </c>
      <c r="D381" s="3">
        <v>46220</v>
      </c>
      <c r="E381" s="5">
        <v>66.5</v>
      </c>
      <c r="F381" s="3">
        <v>46157</v>
      </c>
      <c r="G381">
        <v>39</v>
      </c>
      <c r="H381" s="1">
        <v>46045</v>
      </c>
    </row>
    <row r="382" spans="1:8" x14ac:dyDescent="0.25">
      <c r="A382" s="2">
        <v>380</v>
      </c>
      <c r="B382" t="s">
        <v>1730</v>
      </c>
      <c r="C382" s="1">
        <v>45855</v>
      </c>
      <c r="D382" s="3">
        <v>46220</v>
      </c>
      <c r="E382" s="5">
        <v>101.875</v>
      </c>
      <c r="F382" s="3">
        <v>45959</v>
      </c>
      <c r="G382">
        <v>98</v>
      </c>
      <c r="H382" s="1">
        <v>46112</v>
      </c>
    </row>
    <row r="383" spans="1:8" x14ac:dyDescent="0.25">
      <c r="A383" s="2">
        <v>381</v>
      </c>
      <c r="B383" t="s">
        <v>1728</v>
      </c>
      <c r="C383" s="1">
        <v>45855</v>
      </c>
      <c r="D383" s="3">
        <v>46220</v>
      </c>
      <c r="E383" s="5">
        <v>84</v>
      </c>
      <c r="F383" s="3">
        <v>46202</v>
      </c>
      <c r="G383">
        <v>63.5</v>
      </c>
      <c r="H383" s="1">
        <v>46107</v>
      </c>
    </row>
    <row r="384" spans="1:8" x14ac:dyDescent="0.25">
      <c r="A384" s="2">
        <v>382</v>
      </c>
      <c r="B384" t="s">
        <v>1127</v>
      </c>
      <c r="C384" s="1">
        <v>45855</v>
      </c>
      <c r="D384" s="3">
        <v>46220</v>
      </c>
      <c r="E384" s="5">
        <v>97.375</v>
      </c>
      <c r="F384" s="3">
        <v>45855</v>
      </c>
      <c r="G384">
        <v>90.5</v>
      </c>
      <c r="H384" s="1">
        <v>46057</v>
      </c>
    </row>
    <row r="385" spans="1:8" x14ac:dyDescent="0.25">
      <c r="A385" s="2">
        <v>383</v>
      </c>
      <c r="B385" t="s">
        <v>2412</v>
      </c>
      <c r="C385" s="1">
        <v>45855</v>
      </c>
      <c r="D385" s="3">
        <v>46220</v>
      </c>
      <c r="E385" s="5">
        <v>101.875</v>
      </c>
      <c r="F385" s="3">
        <v>46126</v>
      </c>
      <c r="G385">
        <v>101.3125</v>
      </c>
      <c r="H385" s="1">
        <v>46177</v>
      </c>
    </row>
    <row r="386" spans="1:8" x14ac:dyDescent="0.25">
      <c r="A386" s="2">
        <v>384</v>
      </c>
      <c r="B386" t="s">
        <v>1903</v>
      </c>
      <c r="C386" s="1">
        <v>45855</v>
      </c>
      <c r="D386" s="3">
        <v>46220</v>
      </c>
      <c r="E386" s="5">
        <v>102.25</v>
      </c>
      <c r="F386" s="3">
        <v>45979</v>
      </c>
      <c r="G386">
        <v>95.0625</v>
      </c>
      <c r="H386" s="1">
        <v>46097</v>
      </c>
    </row>
    <row r="387" spans="1:8" x14ac:dyDescent="0.25">
      <c r="A387" s="2">
        <v>385</v>
      </c>
      <c r="B387" t="s">
        <v>1901</v>
      </c>
      <c r="C387" s="1">
        <v>45855</v>
      </c>
      <c r="D387" s="3">
        <v>46220</v>
      </c>
      <c r="E387" s="5">
        <v>99.25</v>
      </c>
      <c r="F387" s="3">
        <v>46134</v>
      </c>
      <c r="G387">
        <v>93.5</v>
      </c>
      <c r="H387" s="1">
        <v>45876</v>
      </c>
    </row>
    <row r="388" spans="1:8" x14ac:dyDescent="0.25">
      <c r="A388" s="2">
        <v>386</v>
      </c>
      <c r="B388" t="s">
        <v>1672</v>
      </c>
      <c r="C388" s="1">
        <v>45855</v>
      </c>
      <c r="D388" s="3">
        <v>46220</v>
      </c>
      <c r="E388" s="5">
        <v>102.125</v>
      </c>
      <c r="F388" s="3">
        <v>46216</v>
      </c>
      <c r="G388">
        <v>98.5</v>
      </c>
      <c r="H388" s="1">
        <v>46009</v>
      </c>
    </row>
    <row r="389" spans="1:8" x14ac:dyDescent="0.25">
      <c r="A389" s="2">
        <v>387</v>
      </c>
      <c r="B389" t="s">
        <v>1670</v>
      </c>
      <c r="C389" s="1">
        <v>45855</v>
      </c>
      <c r="D389" s="3">
        <v>46220</v>
      </c>
      <c r="E389" s="5">
        <v>76.75</v>
      </c>
      <c r="F389" s="3">
        <v>45973</v>
      </c>
      <c r="G389">
        <v>52.75</v>
      </c>
      <c r="H389" s="1">
        <v>46114</v>
      </c>
    </row>
    <row r="390" spans="1:8" x14ac:dyDescent="0.25">
      <c r="A390" s="2">
        <v>388</v>
      </c>
      <c r="B390" t="s">
        <v>1669</v>
      </c>
      <c r="C390" s="1">
        <v>45855</v>
      </c>
      <c r="D390" s="3">
        <v>46220</v>
      </c>
      <c r="E390" s="5">
        <v>57</v>
      </c>
      <c r="F390" s="3">
        <v>45902</v>
      </c>
      <c r="G390">
        <v>17.5</v>
      </c>
      <c r="H390" s="1">
        <v>46099</v>
      </c>
    </row>
    <row r="391" spans="1:8" x14ac:dyDescent="0.25">
      <c r="A391" s="2">
        <v>389</v>
      </c>
      <c r="B391" t="s">
        <v>3585</v>
      </c>
      <c r="C391" s="1">
        <v>45855</v>
      </c>
      <c r="D391" s="3">
        <v>46220</v>
      </c>
      <c r="E391" s="5">
        <v>47.5</v>
      </c>
      <c r="F391" s="3">
        <v>46097</v>
      </c>
      <c r="G391">
        <v>47.5</v>
      </c>
      <c r="H391" s="1">
        <v>46097</v>
      </c>
    </row>
    <row r="392" spans="1:8" x14ac:dyDescent="0.25">
      <c r="A392" s="2">
        <v>390</v>
      </c>
      <c r="B392" t="s">
        <v>3583</v>
      </c>
      <c r="C392" s="1">
        <v>45855</v>
      </c>
      <c r="D392" s="3">
        <v>46220</v>
      </c>
      <c r="E392" s="5">
        <v>32.5</v>
      </c>
      <c r="F392" s="3">
        <v>46097</v>
      </c>
      <c r="G392">
        <v>32.5</v>
      </c>
      <c r="H392" s="1">
        <v>46097</v>
      </c>
    </row>
    <row r="393" spans="1:8" x14ac:dyDescent="0.25">
      <c r="A393" s="2">
        <v>391</v>
      </c>
      <c r="B393" t="s">
        <v>3550</v>
      </c>
      <c r="C393" s="1">
        <v>45855</v>
      </c>
      <c r="D393" s="3">
        <v>46220</v>
      </c>
      <c r="E393" s="5">
        <v>102.25</v>
      </c>
      <c r="F393" s="3">
        <v>45957</v>
      </c>
      <c r="G393">
        <v>99</v>
      </c>
      <c r="H393" s="1">
        <v>46134</v>
      </c>
    </row>
    <row r="394" spans="1:8" x14ac:dyDescent="0.25">
      <c r="A394" s="2">
        <v>392</v>
      </c>
      <c r="B394" t="s">
        <v>3548</v>
      </c>
      <c r="C394" s="1">
        <v>45855</v>
      </c>
      <c r="D394" s="3">
        <v>46220</v>
      </c>
      <c r="E394" s="5">
        <v>102</v>
      </c>
      <c r="F394" s="3">
        <v>46010</v>
      </c>
      <c r="G394">
        <v>98</v>
      </c>
      <c r="H394" s="1">
        <v>45876</v>
      </c>
    </row>
    <row r="395" spans="1:8" x14ac:dyDescent="0.25">
      <c r="A395" s="2">
        <v>393</v>
      </c>
      <c r="B395" t="s">
        <v>3546</v>
      </c>
      <c r="C395" s="1">
        <v>45855</v>
      </c>
      <c r="D395" s="3">
        <v>46220</v>
      </c>
      <c r="E395" s="5">
        <v>57.5</v>
      </c>
      <c r="F395" s="3">
        <v>45862</v>
      </c>
      <c r="G395">
        <v>39.119999999999997</v>
      </c>
      <c r="H395" s="1">
        <v>46154</v>
      </c>
    </row>
    <row r="396" spans="1:8" x14ac:dyDescent="0.25">
      <c r="A396" s="2">
        <v>394</v>
      </c>
      <c r="B396" t="s">
        <v>3544</v>
      </c>
      <c r="C396" s="1">
        <v>45855</v>
      </c>
      <c r="D396" s="3">
        <v>46220</v>
      </c>
      <c r="E396" s="5">
        <v>56.5</v>
      </c>
      <c r="F396" s="3">
        <v>45859</v>
      </c>
      <c r="G396">
        <v>38.75</v>
      </c>
      <c r="H396" s="1">
        <v>46157</v>
      </c>
    </row>
    <row r="397" spans="1:8" x14ac:dyDescent="0.25">
      <c r="A397" s="2">
        <v>395</v>
      </c>
      <c r="B397" t="s">
        <v>3542</v>
      </c>
      <c r="C397" s="1">
        <v>45855</v>
      </c>
      <c r="D397" s="3">
        <v>46220</v>
      </c>
      <c r="E397" s="5">
        <v>57.5</v>
      </c>
      <c r="F397" s="3">
        <v>45862</v>
      </c>
      <c r="G397">
        <v>36</v>
      </c>
      <c r="H397" s="1">
        <v>46175</v>
      </c>
    </row>
    <row r="398" spans="1:8" x14ac:dyDescent="0.25">
      <c r="A398" s="2">
        <v>396</v>
      </c>
      <c r="B398" t="s">
        <v>3412</v>
      </c>
      <c r="C398" s="1">
        <v>45855</v>
      </c>
      <c r="D398" s="3">
        <v>46220</v>
      </c>
      <c r="E398" s="5">
        <v>85.625</v>
      </c>
      <c r="F398" s="3">
        <v>45870</v>
      </c>
      <c r="G398">
        <v>33.25</v>
      </c>
      <c r="H398" s="1">
        <v>46191</v>
      </c>
    </row>
    <row r="399" spans="1:8" x14ac:dyDescent="0.25">
      <c r="A399" s="2">
        <v>397</v>
      </c>
      <c r="B399" t="s">
        <v>1792</v>
      </c>
      <c r="C399" s="1">
        <v>45855</v>
      </c>
      <c r="D399" s="3">
        <v>46220</v>
      </c>
      <c r="E399" s="5">
        <v>102.25</v>
      </c>
      <c r="F399" s="3">
        <v>45855</v>
      </c>
      <c r="G399">
        <v>96.125</v>
      </c>
      <c r="H399" s="1">
        <v>46080</v>
      </c>
    </row>
    <row r="400" spans="1:8" x14ac:dyDescent="0.25">
      <c r="A400" s="2">
        <v>398</v>
      </c>
      <c r="B400" t="s">
        <v>3355</v>
      </c>
      <c r="C400" s="1">
        <v>45855</v>
      </c>
      <c r="D400" s="3">
        <v>46220</v>
      </c>
      <c r="E400" s="5">
        <v>101</v>
      </c>
      <c r="F400" s="3">
        <v>46220</v>
      </c>
      <c r="G400">
        <v>99</v>
      </c>
      <c r="H400" s="1">
        <v>46008</v>
      </c>
    </row>
    <row r="401" spans="1:8" x14ac:dyDescent="0.25">
      <c r="A401" s="2">
        <v>399</v>
      </c>
      <c r="B401" t="s">
        <v>1999</v>
      </c>
      <c r="C401" s="1">
        <v>45855</v>
      </c>
      <c r="D401" s="3">
        <v>46220</v>
      </c>
      <c r="E401" s="5">
        <v>75.75</v>
      </c>
      <c r="F401" s="3">
        <v>46127</v>
      </c>
      <c r="G401">
        <v>75.75</v>
      </c>
      <c r="H401" s="1">
        <v>46127</v>
      </c>
    </row>
    <row r="402" spans="1:8" x14ac:dyDescent="0.25">
      <c r="A402" s="2">
        <v>400</v>
      </c>
      <c r="B402" t="s">
        <v>2400</v>
      </c>
      <c r="C402" s="1">
        <v>45855</v>
      </c>
      <c r="D402" s="3">
        <v>46220</v>
      </c>
      <c r="E402" s="5">
        <v>97</v>
      </c>
      <c r="F402" s="3">
        <v>46008</v>
      </c>
      <c r="G402">
        <v>94.375</v>
      </c>
      <c r="H402" s="1">
        <v>45946</v>
      </c>
    </row>
    <row r="403" spans="1:8" x14ac:dyDescent="0.25">
      <c r="A403" s="2">
        <v>401</v>
      </c>
      <c r="B403" t="s">
        <v>3408</v>
      </c>
      <c r="C403" s="1">
        <v>45855</v>
      </c>
      <c r="D403" s="3">
        <v>46220</v>
      </c>
      <c r="E403" s="5">
        <v>61</v>
      </c>
      <c r="F403" s="3">
        <v>45855</v>
      </c>
      <c r="G403">
        <v>15.25</v>
      </c>
      <c r="H403" s="1">
        <v>46191</v>
      </c>
    </row>
    <row r="404" spans="1:8" x14ac:dyDescent="0.25">
      <c r="A404" s="2">
        <v>402</v>
      </c>
      <c r="B404" t="s">
        <v>1219</v>
      </c>
      <c r="C404" s="1">
        <v>45855</v>
      </c>
      <c r="D404" s="3">
        <v>46220</v>
      </c>
      <c r="E404" s="5">
        <v>100.8125</v>
      </c>
      <c r="F404" s="3">
        <v>45859</v>
      </c>
      <c r="G404">
        <v>89.125</v>
      </c>
      <c r="H404" s="1">
        <v>46211</v>
      </c>
    </row>
    <row r="405" spans="1:8" x14ac:dyDescent="0.25">
      <c r="A405" s="2">
        <v>403</v>
      </c>
      <c r="B405" t="s">
        <v>2553</v>
      </c>
      <c r="C405" s="1">
        <v>45855</v>
      </c>
      <c r="D405" s="3">
        <v>46220</v>
      </c>
      <c r="E405" s="5">
        <v>98.9375</v>
      </c>
      <c r="F405" s="3">
        <v>45923</v>
      </c>
      <c r="G405">
        <v>86.5</v>
      </c>
      <c r="H405" s="1">
        <v>46143</v>
      </c>
    </row>
    <row r="406" spans="1:8" x14ac:dyDescent="0.25">
      <c r="A406" s="2">
        <v>404</v>
      </c>
      <c r="B406" t="s">
        <v>1272</v>
      </c>
      <c r="C406" s="1">
        <v>45855</v>
      </c>
      <c r="D406" s="3">
        <v>46220</v>
      </c>
      <c r="E406" s="5">
        <v>104</v>
      </c>
      <c r="F406" s="3">
        <v>45926</v>
      </c>
      <c r="G406">
        <v>96</v>
      </c>
      <c r="H406" s="1">
        <v>46211</v>
      </c>
    </row>
    <row r="407" spans="1:8" x14ac:dyDescent="0.25">
      <c r="A407" s="2">
        <v>405</v>
      </c>
      <c r="B407" t="s">
        <v>1271</v>
      </c>
      <c r="C407" s="1">
        <v>45855</v>
      </c>
      <c r="D407" s="3">
        <v>46220</v>
      </c>
      <c r="E407" s="5">
        <v>86.25</v>
      </c>
      <c r="F407" s="3">
        <v>45995</v>
      </c>
      <c r="G407">
        <v>60</v>
      </c>
      <c r="H407" s="1">
        <v>46217</v>
      </c>
    </row>
    <row r="408" spans="1:8" x14ac:dyDescent="0.25">
      <c r="A408" s="2">
        <v>406</v>
      </c>
      <c r="B408" t="s">
        <v>1270</v>
      </c>
      <c r="C408" s="1">
        <v>45855</v>
      </c>
      <c r="D408" s="3">
        <v>46220</v>
      </c>
      <c r="E408" s="5">
        <v>61</v>
      </c>
      <c r="F408" s="3">
        <v>45912</v>
      </c>
      <c r="G408">
        <v>37.5</v>
      </c>
      <c r="H408" s="1">
        <v>46105</v>
      </c>
    </row>
    <row r="409" spans="1:8" x14ac:dyDescent="0.25">
      <c r="A409" s="2">
        <v>407</v>
      </c>
      <c r="B409" t="s">
        <v>1268</v>
      </c>
      <c r="C409" s="1">
        <v>45855</v>
      </c>
      <c r="D409" s="3">
        <v>46220</v>
      </c>
      <c r="E409" s="5">
        <v>40.5</v>
      </c>
      <c r="F409" s="3">
        <v>45880</v>
      </c>
      <c r="G409">
        <v>25</v>
      </c>
      <c r="H409" s="1">
        <v>46098</v>
      </c>
    </row>
    <row r="410" spans="1:8" x14ac:dyDescent="0.25">
      <c r="A410" s="2">
        <v>408</v>
      </c>
      <c r="B410" t="s">
        <v>1266</v>
      </c>
      <c r="C410" s="1">
        <v>45855</v>
      </c>
      <c r="D410" s="3">
        <v>46220</v>
      </c>
      <c r="E410" s="5">
        <v>40.5</v>
      </c>
      <c r="F410" s="3">
        <v>45880</v>
      </c>
      <c r="G410">
        <v>34.5</v>
      </c>
      <c r="H410" s="1">
        <v>46036</v>
      </c>
    </row>
    <row r="411" spans="1:8" x14ac:dyDescent="0.25">
      <c r="A411" s="2">
        <v>409</v>
      </c>
      <c r="B411" t="s">
        <v>3515</v>
      </c>
      <c r="C411" s="1">
        <v>45855</v>
      </c>
      <c r="D411" s="3">
        <v>46220</v>
      </c>
      <c r="E411" s="5">
        <v>100.875</v>
      </c>
      <c r="F411" s="3">
        <v>45855</v>
      </c>
      <c r="G411">
        <v>87.5</v>
      </c>
      <c r="H411" s="1">
        <v>46202</v>
      </c>
    </row>
    <row r="412" spans="1:8" x14ac:dyDescent="0.25">
      <c r="A412" s="2">
        <v>410</v>
      </c>
      <c r="B412" t="s">
        <v>2293</v>
      </c>
      <c r="C412" s="1">
        <v>45855</v>
      </c>
      <c r="D412" s="3">
        <v>46220</v>
      </c>
      <c r="E412" s="5">
        <v>100.5625</v>
      </c>
      <c r="F412" s="3">
        <v>46213</v>
      </c>
      <c r="G412">
        <v>93.5</v>
      </c>
      <c r="H412" s="1">
        <v>45979</v>
      </c>
    </row>
    <row r="413" spans="1:8" x14ac:dyDescent="0.25">
      <c r="A413" s="2">
        <v>411</v>
      </c>
      <c r="B413" t="s">
        <v>3608</v>
      </c>
      <c r="C413" s="1">
        <v>45855</v>
      </c>
      <c r="D413" s="3">
        <v>46220</v>
      </c>
      <c r="E413" s="5">
        <v>100.5625</v>
      </c>
      <c r="F413" s="3">
        <v>45909</v>
      </c>
      <c r="G413">
        <v>94.5</v>
      </c>
      <c r="H413" s="1">
        <v>46161</v>
      </c>
    </row>
    <row r="414" spans="1:8" x14ac:dyDescent="0.25">
      <c r="A414" s="2">
        <v>412</v>
      </c>
      <c r="B414" t="s">
        <v>1264</v>
      </c>
      <c r="C414" s="1">
        <v>45855</v>
      </c>
      <c r="D414" s="3">
        <v>46220</v>
      </c>
      <c r="E414" s="5">
        <v>64.5</v>
      </c>
      <c r="F414" s="3">
        <v>45855</v>
      </c>
      <c r="G414">
        <v>25</v>
      </c>
      <c r="H414" s="1">
        <v>46216</v>
      </c>
    </row>
    <row r="415" spans="1:8" x14ac:dyDescent="0.25">
      <c r="A415" s="2">
        <v>413</v>
      </c>
      <c r="B415" t="s">
        <v>1645</v>
      </c>
      <c r="C415" s="1">
        <v>45855</v>
      </c>
      <c r="D415" s="3">
        <v>46220</v>
      </c>
      <c r="E415" s="5">
        <v>100.875</v>
      </c>
      <c r="F415" s="3">
        <v>45996</v>
      </c>
      <c r="G415">
        <v>76.5</v>
      </c>
      <c r="H415" s="1">
        <v>46212</v>
      </c>
    </row>
    <row r="416" spans="1:8" x14ac:dyDescent="0.25">
      <c r="A416" s="2">
        <v>414</v>
      </c>
      <c r="B416" t="s">
        <v>992</v>
      </c>
      <c r="C416" s="1">
        <v>45855</v>
      </c>
      <c r="D416" s="3">
        <v>46220</v>
      </c>
      <c r="E416" s="5">
        <v>99.25</v>
      </c>
      <c r="F416" s="3">
        <v>45936</v>
      </c>
      <c r="G416">
        <v>87</v>
      </c>
      <c r="H416" s="1">
        <v>46161</v>
      </c>
    </row>
    <row r="417" spans="1:8" x14ac:dyDescent="0.25">
      <c r="A417" s="2">
        <v>415</v>
      </c>
      <c r="B417" t="s">
        <v>170</v>
      </c>
      <c r="C417" s="1">
        <v>45855</v>
      </c>
      <c r="D417" s="3">
        <v>46220</v>
      </c>
      <c r="E417" s="5">
        <v>100</v>
      </c>
      <c r="F417" s="3">
        <v>46121</v>
      </c>
      <c r="G417">
        <v>72.125</v>
      </c>
      <c r="H417" s="1">
        <v>46007</v>
      </c>
    </row>
    <row r="418" spans="1:8" x14ac:dyDescent="0.25">
      <c r="A418" s="2">
        <v>416</v>
      </c>
      <c r="B418" t="s">
        <v>3849</v>
      </c>
      <c r="C418" s="1">
        <v>45855</v>
      </c>
      <c r="D418" s="3">
        <v>46220</v>
      </c>
      <c r="E418" s="5">
        <v>100.625</v>
      </c>
      <c r="F418" s="3">
        <v>45922</v>
      </c>
      <c r="G418">
        <v>92</v>
      </c>
      <c r="H418" s="1">
        <v>46077</v>
      </c>
    </row>
    <row r="419" spans="1:8" x14ac:dyDescent="0.25">
      <c r="A419" s="2">
        <v>417</v>
      </c>
      <c r="B419" t="s">
        <v>3847</v>
      </c>
      <c r="C419" s="1">
        <v>45855</v>
      </c>
      <c r="D419" s="3">
        <v>46220</v>
      </c>
      <c r="E419" s="5">
        <v>101.5</v>
      </c>
      <c r="F419" s="3">
        <v>46031</v>
      </c>
      <c r="G419">
        <v>91.75</v>
      </c>
      <c r="H419" s="1">
        <v>46078</v>
      </c>
    </row>
    <row r="420" spans="1:8" x14ac:dyDescent="0.25">
      <c r="A420" s="2">
        <v>418</v>
      </c>
      <c r="B420" t="s">
        <v>350</v>
      </c>
      <c r="C420" s="1">
        <v>45855</v>
      </c>
      <c r="D420" s="3">
        <v>46220</v>
      </c>
      <c r="E420" s="5">
        <v>73.5</v>
      </c>
      <c r="F420" s="3">
        <v>46077</v>
      </c>
      <c r="G420">
        <v>17.5</v>
      </c>
      <c r="H420" s="1">
        <v>46216</v>
      </c>
    </row>
    <row r="421" spans="1:8" x14ac:dyDescent="0.25">
      <c r="A421" s="2">
        <v>419</v>
      </c>
      <c r="B421" t="s">
        <v>1528</v>
      </c>
      <c r="C421" s="1">
        <v>45855</v>
      </c>
      <c r="D421" s="3">
        <v>46220</v>
      </c>
      <c r="E421" s="5">
        <v>98.625</v>
      </c>
      <c r="F421" s="3">
        <v>45897</v>
      </c>
      <c r="G421">
        <v>84.125</v>
      </c>
      <c r="H421" s="1">
        <v>46051</v>
      </c>
    </row>
    <row r="422" spans="1:8" x14ac:dyDescent="0.25">
      <c r="A422" s="2">
        <v>420</v>
      </c>
      <c r="B422" t="s">
        <v>1526</v>
      </c>
      <c r="C422" s="1">
        <v>45855</v>
      </c>
      <c r="D422" s="3">
        <v>46220</v>
      </c>
      <c r="E422" s="5">
        <v>100.625</v>
      </c>
      <c r="F422" s="3">
        <v>45895</v>
      </c>
      <c r="G422">
        <v>81</v>
      </c>
      <c r="H422" s="1">
        <v>45965</v>
      </c>
    </row>
    <row r="423" spans="1:8" x14ac:dyDescent="0.25">
      <c r="A423" s="2">
        <v>421</v>
      </c>
      <c r="B423" t="s">
        <v>341</v>
      </c>
      <c r="C423" s="1">
        <v>45855</v>
      </c>
      <c r="D423" s="3">
        <v>46220</v>
      </c>
      <c r="E423" s="5">
        <v>101.14</v>
      </c>
      <c r="F423" s="3">
        <v>45909</v>
      </c>
      <c r="G423">
        <v>84</v>
      </c>
      <c r="H423" s="1">
        <v>46108</v>
      </c>
    </row>
    <row r="424" spans="1:8" x14ac:dyDescent="0.25">
      <c r="A424" s="2">
        <v>422</v>
      </c>
      <c r="B424" t="s">
        <v>3714</v>
      </c>
      <c r="C424" s="1">
        <v>45855</v>
      </c>
      <c r="D424" s="3">
        <v>46220</v>
      </c>
      <c r="E424" s="5">
        <v>100.25</v>
      </c>
      <c r="F424" s="3">
        <v>46003</v>
      </c>
      <c r="G424">
        <v>96.25</v>
      </c>
      <c r="H424" s="1">
        <v>46065</v>
      </c>
    </row>
    <row r="425" spans="1:8" x14ac:dyDescent="0.25">
      <c r="A425" s="2">
        <v>423</v>
      </c>
      <c r="B425" t="s">
        <v>3552</v>
      </c>
      <c r="C425" s="1">
        <v>45855</v>
      </c>
      <c r="D425" s="3">
        <v>46220</v>
      </c>
      <c r="E425" s="5">
        <v>100.75</v>
      </c>
      <c r="F425" s="3">
        <v>45987</v>
      </c>
      <c r="G425">
        <v>80</v>
      </c>
      <c r="H425" s="1">
        <v>46217</v>
      </c>
    </row>
    <row r="426" spans="1:8" x14ac:dyDescent="0.25">
      <c r="A426" s="2">
        <v>424</v>
      </c>
      <c r="B426" t="s">
        <v>1724</v>
      </c>
      <c r="C426" s="1">
        <v>45855</v>
      </c>
      <c r="D426" s="3">
        <v>46220</v>
      </c>
      <c r="E426" s="5">
        <v>93.764300000000006</v>
      </c>
      <c r="F426" s="3">
        <v>46022</v>
      </c>
      <c r="G426">
        <v>65.075699999999998</v>
      </c>
      <c r="H426" s="1">
        <v>46112</v>
      </c>
    </row>
    <row r="427" spans="1:8" x14ac:dyDescent="0.25">
      <c r="A427" s="2">
        <v>425</v>
      </c>
      <c r="B427" t="s">
        <v>1811</v>
      </c>
      <c r="C427" s="1">
        <v>45855</v>
      </c>
      <c r="D427" s="3">
        <v>46220</v>
      </c>
      <c r="E427" s="5">
        <v>99.25</v>
      </c>
      <c r="F427" s="3">
        <v>45994</v>
      </c>
      <c r="G427">
        <v>96.875</v>
      </c>
      <c r="H427" s="1">
        <v>46058</v>
      </c>
    </row>
    <row r="428" spans="1:8" x14ac:dyDescent="0.25">
      <c r="A428" s="2">
        <v>426</v>
      </c>
      <c r="B428" t="s">
        <v>250</v>
      </c>
      <c r="C428" s="1">
        <v>45855</v>
      </c>
      <c r="D428" s="3">
        <v>46220</v>
      </c>
      <c r="E428" s="5">
        <v>100.875</v>
      </c>
      <c r="F428" s="3">
        <v>46041</v>
      </c>
      <c r="G428">
        <v>86.75</v>
      </c>
      <c r="H428" s="1">
        <v>46203</v>
      </c>
    </row>
    <row r="429" spans="1:8" x14ac:dyDescent="0.25">
      <c r="A429" s="2">
        <v>427</v>
      </c>
      <c r="B429" t="s">
        <v>248</v>
      </c>
      <c r="C429" s="1">
        <v>45855</v>
      </c>
      <c r="D429" s="3">
        <v>46220</v>
      </c>
      <c r="E429" s="5">
        <v>100.625</v>
      </c>
      <c r="F429" s="3">
        <v>46035</v>
      </c>
      <c r="G429">
        <v>87.5</v>
      </c>
      <c r="H429" s="1">
        <v>46198</v>
      </c>
    </row>
    <row r="430" spans="1:8" x14ac:dyDescent="0.25">
      <c r="A430" s="2">
        <v>428</v>
      </c>
      <c r="B430" t="s">
        <v>1217</v>
      </c>
      <c r="C430" s="1">
        <v>45855</v>
      </c>
      <c r="D430" s="3">
        <v>46220</v>
      </c>
      <c r="E430" s="5">
        <v>99.886099999999999</v>
      </c>
      <c r="F430" s="3">
        <v>45855</v>
      </c>
      <c r="G430">
        <v>99.792299999999997</v>
      </c>
      <c r="H430" s="1">
        <v>45930</v>
      </c>
    </row>
    <row r="431" spans="1:8" x14ac:dyDescent="0.25">
      <c r="A431" s="2">
        <v>429</v>
      </c>
      <c r="B431" t="s">
        <v>157</v>
      </c>
      <c r="C431" s="1">
        <v>45855</v>
      </c>
      <c r="D431" s="3">
        <v>46220</v>
      </c>
      <c r="E431" s="5">
        <v>101</v>
      </c>
      <c r="F431" s="3">
        <v>46146</v>
      </c>
      <c r="G431">
        <v>100</v>
      </c>
      <c r="H431" s="1">
        <v>46097</v>
      </c>
    </row>
    <row r="432" spans="1:8" x14ac:dyDescent="0.25">
      <c r="A432" s="2">
        <v>430</v>
      </c>
      <c r="B432" t="s">
        <v>1195</v>
      </c>
      <c r="C432" s="1">
        <v>45855</v>
      </c>
      <c r="D432" s="3">
        <v>46220</v>
      </c>
      <c r="E432" s="5">
        <v>91.093500000000006</v>
      </c>
      <c r="F432" s="3">
        <v>45855</v>
      </c>
      <c r="G432">
        <v>71.906499999999994</v>
      </c>
      <c r="H432" s="1">
        <v>46112</v>
      </c>
    </row>
    <row r="433" spans="1:8" x14ac:dyDescent="0.25">
      <c r="A433" s="2">
        <v>431</v>
      </c>
      <c r="B433" t="s">
        <v>1473</v>
      </c>
      <c r="C433" s="1">
        <v>45855</v>
      </c>
      <c r="D433" s="3">
        <v>46220</v>
      </c>
      <c r="E433" s="5">
        <v>44.2</v>
      </c>
      <c r="F433" s="3">
        <v>45930</v>
      </c>
      <c r="G433">
        <v>44.2</v>
      </c>
      <c r="H433" s="1">
        <v>45930</v>
      </c>
    </row>
    <row r="434" spans="1:8" x14ac:dyDescent="0.25">
      <c r="A434" s="2">
        <v>432</v>
      </c>
      <c r="B434" t="s">
        <v>1627</v>
      </c>
      <c r="C434" s="1">
        <v>45855</v>
      </c>
      <c r="D434" s="3">
        <v>46220</v>
      </c>
      <c r="E434" s="5">
        <v>100.5</v>
      </c>
      <c r="F434" s="3">
        <v>45915</v>
      </c>
      <c r="G434">
        <v>86.75</v>
      </c>
      <c r="H434" s="1">
        <v>46219</v>
      </c>
    </row>
    <row r="435" spans="1:8" x14ac:dyDescent="0.25">
      <c r="A435" s="2">
        <v>433</v>
      </c>
      <c r="B435" t="s">
        <v>2602</v>
      </c>
      <c r="C435" s="1">
        <v>45855</v>
      </c>
      <c r="D435" s="3">
        <v>46220</v>
      </c>
      <c r="E435" s="5">
        <v>98.375</v>
      </c>
      <c r="F435" s="3">
        <v>46027</v>
      </c>
      <c r="G435">
        <v>89.875</v>
      </c>
      <c r="H435" s="1">
        <v>46129</v>
      </c>
    </row>
    <row r="436" spans="1:8" x14ac:dyDescent="0.25">
      <c r="A436" s="2">
        <v>434</v>
      </c>
      <c r="B436" t="s">
        <v>1879</v>
      </c>
      <c r="C436" s="1">
        <v>45855</v>
      </c>
      <c r="D436" s="3">
        <v>46220</v>
      </c>
      <c r="E436" s="5">
        <v>95.875</v>
      </c>
      <c r="F436" s="3">
        <v>45915</v>
      </c>
      <c r="G436">
        <v>91.0625</v>
      </c>
      <c r="H436" s="1">
        <v>46217</v>
      </c>
    </row>
    <row r="437" spans="1:8" x14ac:dyDescent="0.25">
      <c r="A437" s="2">
        <v>435</v>
      </c>
      <c r="B437" t="s">
        <v>1262</v>
      </c>
      <c r="C437" s="1">
        <v>45855</v>
      </c>
      <c r="D437" s="3">
        <v>46220</v>
      </c>
      <c r="E437" s="5">
        <v>47.5</v>
      </c>
      <c r="F437" s="3">
        <v>45911</v>
      </c>
      <c r="G437">
        <v>19</v>
      </c>
      <c r="H437" s="1">
        <v>46218</v>
      </c>
    </row>
    <row r="438" spans="1:8" x14ac:dyDescent="0.25">
      <c r="A438" s="2">
        <v>436</v>
      </c>
      <c r="B438" t="s">
        <v>1285</v>
      </c>
      <c r="C438" s="1">
        <v>45855</v>
      </c>
      <c r="D438" s="3">
        <v>46220</v>
      </c>
      <c r="E438" s="5">
        <v>99.75</v>
      </c>
      <c r="F438" s="3">
        <v>45947</v>
      </c>
      <c r="G438">
        <v>86</v>
      </c>
      <c r="H438" s="1">
        <v>46148</v>
      </c>
    </row>
    <row r="439" spans="1:8" x14ac:dyDescent="0.25">
      <c r="A439" s="2">
        <v>437</v>
      </c>
      <c r="B439" t="s">
        <v>2303</v>
      </c>
      <c r="C439" s="1">
        <v>45855</v>
      </c>
      <c r="D439" s="3">
        <v>46220</v>
      </c>
      <c r="E439" s="5">
        <v>103.375</v>
      </c>
      <c r="F439" s="3">
        <v>46080</v>
      </c>
      <c r="G439">
        <v>98.25</v>
      </c>
      <c r="H439" s="1">
        <v>46161</v>
      </c>
    </row>
    <row r="440" spans="1:8" x14ac:dyDescent="0.25">
      <c r="A440" s="2">
        <v>438</v>
      </c>
      <c r="B440" t="s">
        <v>2299</v>
      </c>
      <c r="C440" s="1">
        <v>45855</v>
      </c>
      <c r="D440" s="3">
        <v>46220</v>
      </c>
      <c r="E440" s="5">
        <v>89.75</v>
      </c>
      <c r="F440" s="3">
        <v>45975</v>
      </c>
      <c r="G440">
        <v>52.3</v>
      </c>
      <c r="H440" s="1">
        <v>46183</v>
      </c>
    </row>
    <row r="441" spans="1:8" x14ac:dyDescent="0.25">
      <c r="A441" s="2">
        <v>439</v>
      </c>
      <c r="B441" t="s">
        <v>85</v>
      </c>
      <c r="C441" s="1">
        <v>45855</v>
      </c>
      <c r="D441" s="3">
        <v>46220</v>
      </c>
      <c r="E441" s="5">
        <v>99.25</v>
      </c>
      <c r="F441" s="3">
        <v>45932</v>
      </c>
      <c r="G441">
        <v>71</v>
      </c>
      <c r="H441" s="1">
        <v>46211</v>
      </c>
    </row>
    <row r="442" spans="1:8" x14ac:dyDescent="0.25">
      <c r="A442" s="2">
        <v>440</v>
      </c>
      <c r="B442" t="s">
        <v>208</v>
      </c>
      <c r="C442" s="1">
        <v>45855</v>
      </c>
      <c r="D442" s="3">
        <v>46220</v>
      </c>
      <c r="E442" s="5">
        <v>98.5</v>
      </c>
      <c r="F442" s="3">
        <v>45933</v>
      </c>
      <c r="G442">
        <v>72.375</v>
      </c>
      <c r="H442" s="1">
        <v>46206</v>
      </c>
    </row>
    <row r="443" spans="1:8" x14ac:dyDescent="0.25">
      <c r="A443" s="2">
        <v>441</v>
      </c>
      <c r="B443" t="s">
        <v>3861</v>
      </c>
      <c r="C443" s="1">
        <v>45855</v>
      </c>
      <c r="D443" s="3">
        <v>46220</v>
      </c>
      <c r="E443" s="5">
        <v>100.938</v>
      </c>
      <c r="F443" s="3">
        <v>46031</v>
      </c>
      <c r="G443">
        <v>97.125</v>
      </c>
      <c r="H443" s="1">
        <v>46119</v>
      </c>
    </row>
    <row r="444" spans="1:8" x14ac:dyDescent="0.25">
      <c r="A444" s="2">
        <v>442</v>
      </c>
      <c r="B444" t="s">
        <v>2063</v>
      </c>
      <c r="C444" s="1">
        <v>45855</v>
      </c>
      <c r="D444" s="3">
        <v>46220</v>
      </c>
      <c r="E444" s="5">
        <v>100.3125</v>
      </c>
      <c r="F444" s="3">
        <v>46190</v>
      </c>
      <c r="G444">
        <v>93.625</v>
      </c>
      <c r="H444" s="1">
        <v>45993</v>
      </c>
    </row>
    <row r="445" spans="1:8" x14ac:dyDescent="0.25">
      <c r="A445" s="2">
        <v>443</v>
      </c>
      <c r="B445" t="s">
        <v>2061</v>
      </c>
      <c r="C445" s="1">
        <v>45855</v>
      </c>
      <c r="D445" s="3">
        <v>46220</v>
      </c>
      <c r="E445" s="5">
        <v>100.75</v>
      </c>
      <c r="F445" s="3">
        <v>46217</v>
      </c>
      <c r="G445">
        <v>92</v>
      </c>
      <c r="H445" s="1">
        <v>45995</v>
      </c>
    </row>
    <row r="446" spans="1:8" x14ac:dyDescent="0.25">
      <c r="A446" s="2">
        <v>444</v>
      </c>
      <c r="B446" t="s">
        <v>1659</v>
      </c>
      <c r="C446" s="1">
        <v>45855</v>
      </c>
      <c r="D446" s="3">
        <v>46220</v>
      </c>
      <c r="E446" s="5">
        <v>97.25</v>
      </c>
      <c r="F446" s="3">
        <v>45943</v>
      </c>
      <c r="G446">
        <v>89.25</v>
      </c>
      <c r="H446" s="1">
        <v>46087</v>
      </c>
    </row>
    <row r="447" spans="1:8" x14ac:dyDescent="0.25">
      <c r="A447" s="2">
        <v>445</v>
      </c>
      <c r="B447" t="s">
        <v>1655</v>
      </c>
      <c r="C447" s="1">
        <v>45855</v>
      </c>
      <c r="D447" s="3">
        <v>46220</v>
      </c>
      <c r="E447" s="5">
        <v>97.375</v>
      </c>
      <c r="F447" s="3">
        <v>45940</v>
      </c>
      <c r="G447">
        <v>89.125</v>
      </c>
      <c r="H447" s="1">
        <v>46007</v>
      </c>
    </row>
    <row r="448" spans="1:8" x14ac:dyDescent="0.25">
      <c r="A448" s="2">
        <v>446</v>
      </c>
      <c r="B448" t="s">
        <v>3465</v>
      </c>
      <c r="C448" s="1">
        <v>45855</v>
      </c>
      <c r="D448" s="3">
        <v>46220</v>
      </c>
      <c r="E448" s="5">
        <v>94.5</v>
      </c>
      <c r="F448" s="3">
        <v>45957</v>
      </c>
      <c r="G448">
        <v>77.5</v>
      </c>
      <c r="H448" s="1">
        <v>46184</v>
      </c>
    </row>
    <row r="449" spans="1:8" x14ac:dyDescent="0.25">
      <c r="A449" s="2">
        <v>447</v>
      </c>
      <c r="B449" t="s">
        <v>3460</v>
      </c>
      <c r="C449" s="1">
        <v>45855</v>
      </c>
      <c r="D449" s="3">
        <v>46220</v>
      </c>
      <c r="E449" s="5">
        <v>94.5</v>
      </c>
      <c r="F449" s="3">
        <v>46001</v>
      </c>
      <c r="G449">
        <v>80</v>
      </c>
      <c r="H449" s="1">
        <v>46092</v>
      </c>
    </row>
    <row r="450" spans="1:8" x14ac:dyDescent="0.25">
      <c r="A450" s="2">
        <v>448</v>
      </c>
      <c r="B450" t="s">
        <v>1439</v>
      </c>
      <c r="C450" s="1">
        <v>45855</v>
      </c>
      <c r="D450" s="3">
        <v>46220</v>
      </c>
      <c r="E450" s="5">
        <v>102.5</v>
      </c>
      <c r="F450" s="3">
        <v>46181</v>
      </c>
      <c r="G450">
        <v>97.5</v>
      </c>
      <c r="H450" s="1">
        <v>45940</v>
      </c>
    </row>
    <row r="451" spans="1:8" x14ac:dyDescent="0.25">
      <c r="A451" s="2">
        <v>449</v>
      </c>
      <c r="B451" t="s">
        <v>1437</v>
      </c>
      <c r="C451" s="1">
        <v>45855</v>
      </c>
      <c r="D451" s="3">
        <v>46220</v>
      </c>
      <c r="E451" s="5">
        <v>101</v>
      </c>
      <c r="F451" s="3">
        <v>46129</v>
      </c>
      <c r="G451">
        <v>96.25</v>
      </c>
      <c r="H451" s="1">
        <v>45943</v>
      </c>
    </row>
    <row r="452" spans="1:8" x14ac:dyDescent="0.25">
      <c r="A452" s="2">
        <v>450</v>
      </c>
      <c r="B452" t="s">
        <v>1435</v>
      </c>
      <c r="C452" s="1">
        <v>45855</v>
      </c>
      <c r="D452" s="3">
        <v>46220</v>
      </c>
      <c r="E452" s="5">
        <v>100.875</v>
      </c>
      <c r="F452" s="3">
        <v>46129</v>
      </c>
      <c r="G452">
        <v>96.25</v>
      </c>
      <c r="H452" s="1">
        <v>45943</v>
      </c>
    </row>
    <row r="453" spans="1:8" x14ac:dyDescent="0.25">
      <c r="A453" s="2">
        <v>451</v>
      </c>
      <c r="B453" t="s">
        <v>1433</v>
      </c>
      <c r="C453" s="1">
        <v>45855</v>
      </c>
      <c r="D453" s="3">
        <v>46220</v>
      </c>
      <c r="E453" s="5">
        <v>101</v>
      </c>
      <c r="F453" s="3">
        <v>46217</v>
      </c>
      <c r="G453">
        <v>89.125</v>
      </c>
      <c r="H453" s="1">
        <v>46041</v>
      </c>
    </row>
    <row r="454" spans="1:8" x14ac:dyDescent="0.25">
      <c r="A454" s="2">
        <v>452</v>
      </c>
      <c r="B454" t="s">
        <v>1431</v>
      </c>
      <c r="C454" s="1">
        <v>45855</v>
      </c>
      <c r="D454" s="3">
        <v>46220</v>
      </c>
      <c r="E454" s="5">
        <v>103</v>
      </c>
      <c r="F454" s="3">
        <v>46188</v>
      </c>
      <c r="G454">
        <v>96.75</v>
      </c>
      <c r="H454" s="1">
        <v>45939</v>
      </c>
    </row>
    <row r="455" spans="1:8" x14ac:dyDescent="0.25">
      <c r="A455" s="2">
        <v>453</v>
      </c>
      <c r="B455" t="s">
        <v>1429</v>
      </c>
      <c r="C455" s="1">
        <v>45855</v>
      </c>
      <c r="D455" s="3">
        <v>46220</v>
      </c>
      <c r="E455" s="5">
        <v>102</v>
      </c>
      <c r="F455" s="3">
        <v>46160</v>
      </c>
      <c r="G455">
        <v>94.125</v>
      </c>
      <c r="H455" s="1">
        <v>45939</v>
      </c>
    </row>
    <row r="456" spans="1:8" x14ac:dyDescent="0.25">
      <c r="A456" s="2">
        <v>454</v>
      </c>
      <c r="B456" t="s">
        <v>1427</v>
      </c>
      <c r="C456" s="1">
        <v>45855</v>
      </c>
      <c r="D456" s="3">
        <v>46220</v>
      </c>
      <c r="E456" s="5">
        <v>100.75</v>
      </c>
      <c r="F456" s="3">
        <v>46132</v>
      </c>
      <c r="G456">
        <v>94.125</v>
      </c>
      <c r="H456" s="1">
        <v>45939</v>
      </c>
    </row>
    <row r="457" spans="1:8" x14ac:dyDescent="0.25">
      <c r="A457" s="2">
        <v>455</v>
      </c>
      <c r="B457" t="s">
        <v>1877</v>
      </c>
      <c r="C457" s="1">
        <v>45855</v>
      </c>
      <c r="D457" s="3">
        <v>46220</v>
      </c>
      <c r="E457" s="5">
        <v>93.023300000000006</v>
      </c>
      <c r="F457" s="3">
        <v>45855</v>
      </c>
      <c r="G457">
        <v>71.9298</v>
      </c>
      <c r="H457" s="1">
        <v>46112</v>
      </c>
    </row>
    <row r="458" spans="1:8" x14ac:dyDescent="0.25">
      <c r="A458" s="2">
        <v>456</v>
      </c>
      <c r="B458" t="s">
        <v>1873</v>
      </c>
      <c r="C458" s="1">
        <v>45855</v>
      </c>
      <c r="D458" s="3">
        <v>46220</v>
      </c>
      <c r="E458" s="5">
        <v>96.886399999999995</v>
      </c>
      <c r="F458" s="3">
        <v>45930</v>
      </c>
      <c r="G458">
        <v>75.044899999999998</v>
      </c>
      <c r="H458" s="1">
        <v>46112</v>
      </c>
    </row>
    <row r="459" spans="1:8" x14ac:dyDescent="0.25">
      <c r="A459" s="2">
        <v>457</v>
      </c>
      <c r="B459" t="s">
        <v>3353</v>
      </c>
      <c r="C459" s="1">
        <v>45855</v>
      </c>
      <c r="D459" s="3">
        <v>46220</v>
      </c>
      <c r="E459" s="5">
        <v>102</v>
      </c>
      <c r="F459" s="3">
        <v>46171</v>
      </c>
      <c r="G459">
        <v>99.25</v>
      </c>
      <c r="H459" s="1">
        <v>46029</v>
      </c>
    </row>
    <row r="460" spans="1:8" x14ac:dyDescent="0.25">
      <c r="A460" s="2">
        <v>458</v>
      </c>
      <c r="B460" t="s">
        <v>168</v>
      </c>
      <c r="C460" s="1">
        <v>45855</v>
      </c>
      <c r="D460" s="3">
        <v>46220</v>
      </c>
      <c r="E460" s="5">
        <v>100.5</v>
      </c>
      <c r="F460" s="3">
        <v>46036</v>
      </c>
      <c r="G460">
        <v>72.5</v>
      </c>
      <c r="H460" s="1">
        <v>46002</v>
      </c>
    </row>
    <row r="461" spans="1:8" x14ac:dyDescent="0.25">
      <c r="A461" s="2">
        <v>459</v>
      </c>
      <c r="B461" t="s">
        <v>1425</v>
      </c>
      <c r="C461" s="1">
        <v>45855</v>
      </c>
      <c r="D461" s="3">
        <v>46220</v>
      </c>
      <c r="E461" s="5">
        <v>96.5</v>
      </c>
      <c r="F461" s="3">
        <v>46129</v>
      </c>
      <c r="G461">
        <v>85</v>
      </c>
      <c r="H461" s="1">
        <v>45943</v>
      </c>
    </row>
    <row r="462" spans="1:8" x14ac:dyDescent="0.25">
      <c r="A462" s="2">
        <v>460</v>
      </c>
      <c r="B462" t="s">
        <v>3737</v>
      </c>
      <c r="C462" s="1">
        <v>45855</v>
      </c>
      <c r="D462" s="3">
        <v>46220</v>
      </c>
      <c r="E462" s="5">
        <v>99.5</v>
      </c>
      <c r="F462" s="3">
        <v>46218</v>
      </c>
      <c r="G462">
        <v>96.75</v>
      </c>
      <c r="H462" s="1">
        <v>46108</v>
      </c>
    </row>
    <row r="463" spans="1:8" x14ac:dyDescent="0.25">
      <c r="A463" s="2">
        <v>461</v>
      </c>
      <c r="B463" t="s">
        <v>937</v>
      </c>
      <c r="C463" s="1">
        <v>45855</v>
      </c>
      <c r="D463" s="3">
        <v>46220</v>
      </c>
      <c r="E463" s="5">
        <v>90.75</v>
      </c>
      <c r="F463" s="3">
        <v>46197</v>
      </c>
      <c r="G463">
        <v>69</v>
      </c>
      <c r="H463" s="1">
        <v>46064</v>
      </c>
    </row>
    <row r="464" spans="1:8" x14ac:dyDescent="0.25">
      <c r="A464" s="2">
        <v>462</v>
      </c>
      <c r="B464" t="s">
        <v>3489</v>
      </c>
      <c r="C464" s="1">
        <v>45855</v>
      </c>
      <c r="D464" s="3">
        <v>46220</v>
      </c>
      <c r="E464" s="5">
        <v>94.75</v>
      </c>
      <c r="F464" s="3">
        <v>45985</v>
      </c>
      <c r="G464">
        <v>74.75</v>
      </c>
      <c r="H464" s="1">
        <v>46162</v>
      </c>
    </row>
    <row r="465" spans="1:8" x14ac:dyDescent="0.25">
      <c r="A465" s="2">
        <v>463</v>
      </c>
      <c r="B465" t="s">
        <v>3487</v>
      </c>
      <c r="C465" s="1">
        <v>45855</v>
      </c>
      <c r="D465" s="3">
        <v>46220</v>
      </c>
      <c r="E465" s="5">
        <v>80</v>
      </c>
      <c r="F465" s="3">
        <v>45985</v>
      </c>
      <c r="G465">
        <v>47.5</v>
      </c>
      <c r="H465" s="1">
        <v>46153</v>
      </c>
    </row>
    <row r="466" spans="1:8" x14ac:dyDescent="0.25">
      <c r="A466" s="2">
        <v>464</v>
      </c>
      <c r="B466" t="s">
        <v>3483</v>
      </c>
      <c r="C466" s="1">
        <v>45855</v>
      </c>
      <c r="D466" s="3">
        <v>46220</v>
      </c>
      <c r="E466" s="5">
        <v>95.25</v>
      </c>
      <c r="F466" s="3">
        <v>45986</v>
      </c>
      <c r="G466">
        <v>75.5</v>
      </c>
      <c r="H466" s="1">
        <v>46171</v>
      </c>
    </row>
    <row r="467" spans="1:8" x14ac:dyDescent="0.25">
      <c r="A467" s="2">
        <v>465</v>
      </c>
      <c r="B467" t="s">
        <v>1118</v>
      </c>
      <c r="C467" s="1">
        <v>45855</v>
      </c>
      <c r="D467" s="3">
        <v>46220</v>
      </c>
      <c r="E467" s="5">
        <v>100.75</v>
      </c>
      <c r="F467" s="3">
        <v>46027</v>
      </c>
      <c r="G467">
        <v>87.25</v>
      </c>
      <c r="H467" s="1">
        <v>46205</v>
      </c>
    </row>
    <row r="468" spans="1:8" x14ac:dyDescent="0.25">
      <c r="A468" s="2">
        <v>466</v>
      </c>
      <c r="B468" t="s">
        <v>244</v>
      </c>
      <c r="C468" s="1">
        <v>45855</v>
      </c>
      <c r="D468" s="3">
        <v>46220</v>
      </c>
      <c r="E468" s="5">
        <v>101.125</v>
      </c>
      <c r="F468" s="3">
        <v>46037</v>
      </c>
      <c r="G468">
        <v>92.5</v>
      </c>
      <c r="H468" s="1">
        <v>46205</v>
      </c>
    </row>
    <row r="469" spans="1:8" x14ac:dyDescent="0.25">
      <c r="A469" s="2">
        <v>467</v>
      </c>
      <c r="B469" t="s">
        <v>155</v>
      </c>
      <c r="C469" s="1">
        <v>45855</v>
      </c>
      <c r="D469" s="3">
        <v>46220</v>
      </c>
      <c r="E469" s="5">
        <v>101.5005</v>
      </c>
      <c r="F469" s="3">
        <v>46038</v>
      </c>
      <c r="G469">
        <v>100</v>
      </c>
      <c r="H469" s="1">
        <v>46058</v>
      </c>
    </row>
    <row r="470" spans="1:8" x14ac:dyDescent="0.25">
      <c r="A470" s="2">
        <v>468</v>
      </c>
      <c r="B470" t="s">
        <v>1621</v>
      </c>
      <c r="C470" s="1">
        <v>45855</v>
      </c>
      <c r="D470" s="3">
        <v>46220</v>
      </c>
      <c r="E470" s="5">
        <v>104.5</v>
      </c>
      <c r="F470" s="3">
        <v>46118</v>
      </c>
      <c r="G470">
        <v>100</v>
      </c>
      <c r="H470" s="1">
        <v>46205</v>
      </c>
    </row>
    <row r="471" spans="1:8" x14ac:dyDescent="0.25">
      <c r="A471" s="2">
        <v>469</v>
      </c>
      <c r="B471" t="s">
        <v>1619</v>
      </c>
      <c r="C471" s="1">
        <v>45855</v>
      </c>
      <c r="D471" s="3">
        <v>46220</v>
      </c>
      <c r="E471" s="5">
        <v>103</v>
      </c>
      <c r="F471" s="3">
        <v>46101</v>
      </c>
      <c r="G471">
        <v>100.5</v>
      </c>
      <c r="H471" s="1">
        <v>46148</v>
      </c>
    </row>
    <row r="472" spans="1:8" x14ac:dyDescent="0.25">
      <c r="A472" s="2">
        <v>470</v>
      </c>
      <c r="B472" t="s">
        <v>582</v>
      </c>
      <c r="C472" s="1">
        <v>45855</v>
      </c>
      <c r="D472" s="3">
        <v>46220</v>
      </c>
      <c r="E472" s="5">
        <v>66.5</v>
      </c>
      <c r="F472" s="3">
        <v>46029</v>
      </c>
      <c r="G472">
        <v>26</v>
      </c>
      <c r="H472" s="1">
        <v>46162</v>
      </c>
    </row>
    <row r="473" spans="1:8" x14ac:dyDescent="0.25">
      <c r="A473" s="2">
        <v>471</v>
      </c>
      <c r="B473" t="s">
        <v>581</v>
      </c>
      <c r="C473" s="1">
        <v>45855</v>
      </c>
      <c r="D473" s="3">
        <v>46220</v>
      </c>
      <c r="E473" s="5">
        <v>86.5</v>
      </c>
      <c r="F473" s="3">
        <v>46034</v>
      </c>
      <c r="G473">
        <v>63</v>
      </c>
      <c r="H473" s="1">
        <v>46097</v>
      </c>
    </row>
    <row r="474" spans="1:8" x14ac:dyDescent="0.25">
      <c r="A474" s="2">
        <v>472</v>
      </c>
      <c r="B474" t="s">
        <v>935</v>
      </c>
      <c r="C474" s="1">
        <v>45855</v>
      </c>
      <c r="D474" s="3">
        <v>46220</v>
      </c>
      <c r="E474" s="5">
        <v>90.75</v>
      </c>
      <c r="F474" s="3">
        <v>46197</v>
      </c>
      <c r="G474">
        <v>69</v>
      </c>
      <c r="H474" s="1">
        <v>46064</v>
      </c>
    </row>
    <row r="475" spans="1:8" x14ac:dyDescent="0.25">
      <c r="A475" s="2">
        <v>473</v>
      </c>
      <c r="B475" t="s">
        <v>1116</v>
      </c>
      <c r="C475" s="1">
        <v>45855</v>
      </c>
      <c r="D475" s="3">
        <v>46220</v>
      </c>
      <c r="E475" s="5">
        <v>101.125</v>
      </c>
      <c r="F475" s="3">
        <v>46132</v>
      </c>
      <c r="G475">
        <v>99.625</v>
      </c>
      <c r="H475" s="1">
        <v>46198</v>
      </c>
    </row>
    <row r="476" spans="1:8" x14ac:dyDescent="0.25">
      <c r="A476" s="2">
        <v>474</v>
      </c>
      <c r="B476" t="s">
        <v>1114</v>
      </c>
      <c r="C476" s="1">
        <v>45855</v>
      </c>
      <c r="D476" s="3">
        <v>46220</v>
      </c>
      <c r="E476" s="5">
        <v>96.5</v>
      </c>
      <c r="F476" s="3">
        <v>46077</v>
      </c>
      <c r="G476">
        <v>88.5</v>
      </c>
      <c r="H476" s="1">
        <v>46217</v>
      </c>
    </row>
    <row r="477" spans="1:8" x14ac:dyDescent="0.25">
      <c r="A477" s="2">
        <v>475</v>
      </c>
      <c r="B477" t="s">
        <v>579</v>
      </c>
      <c r="C477" s="1">
        <v>45855</v>
      </c>
      <c r="D477" s="3">
        <v>46220</v>
      </c>
      <c r="E477" s="5">
        <v>91</v>
      </c>
      <c r="F477" s="3">
        <v>46014</v>
      </c>
      <c r="G477">
        <v>63</v>
      </c>
      <c r="H477" s="1">
        <v>46097</v>
      </c>
    </row>
    <row r="478" spans="1:8" x14ac:dyDescent="0.25">
      <c r="A478" s="2">
        <v>476</v>
      </c>
      <c r="B478" t="s">
        <v>2017</v>
      </c>
      <c r="C478" s="1">
        <v>45855</v>
      </c>
      <c r="D478" s="3">
        <v>46220</v>
      </c>
      <c r="E478" s="5">
        <v>95.5</v>
      </c>
      <c r="F478" s="3">
        <v>46169</v>
      </c>
      <c r="G478">
        <v>89.75</v>
      </c>
      <c r="H478" s="1">
        <v>46030</v>
      </c>
    </row>
    <row r="479" spans="1:8" x14ac:dyDescent="0.25">
      <c r="A479" s="2">
        <v>477</v>
      </c>
      <c r="B479" t="s">
        <v>122</v>
      </c>
      <c r="C479" s="1">
        <v>45855</v>
      </c>
      <c r="D479" s="3">
        <v>46220</v>
      </c>
      <c r="E479" s="5">
        <v>101.5</v>
      </c>
      <c r="F479" s="3">
        <v>46213</v>
      </c>
      <c r="G479">
        <v>88.25</v>
      </c>
      <c r="H479" s="1">
        <v>46097</v>
      </c>
    </row>
    <row r="480" spans="1:8" x14ac:dyDescent="0.25">
      <c r="A480" s="2">
        <v>478</v>
      </c>
      <c r="B480" t="s">
        <v>1112</v>
      </c>
      <c r="C480" s="1">
        <v>45855</v>
      </c>
      <c r="D480" s="3">
        <v>46220</v>
      </c>
      <c r="E480" s="5">
        <v>100.25</v>
      </c>
      <c r="F480" s="3">
        <v>46048</v>
      </c>
      <c r="G480">
        <v>89.25</v>
      </c>
      <c r="H480" s="1">
        <v>46205</v>
      </c>
    </row>
    <row r="481" spans="1:8" x14ac:dyDescent="0.25">
      <c r="A481" s="2">
        <v>479</v>
      </c>
      <c r="B481" t="s">
        <v>242</v>
      </c>
      <c r="C481" s="1">
        <v>45855</v>
      </c>
      <c r="D481" s="3">
        <v>46220</v>
      </c>
      <c r="E481" s="5">
        <v>101.435</v>
      </c>
      <c r="F481" s="3">
        <v>45930</v>
      </c>
      <c r="G481">
        <v>99.991600000000005</v>
      </c>
      <c r="H481" s="1">
        <v>46112</v>
      </c>
    </row>
    <row r="482" spans="1:8" x14ac:dyDescent="0.25">
      <c r="A482" s="2">
        <v>480</v>
      </c>
      <c r="B482" t="s">
        <v>1147</v>
      </c>
      <c r="C482" s="1">
        <v>45855</v>
      </c>
      <c r="D482" s="3">
        <v>46220</v>
      </c>
      <c r="E482" s="5">
        <v>87.551500000000004</v>
      </c>
      <c r="F482" s="3">
        <v>46112</v>
      </c>
      <c r="G482">
        <v>81.057299999999998</v>
      </c>
      <c r="H482" s="1">
        <v>45855</v>
      </c>
    </row>
    <row r="483" spans="1:8" x14ac:dyDescent="0.25">
      <c r="A483" s="2">
        <v>481</v>
      </c>
      <c r="B483" t="s">
        <v>3407</v>
      </c>
      <c r="C483" s="1">
        <v>45855</v>
      </c>
      <c r="D483" s="3">
        <v>46220</v>
      </c>
      <c r="E483" s="5">
        <v>81.5</v>
      </c>
      <c r="F483" s="3">
        <v>46056</v>
      </c>
      <c r="G483">
        <v>69</v>
      </c>
      <c r="H483" s="1">
        <v>46146</v>
      </c>
    </row>
    <row r="484" spans="1:8" x14ac:dyDescent="0.25">
      <c r="A484" s="2">
        <v>482</v>
      </c>
      <c r="B484" t="s">
        <v>3403</v>
      </c>
      <c r="C484" s="1">
        <v>45855</v>
      </c>
      <c r="D484" s="3">
        <v>46220</v>
      </c>
      <c r="E484" s="5">
        <v>103.5</v>
      </c>
      <c r="F484" s="3">
        <v>46195</v>
      </c>
      <c r="G484">
        <v>101.75</v>
      </c>
      <c r="H484" s="1">
        <v>46056</v>
      </c>
    </row>
    <row r="485" spans="1:8" x14ac:dyDescent="0.25">
      <c r="A485" s="2">
        <v>483</v>
      </c>
      <c r="B485" t="s">
        <v>1471</v>
      </c>
      <c r="C485" s="1">
        <v>45855</v>
      </c>
      <c r="D485" s="3">
        <v>46220</v>
      </c>
      <c r="E485" s="5">
        <v>95.8125</v>
      </c>
      <c r="F485" s="3">
        <v>45930</v>
      </c>
      <c r="G485">
        <v>89.625</v>
      </c>
      <c r="H485" s="1">
        <v>46112</v>
      </c>
    </row>
    <row r="486" spans="1:8" x14ac:dyDescent="0.25">
      <c r="A486" s="2">
        <v>484</v>
      </c>
      <c r="B486" t="s">
        <v>2352</v>
      </c>
      <c r="C486" s="1">
        <v>45855</v>
      </c>
      <c r="D486" s="3">
        <v>46220</v>
      </c>
      <c r="E486" s="5">
        <v>99.452600000000004</v>
      </c>
      <c r="F486" s="3">
        <v>45930</v>
      </c>
      <c r="G486">
        <v>97.608199999999997</v>
      </c>
      <c r="H486" s="1">
        <v>46022</v>
      </c>
    </row>
    <row r="487" spans="1:8" x14ac:dyDescent="0.25">
      <c r="A487" s="2">
        <v>485</v>
      </c>
      <c r="B487" t="s">
        <v>2059</v>
      </c>
      <c r="C487" s="1">
        <v>45855</v>
      </c>
      <c r="D487" s="3">
        <v>46220</v>
      </c>
      <c r="E487" s="5">
        <v>97.335099999999997</v>
      </c>
      <c r="F487" s="3">
        <v>45930</v>
      </c>
      <c r="G487">
        <v>95.202699999999993</v>
      </c>
      <c r="H487" s="1">
        <v>46022</v>
      </c>
    </row>
    <row r="488" spans="1:8" x14ac:dyDescent="0.25">
      <c r="A488" s="2">
        <v>486</v>
      </c>
      <c r="B488" t="s">
        <v>523</v>
      </c>
      <c r="C488" s="1">
        <v>45855</v>
      </c>
      <c r="D488" s="3">
        <v>46220</v>
      </c>
      <c r="E488" s="5">
        <v>101.25</v>
      </c>
      <c r="F488" s="3">
        <v>46093</v>
      </c>
      <c r="G488">
        <v>99.75</v>
      </c>
      <c r="H488" s="1">
        <v>46169</v>
      </c>
    </row>
    <row r="489" spans="1:8" x14ac:dyDescent="0.25">
      <c r="A489" s="2">
        <v>487</v>
      </c>
      <c r="B489" t="s">
        <v>1001</v>
      </c>
      <c r="C489" s="1">
        <v>45855</v>
      </c>
      <c r="D489" s="3">
        <v>46220</v>
      </c>
      <c r="E489" s="5">
        <v>94.875</v>
      </c>
      <c r="F489" s="3">
        <v>46153</v>
      </c>
      <c r="G489">
        <v>91.75</v>
      </c>
      <c r="H489" s="1">
        <v>46202</v>
      </c>
    </row>
    <row r="490" spans="1:8" x14ac:dyDescent="0.25">
      <c r="A490" s="2">
        <v>488</v>
      </c>
      <c r="B490" t="s">
        <v>2315</v>
      </c>
      <c r="C490" s="1">
        <v>45855</v>
      </c>
      <c r="D490" s="3">
        <v>46220</v>
      </c>
      <c r="E490" s="5">
        <v>100.125</v>
      </c>
      <c r="F490" s="3">
        <v>46219</v>
      </c>
      <c r="G490">
        <v>95.25</v>
      </c>
      <c r="H490" s="1">
        <v>46080</v>
      </c>
    </row>
    <row r="491" spans="1:8" x14ac:dyDescent="0.25">
      <c r="A491" s="2">
        <v>489</v>
      </c>
      <c r="B491" t="s">
        <v>1790</v>
      </c>
      <c r="C491" s="1">
        <v>45855</v>
      </c>
      <c r="D491" s="3">
        <v>46220</v>
      </c>
      <c r="E491" s="5">
        <v>31</v>
      </c>
      <c r="F491" s="3">
        <v>46079</v>
      </c>
      <c r="G491">
        <v>11.75</v>
      </c>
      <c r="H491" s="1">
        <v>46183</v>
      </c>
    </row>
    <row r="492" spans="1:8" x14ac:dyDescent="0.25">
      <c r="A492" s="2">
        <v>490</v>
      </c>
      <c r="B492" t="s">
        <v>1788</v>
      </c>
      <c r="C492" s="1">
        <v>45855</v>
      </c>
      <c r="D492" s="3">
        <v>46220</v>
      </c>
      <c r="E492" s="5">
        <v>31</v>
      </c>
      <c r="F492" s="3">
        <v>46079</v>
      </c>
      <c r="G492">
        <v>12.5</v>
      </c>
      <c r="H492" s="1">
        <v>46183</v>
      </c>
    </row>
    <row r="493" spans="1:8" x14ac:dyDescent="0.25">
      <c r="A493" s="2">
        <v>491</v>
      </c>
      <c r="B493" t="s">
        <v>1786</v>
      </c>
      <c r="C493" s="1">
        <v>45855</v>
      </c>
      <c r="D493" s="3">
        <v>46220</v>
      </c>
      <c r="E493" s="5">
        <v>67.5</v>
      </c>
      <c r="F493" s="3">
        <v>46079</v>
      </c>
      <c r="G493">
        <v>50</v>
      </c>
      <c r="H493" s="1">
        <v>46154</v>
      </c>
    </row>
    <row r="494" spans="1:8" x14ac:dyDescent="0.25">
      <c r="A494" s="2">
        <v>492</v>
      </c>
      <c r="B494" t="s">
        <v>1784</v>
      </c>
      <c r="C494" s="1">
        <v>45855</v>
      </c>
      <c r="D494" s="3">
        <v>46220</v>
      </c>
      <c r="E494" s="5">
        <v>69</v>
      </c>
      <c r="F494" s="3">
        <v>46080</v>
      </c>
      <c r="G494">
        <v>52.5</v>
      </c>
      <c r="H494" s="1">
        <v>46157</v>
      </c>
    </row>
    <row r="495" spans="1:8" x14ac:dyDescent="0.25">
      <c r="A495" s="2">
        <v>493</v>
      </c>
      <c r="B495" t="s">
        <v>1782</v>
      </c>
      <c r="C495" s="1">
        <v>45855</v>
      </c>
      <c r="D495" s="3">
        <v>46220</v>
      </c>
      <c r="E495" s="5">
        <v>100.0625</v>
      </c>
      <c r="F495" s="3">
        <v>46129</v>
      </c>
      <c r="G495">
        <v>95.5</v>
      </c>
      <c r="H495" s="1">
        <v>46170</v>
      </c>
    </row>
    <row r="496" spans="1:8" x14ac:dyDescent="0.25">
      <c r="A496" s="2">
        <v>494</v>
      </c>
      <c r="B496" t="s">
        <v>999</v>
      </c>
      <c r="C496" s="1">
        <v>45855</v>
      </c>
      <c r="D496" s="3">
        <v>46220</v>
      </c>
      <c r="E496" s="5">
        <v>93.5</v>
      </c>
      <c r="F496" s="3">
        <v>46198</v>
      </c>
      <c r="G496">
        <v>92.75</v>
      </c>
      <c r="H496" s="1">
        <v>46203</v>
      </c>
    </row>
    <row r="497" spans="1:8" x14ac:dyDescent="0.25">
      <c r="A497" s="2">
        <v>495</v>
      </c>
      <c r="B497" t="s">
        <v>2379</v>
      </c>
      <c r="C497" s="1">
        <v>45855</v>
      </c>
      <c r="D497" s="3">
        <v>46220</v>
      </c>
      <c r="E497" s="5">
        <v>98.625</v>
      </c>
      <c r="F497" s="3">
        <v>46105</v>
      </c>
      <c r="G497">
        <v>94.75</v>
      </c>
      <c r="H497" s="1">
        <v>46141</v>
      </c>
    </row>
    <row r="498" spans="1:8" x14ac:dyDescent="0.25">
      <c r="A498" s="2">
        <v>496</v>
      </c>
      <c r="B498" t="s">
        <v>2377</v>
      </c>
      <c r="C498" s="1">
        <v>45855</v>
      </c>
      <c r="D498" s="3">
        <v>46220</v>
      </c>
      <c r="E498" s="5">
        <v>99.25</v>
      </c>
      <c r="F498" s="3">
        <v>46105</v>
      </c>
      <c r="G498">
        <v>95</v>
      </c>
      <c r="H498" s="1">
        <v>46149</v>
      </c>
    </row>
    <row r="499" spans="1:8" x14ac:dyDescent="0.25">
      <c r="A499" s="2">
        <v>497</v>
      </c>
      <c r="B499" t="s">
        <v>2376</v>
      </c>
      <c r="C499" s="1">
        <v>45855</v>
      </c>
      <c r="D499" s="3">
        <v>46220</v>
      </c>
      <c r="E499" s="5">
        <v>98.5</v>
      </c>
      <c r="F499" s="3">
        <v>46188</v>
      </c>
      <c r="G499">
        <v>93.75</v>
      </c>
      <c r="H499" s="1">
        <v>46155</v>
      </c>
    </row>
    <row r="500" spans="1:8" x14ac:dyDescent="0.25">
      <c r="A500" s="2">
        <v>498</v>
      </c>
      <c r="B500" t="s">
        <v>520</v>
      </c>
      <c r="C500" s="1">
        <v>45855</v>
      </c>
      <c r="D500" s="3">
        <v>46220</v>
      </c>
      <c r="E500" s="5">
        <v>101.25</v>
      </c>
      <c r="F500" s="3">
        <v>46093</v>
      </c>
      <c r="G500">
        <v>99.75</v>
      </c>
      <c r="H500" s="1">
        <v>46169</v>
      </c>
    </row>
    <row r="501" spans="1:8" x14ac:dyDescent="0.25">
      <c r="A501" s="2">
        <v>499</v>
      </c>
      <c r="B501" t="s">
        <v>1465</v>
      </c>
      <c r="C501" s="1">
        <v>45855</v>
      </c>
      <c r="D501" s="3">
        <v>46220</v>
      </c>
      <c r="E501" s="5">
        <v>90</v>
      </c>
      <c r="F501" s="3">
        <v>46203</v>
      </c>
      <c r="G501">
        <v>74.5</v>
      </c>
      <c r="H501" s="1">
        <v>46122</v>
      </c>
    </row>
    <row r="502" spans="1:8" x14ac:dyDescent="0.25">
      <c r="A502" s="2">
        <v>500</v>
      </c>
      <c r="B502" t="s">
        <v>2374</v>
      </c>
      <c r="C502" s="1">
        <v>45855</v>
      </c>
      <c r="D502" s="3">
        <v>46220</v>
      </c>
      <c r="E502" s="5">
        <v>98.75</v>
      </c>
      <c r="F502" s="3">
        <v>46196</v>
      </c>
      <c r="G502">
        <v>95</v>
      </c>
      <c r="H502" s="1">
        <v>46147</v>
      </c>
    </row>
    <row r="503" spans="1:8" x14ac:dyDescent="0.25">
      <c r="A503" s="2">
        <v>501</v>
      </c>
      <c r="B503" t="s">
        <v>391</v>
      </c>
      <c r="C503" s="1">
        <v>45855</v>
      </c>
      <c r="D503" s="3">
        <v>46220</v>
      </c>
      <c r="E503" s="5">
        <v>66.5</v>
      </c>
      <c r="F503" s="3">
        <v>46160</v>
      </c>
      <c r="G503">
        <v>57.75</v>
      </c>
      <c r="H503" s="1">
        <v>46136</v>
      </c>
    </row>
    <row r="504" spans="1:8" x14ac:dyDescent="0.25">
      <c r="A504" s="2">
        <v>502</v>
      </c>
      <c r="B504" t="s">
        <v>389</v>
      </c>
      <c r="C504" s="1">
        <v>45855</v>
      </c>
      <c r="D504" s="3">
        <v>46220</v>
      </c>
      <c r="E504" s="5">
        <v>102.75</v>
      </c>
      <c r="F504" s="3">
        <v>46162</v>
      </c>
      <c r="G504">
        <v>100.25</v>
      </c>
      <c r="H504" s="1">
        <v>46136</v>
      </c>
    </row>
    <row r="505" spans="1:8" x14ac:dyDescent="0.25">
      <c r="A505" s="2">
        <v>503</v>
      </c>
      <c r="B505" t="s">
        <v>387</v>
      </c>
      <c r="C505" s="1">
        <v>45855</v>
      </c>
      <c r="D505" s="3">
        <v>46220</v>
      </c>
      <c r="E505" s="5">
        <v>66.25</v>
      </c>
      <c r="F505" s="3">
        <v>46162</v>
      </c>
      <c r="G505">
        <v>56.75</v>
      </c>
      <c r="H505" s="1">
        <v>46136</v>
      </c>
    </row>
    <row r="506" spans="1:8" x14ac:dyDescent="0.25">
      <c r="A506" s="2">
        <v>504</v>
      </c>
      <c r="B506" t="s">
        <v>320</v>
      </c>
      <c r="C506" s="1">
        <v>45855</v>
      </c>
      <c r="D506" s="3">
        <v>46220</v>
      </c>
      <c r="E506" s="5">
        <v>85.75</v>
      </c>
      <c r="F506" s="3">
        <v>46170</v>
      </c>
      <c r="G506">
        <v>61</v>
      </c>
      <c r="H506" s="1">
        <v>46176</v>
      </c>
    </row>
    <row r="507" spans="1:8" x14ac:dyDescent="0.25">
      <c r="A507" s="2">
        <v>505</v>
      </c>
      <c r="B507" t="s">
        <v>518</v>
      </c>
      <c r="C507" s="1">
        <v>45855</v>
      </c>
      <c r="D507" s="3">
        <v>46220</v>
      </c>
      <c r="E507" s="5">
        <v>86</v>
      </c>
      <c r="F507" s="3">
        <v>46176</v>
      </c>
      <c r="G507">
        <v>82.5</v>
      </c>
      <c r="H507" s="1">
        <v>46177</v>
      </c>
    </row>
    <row r="508" spans="1:8" x14ac:dyDescent="0.25">
      <c r="A508" s="2">
        <v>506</v>
      </c>
      <c r="B508" t="s">
        <v>516</v>
      </c>
      <c r="C508" s="1">
        <v>45855</v>
      </c>
      <c r="D508" s="3">
        <v>46220</v>
      </c>
      <c r="E508" s="5">
        <v>99</v>
      </c>
      <c r="F508" s="3">
        <v>46157</v>
      </c>
      <c r="G508">
        <v>85</v>
      </c>
      <c r="H508" s="1">
        <v>46170</v>
      </c>
    </row>
    <row r="509" spans="1:8" x14ac:dyDescent="0.25">
      <c r="A509" s="2">
        <v>507</v>
      </c>
      <c r="B509" t="s">
        <v>1831</v>
      </c>
      <c r="C509" s="1">
        <v>45855</v>
      </c>
      <c r="D509" s="3">
        <v>46220</v>
      </c>
      <c r="E509" s="5">
        <v>102.625</v>
      </c>
      <c r="F509" s="3">
        <v>46190</v>
      </c>
      <c r="G509">
        <v>102</v>
      </c>
      <c r="H509" s="1">
        <v>46168</v>
      </c>
    </row>
    <row r="510" spans="1:8" x14ac:dyDescent="0.25">
      <c r="A510" s="2">
        <v>508</v>
      </c>
      <c r="B510" t="s">
        <v>1829</v>
      </c>
      <c r="C510" s="1">
        <v>45855</v>
      </c>
      <c r="D510" s="3">
        <v>46220</v>
      </c>
      <c r="E510" s="5">
        <v>99</v>
      </c>
      <c r="F510" s="3">
        <v>46157</v>
      </c>
      <c r="G510">
        <v>84.25</v>
      </c>
      <c r="H510" s="1">
        <v>46160</v>
      </c>
    </row>
    <row r="511" spans="1:8" x14ac:dyDescent="0.25">
      <c r="A511" s="2">
        <v>509</v>
      </c>
      <c r="B511" t="s">
        <v>3556</v>
      </c>
      <c r="C511" s="1">
        <v>45855</v>
      </c>
      <c r="D511" s="3">
        <v>46220</v>
      </c>
      <c r="E511" s="5">
        <v>86.785899999999998</v>
      </c>
      <c r="F511" s="3">
        <v>46112</v>
      </c>
      <c r="G511">
        <v>86.785899999999998</v>
      </c>
      <c r="H511" s="1">
        <v>46112</v>
      </c>
    </row>
    <row r="512" spans="1:8" x14ac:dyDescent="0.25">
      <c r="A512" s="2">
        <v>510</v>
      </c>
      <c r="B512" t="s">
        <v>1649</v>
      </c>
      <c r="C512" s="1">
        <v>45855</v>
      </c>
      <c r="D512" s="3">
        <v>46220</v>
      </c>
      <c r="E512" s="5">
        <v>97.75</v>
      </c>
      <c r="F512" s="3">
        <v>46209</v>
      </c>
      <c r="G512">
        <v>95.25</v>
      </c>
      <c r="H512" s="1">
        <v>46183</v>
      </c>
    </row>
    <row r="513" spans="1:8" x14ac:dyDescent="0.25">
      <c r="A513" s="2">
        <v>511</v>
      </c>
      <c r="B513" t="s">
        <v>1463</v>
      </c>
      <c r="C513" s="1">
        <v>45855</v>
      </c>
      <c r="D513" s="3">
        <v>46220</v>
      </c>
      <c r="E513" s="5">
        <v>98.114429999999999</v>
      </c>
      <c r="F513" s="3">
        <v>46209</v>
      </c>
      <c r="G513">
        <v>74.325479999999999</v>
      </c>
      <c r="H513" s="1">
        <v>45875</v>
      </c>
    </row>
    <row r="514" spans="1:8" x14ac:dyDescent="0.25">
      <c r="A514" s="2">
        <v>512</v>
      </c>
      <c r="B514" t="s">
        <v>274</v>
      </c>
      <c r="C514" s="1">
        <v>45855</v>
      </c>
      <c r="D514" s="3">
        <v>46220</v>
      </c>
      <c r="E514" s="5">
        <v>76.413060000000002</v>
      </c>
      <c r="F514" s="3">
        <v>45953</v>
      </c>
      <c r="G514">
        <v>62.002560000000003</v>
      </c>
      <c r="H514" s="1">
        <v>46195</v>
      </c>
    </row>
    <row r="515" spans="1:8" x14ac:dyDescent="0.25">
      <c r="A515" s="2">
        <v>513</v>
      </c>
      <c r="B515" t="s">
        <v>556</v>
      </c>
      <c r="C515" s="1">
        <v>45855</v>
      </c>
      <c r="D515" s="3">
        <v>46220</v>
      </c>
      <c r="E515" s="5">
        <v>85.595269999999999</v>
      </c>
      <c r="F515" s="3">
        <v>45912</v>
      </c>
      <c r="G515">
        <v>43.851905000000002</v>
      </c>
      <c r="H515" s="1">
        <v>46220</v>
      </c>
    </row>
    <row r="516" spans="1:8" x14ac:dyDescent="0.25">
      <c r="A516" s="2">
        <v>514</v>
      </c>
      <c r="B516" t="s">
        <v>1370</v>
      </c>
      <c r="C516" s="1">
        <v>45855</v>
      </c>
      <c r="D516" s="3">
        <v>46220</v>
      </c>
      <c r="E516" s="5">
        <v>87</v>
      </c>
      <c r="F516" s="3">
        <v>46219</v>
      </c>
      <c r="G516">
        <v>24.125</v>
      </c>
      <c r="H516" s="1">
        <v>46078</v>
      </c>
    </row>
    <row r="517" spans="1:8" x14ac:dyDescent="0.25">
      <c r="A517" s="2">
        <v>515</v>
      </c>
      <c r="B517" t="s">
        <v>990</v>
      </c>
      <c r="C517" s="1">
        <v>45855</v>
      </c>
      <c r="D517" s="3">
        <v>46220</v>
      </c>
      <c r="E517" s="5">
        <v>96.512919999999994</v>
      </c>
      <c r="F517" s="3">
        <v>45946</v>
      </c>
      <c r="G517">
        <v>89.199579999999997</v>
      </c>
      <c r="H517" s="1">
        <v>46183</v>
      </c>
    </row>
    <row r="518" spans="1:8" x14ac:dyDescent="0.25">
      <c r="A518" s="2">
        <v>516</v>
      </c>
      <c r="B518" t="s">
        <v>31</v>
      </c>
      <c r="C518" s="1">
        <v>45855</v>
      </c>
      <c r="D518" s="3">
        <v>46220</v>
      </c>
      <c r="E518" s="5">
        <v>81.120069999999998</v>
      </c>
      <c r="F518" s="3">
        <v>45999</v>
      </c>
      <c r="G518">
        <v>68.871530000000007</v>
      </c>
      <c r="H518" s="1">
        <v>46181</v>
      </c>
    </row>
    <row r="519" spans="1:8" x14ac:dyDescent="0.25">
      <c r="A519" s="2">
        <v>517</v>
      </c>
      <c r="B519" t="s">
        <v>26</v>
      </c>
      <c r="C519" s="1">
        <v>45855</v>
      </c>
      <c r="D519" s="3">
        <v>46220</v>
      </c>
      <c r="E519" s="5">
        <v>71.342579999999998</v>
      </c>
      <c r="F519" s="3">
        <v>45905</v>
      </c>
      <c r="G519">
        <v>54.177109999999999</v>
      </c>
      <c r="H519" s="1">
        <v>46181</v>
      </c>
    </row>
    <row r="520" spans="1:8" x14ac:dyDescent="0.25">
      <c r="A520" s="2">
        <v>518</v>
      </c>
      <c r="B520" t="s">
        <v>1015</v>
      </c>
      <c r="C520" s="1">
        <v>45855</v>
      </c>
      <c r="D520" s="3">
        <v>46220</v>
      </c>
      <c r="E520" s="5">
        <v>87.477530000000002</v>
      </c>
      <c r="F520" s="3">
        <v>46182</v>
      </c>
      <c r="G520">
        <v>72.638589999999994</v>
      </c>
      <c r="H520" s="1">
        <v>45856</v>
      </c>
    </row>
    <row r="521" spans="1:8" x14ac:dyDescent="0.25">
      <c r="A521" s="2">
        <v>519</v>
      </c>
      <c r="B521" t="s">
        <v>970</v>
      </c>
      <c r="C521" s="1">
        <v>45855</v>
      </c>
      <c r="D521" s="3">
        <v>46220</v>
      </c>
      <c r="E521" s="5">
        <v>78.829549999999998</v>
      </c>
      <c r="F521" s="3">
        <v>46073</v>
      </c>
      <c r="G521">
        <v>64.883300000000006</v>
      </c>
      <c r="H521" s="1">
        <v>46108</v>
      </c>
    </row>
    <row r="522" spans="1:8" x14ac:dyDescent="0.25">
      <c r="A522" s="2">
        <v>520</v>
      </c>
      <c r="B522" t="s">
        <v>3817</v>
      </c>
      <c r="C522" s="1">
        <v>45855</v>
      </c>
      <c r="D522" s="3">
        <v>46220</v>
      </c>
      <c r="E522" s="5">
        <v>98.517049999999998</v>
      </c>
      <c r="F522" s="3">
        <v>46028</v>
      </c>
      <c r="G522">
        <v>93.443280000000001</v>
      </c>
      <c r="H522" s="1">
        <v>45870</v>
      </c>
    </row>
    <row r="523" spans="1:8" x14ac:dyDescent="0.25">
      <c r="A523" s="2">
        <v>521</v>
      </c>
      <c r="B523" t="s">
        <v>339</v>
      </c>
      <c r="C523" s="1">
        <v>45855</v>
      </c>
      <c r="D523" s="3">
        <v>46220</v>
      </c>
      <c r="E523" s="5">
        <v>94.536450000000002</v>
      </c>
      <c r="F523" s="3">
        <v>46035</v>
      </c>
      <c r="G523">
        <v>55.395119999999999</v>
      </c>
      <c r="H523" s="1">
        <v>46153</v>
      </c>
    </row>
    <row r="524" spans="1:8" x14ac:dyDescent="0.25">
      <c r="A524" s="2">
        <v>522</v>
      </c>
      <c r="B524" t="s">
        <v>1495</v>
      </c>
      <c r="C524" s="1">
        <v>45855</v>
      </c>
      <c r="D524" s="3">
        <v>46220</v>
      </c>
      <c r="E524" s="5">
        <v>99.023629999999997</v>
      </c>
      <c r="F524" s="3">
        <v>45918</v>
      </c>
      <c r="G524">
        <v>72.120040000000003</v>
      </c>
      <c r="H524" s="1">
        <v>46127</v>
      </c>
    </row>
    <row r="525" spans="1:8" x14ac:dyDescent="0.25">
      <c r="A525" s="2">
        <v>523</v>
      </c>
      <c r="B525" t="s">
        <v>3761</v>
      </c>
      <c r="C525" s="1">
        <v>45855</v>
      </c>
      <c r="D525" s="3">
        <v>46220</v>
      </c>
      <c r="E525" s="5">
        <v>100.4961</v>
      </c>
      <c r="F525" s="3">
        <v>45987</v>
      </c>
      <c r="G525">
        <v>94.340199999999996</v>
      </c>
      <c r="H525" s="1">
        <v>45877</v>
      </c>
    </row>
    <row r="526" spans="1:8" x14ac:dyDescent="0.25">
      <c r="A526" s="2">
        <v>524</v>
      </c>
      <c r="B526" t="s">
        <v>1897</v>
      </c>
      <c r="C526" s="1">
        <v>45855</v>
      </c>
      <c r="D526" s="3">
        <v>46220</v>
      </c>
      <c r="E526" s="5">
        <v>95.2102</v>
      </c>
      <c r="F526" s="3">
        <v>46143</v>
      </c>
      <c r="G526">
        <v>86.464100000000002</v>
      </c>
      <c r="H526" s="1">
        <v>45880</v>
      </c>
    </row>
    <row r="527" spans="1:8" x14ac:dyDescent="0.25">
      <c r="A527" s="2">
        <v>525</v>
      </c>
      <c r="B527" t="s">
        <v>1895</v>
      </c>
      <c r="C527" s="1">
        <v>45855</v>
      </c>
      <c r="D527" s="3">
        <v>46220</v>
      </c>
      <c r="E527" s="5">
        <v>80.454610000000002</v>
      </c>
      <c r="F527" s="3">
        <v>46001</v>
      </c>
      <c r="G527">
        <v>58.09554</v>
      </c>
      <c r="H527" s="1">
        <v>46216</v>
      </c>
    </row>
    <row r="528" spans="1:8" x14ac:dyDescent="0.25">
      <c r="A528" s="2">
        <v>526</v>
      </c>
      <c r="B528" t="s">
        <v>1055</v>
      </c>
      <c r="C528" s="1">
        <v>45855</v>
      </c>
      <c r="D528" s="3">
        <v>46220</v>
      </c>
      <c r="E528" s="5">
        <v>88.420460000000006</v>
      </c>
      <c r="F528" s="3">
        <v>46050</v>
      </c>
      <c r="G528">
        <v>83.025540000000007</v>
      </c>
      <c r="H528" s="1">
        <v>46101</v>
      </c>
    </row>
    <row r="529" spans="1:8" x14ac:dyDescent="0.25">
      <c r="A529" s="2">
        <v>527</v>
      </c>
      <c r="B529" t="s">
        <v>2082</v>
      </c>
      <c r="C529" s="1">
        <v>45855</v>
      </c>
      <c r="D529" s="3">
        <v>46220</v>
      </c>
      <c r="E529" s="5">
        <v>81.814830000000001</v>
      </c>
      <c r="F529" s="3">
        <v>45868</v>
      </c>
      <c r="G529">
        <v>33.123359999999998</v>
      </c>
      <c r="H529" s="1">
        <v>46122</v>
      </c>
    </row>
    <row r="530" spans="1:8" x14ac:dyDescent="0.25">
      <c r="A530" s="2">
        <v>528</v>
      </c>
      <c r="B530" t="s">
        <v>385</v>
      </c>
      <c r="C530" s="1">
        <v>45855</v>
      </c>
      <c r="D530" s="3">
        <v>46220</v>
      </c>
      <c r="E530" s="5">
        <v>73.452200000000005</v>
      </c>
      <c r="F530" s="3">
        <v>45895</v>
      </c>
      <c r="G530">
        <v>32.662320000000001</v>
      </c>
      <c r="H530" s="1">
        <v>45999</v>
      </c>
    </row>
    <row r="531" spans="1:8" x14ac:dyDescent="0.25">
      <c r="A531" s="2">
        <v>529</v>
      </c>
      <c r="B531" t="s">
        <v>809</v>
      </c>
      <c r="C531" s="1">
        <v>45855</v>
      </c>
      <c r="D531" s="3">
        <v>46220</v>
      </c>
      <c r="E531" s="5">
        <v>95.562299999999993</v>
      </c>
      <c r="F531" s="3">
        <v>46218</v>
      </c>
      <c r="G531">
        <v>94.784289999999999</v>
      </c>
      <c r="H531" s="1">
        <v>46105</v>
      </c>
    </row>
    <row r="532" spans="1:8" x14ac:dyDescent="0.25">
      <c r="A532" s="2">
        <v>530</v>
      </c>
      <c r="B532" t="s">
        <v>807</v>
      </c>
      <c r="C532" s="1">
        <v>45855</v>
      </c>
      <c r="D532" s="3">
        <v>46220</v>
      </c>
      <c r="E532" s="5">
        <v>86.519459999999995</v>
      </c>
      <c r="F532" s="3">
        <v>45943</v>
      </c>
      <c r="G532">
        <v>83.959530000000001</v>
      </c>
      <c r="H532" s="1">
        <v>46161</v>
      </c>
    </row>
    <row r="533" spans="1:8" x14ac:dyDescent="0.25">
      <c r="A533" s="2">
        <v>531</v>
      </c>
      <c r="B533" t="s">
        <v>3759</v>
      </c>
      <c r="C533" s="1">
        <v>45855</v>
      </c>
      <c r="D533" s="3">
        <v>46220</v>
      </c>
      <c r="E533" s="5">
        <v>99.424419999999998</v>
      </c>
      <c r="F533" s="3">
        <v>46210</v>
      </c>
      <c r="G533">
        <v>75.899389999999997</v>
      </c>
      <c r="H533" s="1">
        <v>45874</v>
      </c>
    </row>
    <row r="534" spans="1:8" x14ac:dyDescent="0.25">
      <c r="A534" s="2">
        <v>532</v>
      </c>
      <c r="B534" t="s">
        <v>575</v>
      </c>
      <c r="C534" s="1">
        <v>45855</v>
      </c>
      <c r="D534" s="3">
        <v>46220</v>
      </c>
      <c r="E534" s="5">
        <v>99.730260000000001</v>
      </c>
      <c r="F534" s="3">
        <v>46128</v>
      </c>
      <c r="G534">
        <v>53.73263</v>
      </c>
      <c r="H534" s="1">
        <v>46052</v>
      </c>
    </row>
    <row r="535" spans="1:8" x14ac:dyDescent="0.25">
      <c r="A535" s="2">
        <v>533</v>
      </c>
      <c r="B535" t="s">
        <v>2388</v>
      </c>
      <c r="C535" s="1">
        <v>45855</v>
      </c>
      <c r="D535" s="3">
        <v>46220</v>
      </c>
      <c r="E535" s="5">
        <v>95.402500000000003</v>
      </c>
      <c r="F535" s="3">
        <v>46037</v>
      </c>
      <c r="G535">
        <v>77.204880000000003</v>
      </c>
      <c r="H535" s="1">
        <v>46155</v>
      </c>
    </row>
    <row r="536" spans="1:8" x14ac:dyDescent="0.25">
      <c r="A536" s="2">
        <v>534</v>
      </c>
      <c r="B536" t="s">
        <v>805</v>
      </c>
      <c r="C536" s="1">
        <v>45855</v>
      </c>
      <c r="D536" s="3">
        <v>46220</v>
      </c>
      <c r="E536" s="5">
        <v>86.770650000000003</v>
      </c>
      <c r="F536" s="3">
        <v>45958</v>
      </c>
      <c r="G536">
        <v>83.602919999999997</v>
      </c>
      <c r="H536" s="1">
        <v>46104</v>
      </c>
    </row>
    <row r="537" spans="1:8" x14ac:dyDescent="0.25">
      <c r="A537" s="2">
        <v>535</v>
      </c>
      <c r="B537" t="s">
        <v>803</v>
      </c>
      <c r="C537" s="1">
        <v>45855</v>
      </c>
      <c r="D537" s="3">
        <v>46220</v>
      </c>
      <c r="E537" s="5">
        <v>68.104079999999996</v>
      </c>
      <c r="F537" s="3">
        <v>45952</v>
      </c>
      <c r="G537">
        <v>59.907440000000001</v>
      </c>
      <c r="H537" s="1">
        <v>46101</v>
      </c>
    </row>
    <row r="538" spans="1:8" x14ac:dyDescent="0.25">
      <c r="A538" s="2">
        <v>536</v>
      </c>
      <c r="B538" t="s">
        <v>3757</v>
      </c>
      <c r="C538" s="1">
        <v>45855</v>
      </c>
      <c r="D538" s="3">
        <v>46220</v>
      </c>
      <c r="E538" s="5">
        <v>93.910809999999998</v>
      </c>
      <c r="F538" s="3">
        <v>46148</v>
      </c>
      <c r="G538">
        <v>82.722210000000004</v>
      </c>
      <c r="H538" s="1">
        <v>45870</v>
      </c>
    </row>
    <row r="539" spans="1:8" x14ac:dyDescent="0.25">
      <c r="A539" s="2">
        <v>537</v>
      </c>
      <c r="B539" t="s">
        <v>3845</v>
      </c>
      <c r="C539" s="1">
        <v>45855</v>
      </c>
      <c r="D539" s="3">
        <v>46220</v>
      </c>
      <c r="E539" s="5">
        <v>98.495739999999998</v>
      </c>
      <c r="F539" s="3">
        <v>45923</v>
      </c>
      <c r="G539">
        <v>81.054630000000003</v>
      </c>
      <c r="H539" s="1">
        <v>46077</v>
      </c>
    </row>
    <row r="540" spans="1:8" x14ac:dyDescent="0.25">
      <c r="A540" s="2">
        <v>538</v>
      </c>
      <c r="B540" t="s">
        <v>1215</v>
      </c>
      <c r="C540" s="1">
        <v>45855</v>
      </c>
      <c r="D540" s="3">
        <v>46220</v>
      </c>
      <c r="E540" s="5">
        <v>97.821380000000005</v>
      </c>
      <c r="F540" s="3">
        <v>46035</v>
      </c>
      <c r="G540">
        <v>91.195130000000006</v>
      </c>
      <c r="H540" s="1">
        <v>46204</v>
      </c>
    </row>
    <row r="541" spans="1:8" x14ac:dyDescent="0.25">
      <c r="A541" s="2">
        <v>539</v>
      </c>
      <c r="B541" t="s">
        <v>1368</v>
      </c>
      <c r="C541" s="1">
        <v>45855</v>
      </c>
      <c r="D541" s="3">
        <v>46220</v>
      </c>
      <c r="E541" s="5">
        <v>66.590710000000001</v>
      </c>
      <c r="F541" s="3">
        <v>46178</v>
      </c>
      <c r="G541">
        <v>19.694690000000001</v>
      </c>
      <c r="H541" s="1">
        <v>46066</v>
      </c>
    </row>
    <row r="542" spans="1:8" x14ac:dyDescent="0.25">
      <c r="A542" s="2">
        <v>540</v>
      </c>
      <c r="B542" t="s">
        <v>2283</v>
      </c>
      <c r="C542" s="1">
        <v>45855</v>
      </c>
      <c r="D542" s="3">
        <v>46220</v>
      </c>
      <c r="E542" s="5">
        <v>94.506730000000005</v>
      </c>
      <c r="F542" s="3">
        <v>45931</v>
      </c>
      <c r="G542">
        <v>85.623040000000003</v>
      </c>
      <c r="H542" s="1">
        <v>46111</v>
      </c>
    </row>
    <row r="543" spans="1:8" x14ac:dyDescent="0.25">
      <c r="A543" s="2">
        <v>541</v>
      </c>
      <c r="B543" t="s">
        <v>801</v>
      </c>
      <c r="C543" s="1">
        <v>45855</v>
      </c>
      <c r="D543" s="3">
        <v>46220</v>
      </c>
      <c r="E543" s="5">
        <v>92.349000000000004</v>
      </c>
      <c r="F543" s="3">
        <v>45952</v>
      </c>
      <c r="G543">
        <v>89.741</v>
      </c>
      <c r="H543" s="1">
        <v>46101</v>
      </c>
    </row>
    <row r="544" spans="1:8" x14ac:dyDescent="0.25">
      <c r="A544" s="2">
        <v>542</v>
      </c>
      <c r="B544" t="s">
        <v>1856</v>
      </c>
      <c r="C544" s="1">
        <v>45855</v>
      </c>
      <c r="D544" s="3">
        <v>46220</v>
      </c>
      <c r="E544" s="5">
        <v>96.85669</v>
      </c>
      <c r="F544" s="3">
        <v>46078</v>
      </c>
      <c r="G544">
        <v>94.15531</v>
      </c>
      <c r="H544" s="1">
        <v>45890</v>
      </c>
    </row>
    <row r="545" spans="1:8" x14ac:dyDescent="0.25">
      <c r="A545" s="2">
        <v>543</v>
      </c>
      <c r="B545" t="s">
        <v>1854</v>
      </c>
      <c r="C545" s="1">
        <v>45855</v>
      </c>
      <c r="D545" s="3">
        <v>46220</v>
      </c>
      <c r="E545" s="5">
        <v>95.895420000000001</v>
      </c>
      <c r="F545" s="3">
        <v>46072</v>
      </c>
      <c r="G545">
        <v>90.650229999999993</v>
      </c>
      <c r="H545" s="1">
        <v>45862</v>
      </c>
    </row>
    <row r="546" spans="1:8" x14ac:dyDescent="0.25">
      <c r="A546" s="2">
        <v>544</v>
      </c>
      <c r="B546" t="s">
        <v>1806</v>
      </c>
      <c r="C546" s="1">
        <v>45855</v>
      </c>
      <c r="D546" s="3">
        <v>46220</v>
      </c>
      <c r="E546" s="5">
        <v>98.480959999999996</v>
      </c>
      <c r="F546" s="3">
        <v>46220</v>
      </c>
      <c r="G546">
        <v>66.819109999999995</v>
      </c>
      <c r="H546" s="1">
        <v>46010</v>
      </c>
    </row>
    <row r="547" spans="1:8" x14ac:dyDescent="0.25">
      <c r="A547" s="2">
        <v>545</v>
      </c>
      <c r="B547" t="s">
        <v>1852</v>
      </c>
      <c r="C547" s="1">
        <v>45855</v>
      </c>
      <c r="D547" s="3">
        <v>46220</v>
      </c>
      <c r="E547" s="5">
        <v>98.290999999999997</v>
      </c>
      <c r="F547" s="3">
        <v>46079</v>
      </c>
      <c r="G547">
        <v>94.247</v>
      </c>
      <c r="H547" s="1">
        <v>46111</v>
      </c>
    </row>
    <row r="548" spans="1:8" x14ac:dyDescent="0.25">
      <c r="A548" s="2">
        <v>546</v>
      </c>
      <c r="B548" t="s">
        <v>1850</v>
      </c>
      <c r="C548" s="1">
        <v>45855</v>
      </c>
      <c r="D548" s="3">
        <v>46220</v>
      </c>
      <c r="E548" s="5">
        <v>96.501999999999995</v>
      </c>
      <c r="F548" s="3">
        <v>46079</v>
      </c>
      <c r="G548">
        <v>89.123000000000005</v>
      </c>
      <c r="H548" s="1">
        <v>45855</v>
      </c>
    </row>
    <row r="549" spans="1:8" x14ac:dyDescent="0.25">
      <c r="A549" s="2">
        <v>547</v>
      </c>
      <c r="B549" t="s">
        <v>463</v>
      </c>
      <c r="C549" s="1">
        <v>45855</v>
      </c>
      <c r="D549" s="3">
        <v>46220</v>
      </c>
      <c r="E549" s="5">
        <v>84.782870000000003</v>
      </c>
      <c r="F549" s="3">
        <v>45859</v>
      </c>
      <c r="G549">
        <v>55.447240000000001</v>
      </c>
      <c r="H549" s="1">
        <v>45979</v>
      </c>
    </row>
    <row r="550" spans="1:8" x14ac:dyDescent="0.25">
      <c r="A550" s="2">
        <v>548</v>
      </c>
      <c r="B550" t="s">
        <v>3895</v>
      </c>
      <c r="C550" s="1">
        <v>45855</v>
      </c>
      <c r="D550" s="3">
        <v>46220</v>
      </c>
      <c r="E550" s="5">
        <v>86.769416264494694</v>
      </c>
      <c r="F550" s="3">
        <v>46143</v>
      </c>
      <c r="G550">
        <v>8.1489840000000004</v>
      </c>
      <c r="H550" s="1">
        <v>45911</v>
      </c>
    </row>
    <row r="551" spans="1:8" x14ac:dyDescent="0.25">
      <c r="A551" s="2">
        <v>549</v>
      </c>
      <c r="B551" t="s">
        <v>552</v>
      </c>
      <c r="C551" s="1">
        <v>45855</v>
      </c>
      <c r="D551" s="3">
        <v>46220</v>
      </c>
      <c r="E551" s="5">
        <v>87.290030000000002</v>
      </c>
      <c r="F551" s="3">
        <v>45932</v>
      </c>
      <c r="G551">
        <v>58.513689999999997</v>
      </c>
      <c r="H551" s="1">
        <v>46219</v>
      </c>
    </row>
    <row r="552" spans="1:8" x14ac:dyDescent="0.25">
      <c r="A552" s="2">
        <v>550</v>
      </c>
      <c r="B552" t="s">
        <v>1926</v>
      </c>
      <c r="C552" s="1">
        <v>45855</v>
      </c>
      <c r="D552" s="3">
        <v>46220</v>
      </c>
      <c r="E552" s="5">
        <v>89.347520000000003</v>
      </c>
      <c r="F552" s="3">
        <v>45861</v>
      </c>
      <c r="G552">
        <v>57.965519999999998</v>
      </c>
      <c r="H552" s="1">
        <v>46094</v>
      </c>
    </row>
    <row r="553" spans="1:8" x14ac:dyDescent="0.25">
      <c r="A553" s="2">
        <v>551</v>
      </c>
      <c r="B553" t="s">
        <v>2243</v>
      </c>
      <c r="C553" s="1">
        <v>45855</v>
      </c>
      <c r="D553" s="3">
        <v>46220</v>
      </c>
      <c r="E553" s="5">
        <v>91.642859999999999</v>
      </c>
      <c r="F553" s="3">
        <v>46080</v>
      </c>
      <c r="G553">
        <v>88.435059999999993</v>
      </c>
      <c r="H553" s="1">
        <v>45855</v>
      </c>
    </row>
    <row r="554" spans="1:8" x14ac:dyDescent="0.25">
      <c r="A554" s="2">
        <v>552</v>
      </c>
      <c r="B554" t="s">
        <v>2240</v>
      </c>
      <c r="C554" s="1">
        <v>45855</v>
      </c>
      <c r="D554" s="3">
        <v>46220</v>
      </c>
      <c r="E554" s="5">
        <v>73.450739999999996</v>
      </c>
      <c r="F554" s="3">
        <v>45958</v>
      </c>
      <c r="G554">
        <v>67.113389999999995</v>
      </c>
      <c r="H554" s="1">
        <v>46161</v>
      </c>
    </row>
    <row r="555" spans="1:8" x14ac:dyDescent="0.25">
      <c r="A555" s="2">
        <v>553</v>
      </c>
      <c r="B555" t="s">
        <v>795</v>
      </c>
      <c r="C555" s="1">
        <v>45855</v>
      </c>
      <c r="D555" s="3">
        <v>46220</v>
      </c>
      <c r="E555" s="5">
        <v>91.460120000000003</v>
      </c>
      <c r="F555" s="3">
        <v>45946</v>
      </c>
      <c r="G555">
        <v>89.154780000000002</v>
      </c>
      <c r="H555" s="1">
        <v>46161</v>
      </c>
    </row>
    <row r="556" spans="1:8" x14ac:dyDescent="0.25">
      <c r="A556" s="2">
        <v>554</v>
      </c>
      <c r="B556" t="s">
        <v>968</v>
      </c>
      <c r="C556" s="1">
        <v>45855</v>
      </c>
      <c r="D556" s="3">
        <v>46220</v>
      </c>
      <c r="E556" s="5">
        <v>77.110240000000005</v>
      </c>
      <c r="F556" s="3">
        <v>46073</v>
      </c>
      <c r="G556">
        <v>66.372240000000005</v>
      </c>
      <c r="H556" s="1">
        <v>45860</v>
      </c>
    </row>
    <row r="557" spans="1:8" x14ac:dyDescent="0.25">
      <c r="A557" s="2">
        <v>555</v>
      </c>
      <c r="B557" t="s">
        <v>2099</v>
      </c>
      <c r="C557" s="1">
        <v>45855</v>
      </c>
      <c r="D557" s="3">
        <v>46220</v>
      </c>
      <c r="E557" s="5">
        <v>96.878680000000003</v>
      </c>
      <c r="F557" s="3">
        <v>46048</v>
      </c>
      <c r="G557">
        <v>81.881290000000007</v>
      </c>
      <c r="H557" s="1">
        <v>45855</v>
      </c>
    </row>
    <row r="558" spans="1:8" x14ac:dyDescent="0.25">
      <c r="A558" s="2">
        <v>556</v>
      </c>
      <c r="B558" t="s">
        <v>318</v>
      </c>
      <c r="C558" s="1">
        <v>45855</v>
      </c>
      <c r="D558" s="3">
        <v>46220</v>
      </c>
      <c r="E558" s="5">
        <v>53.397559999999999</v>
      </c>
      <c r="F558" s="3">
        <v>45859</v>
      </c>
      <c r="G558">
        <v>13.131919999999999</v>
      </c>
      <c r="H558" s="1">
        <v>46111</v>
      </c>
    </row>
    <row r="559" spans="1:8" x14ac:dyDescent="0.25">
      <c r="A559" s="2">
        <v>557</v>
      </c>
      <c r="B559" t="s">
        <v>1301</v>
      </c>
      <c r="C559" s="1">
        <v>45855</v>
      </c>
      <c r="D559" s="3">
        <v>46220</v>
      </c>
      <c r="E559" s="5">
        <v>100.37050000000001</v>
      </c>
      <c r="F559" s="3">
        <v>45908</v>
      </c>
      <c r="G559">
        <v>90.598179999999999</v>
      </c>
      <c r="H559" s="1">
        <v>46108</v>
      </c>
    </row>
    <row r="560" spans="1:8" x14ac:dyDescent="0.25">
      <c r="A560" s="2">
        <v>558</v>
      </c>
      <c r="B560" t="s">
        <v>1029</v>
      </c>
      <c r="C560" s="1">
        <v>45855</v>
      </c>
      <c r="D560" s="3">
        <v>46220</v>
      </c>
      <c r="E560" s="5">
        <v>89.857709999999997</v>
      </c>
      <c r="F560" s="3">
        <v>46220</v>
      </c>
      <c r="G560">
        <v>77.844949999999997</v>
      </c>
      <c r="H560" s="1">
        <v>46062</v>
      </c>
    </row>
    <row r="561" spans="1:8" x14ac:dyDescent="0.25">
      <c r="A561" s="2">
        <v>559</v>
      </c>
      <c r="B561" t="s">
        <v>206</v>
      </c>
      <c r="C561" s="1">
        <v>45855</v>
      </c>
      <c r="D561" s="3">
        <v>46220</v>
      </c>
      <c r="E561" s="5">
        <v>100.6356</v>
      </c>
      <c r="F561" s="3">
        <v>46058</v>
      </c>
      <c r="G561">
        <v>94.041520000000006</v>
      </c>
      <c r="H561" s="1">
        <v>45870</v>
      </c>
    </row>
    <row r="562" spans="1:8" x14ac:dyDescent="0.25">
      <c r="A562" s="2">
        <v>560</v>
      </c>
      <c r="B562" t="s">
        <v>1827</v>
      </c>
      <c r="C562" s="1">
        <v>45855</v>
      </c>
      <c r="D562" s="3">
        <v>46220</v>
      </c>
      <c r="E562" s="5">
        <v>61.542720000000003</v>
      </c>
      <c r="F562" s="3">
        <v>45971</v>
      </c>
      <c r="G562">
        <v>43.885860000000001</v>
      </c>
      <c r="H562" s="1">
        <v>45888</v>
      </c>
    </row>
    <row r="563" spans="1:8" x14ac:dyDescent="0.25">
      <c r="A563" s="2">
        <v>561</v>
      </c>
      <c r="B563" t="s">
        <v>40</v>
      </c>
      <c r="C563" s="1">
        <v>45855</v>
      </c>
      <c r="D563" s="3">
        <v>46220</v>
      </c>
      <c r="E563" s="5">
        <v>69.888030000000001</v>
      </c>
      <c r="F563" s="3">
        <v>45859</v>
      </c>
      <c r="G563">
        <v>53.49465</v>
      </c>
      <c r="H563" s="1">
        <v>46154</v>
      </c>
    </row>
    <row r="564" spans="1:8" x14ac:dyDescent="0.25">
      <c r="A564" s="2">
        <v>562</v>
      </c>
      <c r="B564" t="s">
        <v>60</v>
      </c>
      <c r="C564" s="1">
        <v>45855</v>
      </c>
      <c r="D564" s="3">
        <v>46220</v>
      </c>
      <c r="E564" s="5">
        <v>49.533329999999999</v>
      </c>
      <c r="F564" s="3">
        <v>45856</v>
      </c>
      <c r="G564">
        <v>21.691269999999999</v>
      </c>
      <c r="H564" s="1">
        <v>46190</v>
      </c>
    </row>
    <row r="565" spans="1:8" x14ac:dyDescent="0.25">
      <c r="A565" s="2">
        <v>563</v>
      </c>
      <c r="B565" t="s">
        <v>204</v>
      </c>
      <c r="C565" s="1">
        <v>45855</v>
      </c>
      <c r="D565" s="3">
        <v>46220</v>
      </c>
      <c r="E565" s="5">
        <v>100.2246</v>
      </c>
      <c r="F565" s="3">
        <v>46080</v>
      </c>
      <c r="G565">
        <v>96.457499999999996</v>
      </c>
      <c r="H565" s="1">
        <v>45855</v>
      </c>
    </row>
    <row r="566" spans="1:8" x14ac:dyDescent="0.25">
      <c r="A566" s="2">
        <v>564</v>
      </c>
      <c r="B566" t="s">
        <v>2518</v>
      </c>
      <c r="C566" s="1">
        <v>45855</v>
      </c>
      <c r="D566" s="3">
        <v>46220</v>
      </c>
      <c r="E566" s="5">
        <v>86.79083</v>
      </c>
      <c r="F566" s="3">
        <v>46148</v>
      </c>
      <c r="G566">
        <v>66.483239999999995</v>
      </c>
      <c r="H566" s="1">
        <v>46002</v>
      </c>
    </row>
    <row r="567" spans="1:8" x14ac:dyDescent="0.25">
      <c r="A567" s="2">
        <v>565</v>
      </c>
      <c r="B567" t="s">
        <v>3755</v>
      </c>
      <c r="C567" s="1">
        <v>45855</v>
      </c>
      <c r="D567" s="3">
        <v>46220</v>
      </c>
      <c r="E567" s="5">
        <v>91.622960000000006</v>
      </c>
      <c r="F567" s="3">
        <v>46210</v>
      </c>
      <c r="G567">
        <v>67.672309999999996</v>
      </c>
      <c r="H567" s="1">
        <v>45873</v>
      </c>
    </row>
    <row r="568" spans="1:8" x14ac:dyDescent="0.25">
      <c r="A568" s="2">
        <v>566</v>
      </c>
      <c r="B568" t="s">
        <v>202</v>
      </c>
      <c r="C568" s="1">
        <v>45855</v>
      </c>
      <c r="D568" s="3">
        <v>46220</v>
      </c>
      <c r="E568" s="5">
        <v>99.823650000000001</v>
      </c>
      <c r="F568" s="3">
        <v>46141</v>
      </c>
      <c r="G568">
        <v>96.019580000000005</v>
      </c>
      <c r="H568" s="1">
        <v>45868</v>
      </c>
    </row>
    <row r="569" spans="1:8" x14ac:dyDescent="0.25">
      <c r="A569" s="2">
        <v>567</v>
      </c>
      <c r="B569" t="s">
        <v>3796</v>
      </c>
      <c r="C569" s="1">
        <v>45855</v>
      </c>
      <c r="D569" s="3">
        <v>46220</v>
      </c>
      <c r="E569" s="5">
        <v>92.999070000000003</v>
      </c>
      <c r="F569" s="3">
        <v>46148</v>
      </c>
      <c r="G569">
        <v>69.676879999999997</v>
      </c>
      <c r="H569" s="1">
        <v>45884</v>
      </c>
    </row>
    <row r="570" spans="1:8" x14ac:dyDescent="0.25">
      <c r="A570" s="2">
        <v>568</v>
      </c>
      <c r="B570" t="s">
        <v>2238</v>
      </c>
      <c r="C570" s="1">
        <v>45855</v>
      </c>
      <c r="D570" s="3">
        <v>46220</v>
      </c>
      <c r="E570" s="5">
        <v>91.501450000000006</v>
      </c>
      <c r="F570" s="3">
        <v>45952</v>
      </c>
      <c r="G570">
        <v>88.697810000000004</v>
      </c>
      <c r="H570" s="1">
        <v>45855</v>
      </c>
    </row>
    <row r="571" spans="1:8" x14ac:dyDescent="0.25">
      <c r="A571" s="2">
        <v>569</v>
      </c>
      <c r="B571" t="s">
        <v>151</v>
      </c>
      <c r="C571" s="1">
        <v>45855</v>
      </c>
      <c r="D571" s="3">
        <v>46220</v>
      </c>
      <c r="E571" s="5">
        <v>94.306049999999999</v>
      </c>
      <c r="F571" s="3">
        <v>46148</v>
      </c>
      <c r="G571">
        <v>85.669780000000003</v>
      </c>
      <c r="H571" s="1">
        <v>45855</v>
      </c>
    </row>
    <row r="572" spans="1:8" x14ac:dyDescent="0.25">
      <c r="A572" s="2">
        <v>570</v>
      </c>
      <c r="B572" t="s">
        <v>1053</v>
      </c>
      <c r="C572" s="1">
        <v>45855</v>
      </c>
      <c r="D572" s="3">
        <v>46220</v>
      </c>
      <c r="E572" s="5">
        <v>88.420460000000006</v>
      </c>
      <c r="F572" s="3">
        <v>46050</v>
      </c>
      <c r="G572">
        <v>83.025540000000007</v>
      </c>
      <c r="H572" s="1">
        <v>46101</v>
      </c>
    </row>
    <row r="573" spans="1:8" x14ac:dyDescent="0.25">
      <c r="A573" s="2">
        <v>571</v>
      </c>
      <c r="B573" t="s">
        <v>2080</v>
      </c>
      <c r="C573" s="1">
        <v>45855</v>
      </c>
      <c r="D573" s="3">
        <v>46220</v>
      </c>
      <c r="E573" s="5">
        <v>81.814830000000001</v>
      </c>
      <c r="F573" s="3">
        <v>45868</v>
      </c>
      <c r="G573">
        <v>33.123359999999998</v>
      </c>
      <c r="H573" s="1">
        <v>46122</v>
      </c>
    </row>
    <row r="574" spans="1:8" x14ac:dyDescent="0.25">
      <c r="A574" s="2">
        <v>572</v>
      </c>
      <c r="B574" t="s">
        <v>793</v>
      </c>
      <c r="C574" s="1">
        <v>45855</v>
      </c>
      <c r="D574" s="3">
        <v>46220</v>
      </c>
      <c r="E574" s="5">
        <v>89.999020000000002</v>
      </c>
      <c r="F574" s="3">
        <v>46076</v>
      </c>
      <c r="G574">
        <v>87.823300000000003</v>
      </c>
      <c r="H574" s="1">
        <v>46161</v>
      </c>
    </row>
    <row r="575" spans="1:8" x14ac:dyDescent="0.25">
      <c r="A575" s="2">
        <v>573</v>
      </c>
      <c r="B575" t="s">
        <v>2281</v>
      </c>
      <c r="C575" s="1">
        <v>45855</v>
      </c>
      <c r="D575" s="3">
        <v>46220</v>
      </c>
      <c r="E575" s="5">
        <v>98.009929999999997</v>
      </c>
      <c r="F575" s="3">
        <v>45937</v>
      </c>
      <c r="G575">
        <v>80.021050000000002</v>
      </c>
      <c r="H575" s="1">
        <v>46118</v>
      </c>
    </row>
    <row r="576" spans="1:8" x14ac:dyDescent="0.25">
      <c r="A576" s="2">
        <v>574</v>
      </c>
      <c r="B576" t="s">
        <v>1088</v>
      </c>
      <c r="C576" s="1">
        <v>45855</v>
      </c>
      <c r="D576" s="3">
        <v>46220</v>
      </c>
      <c r="E576" s="5">
        <v>94.641729999999995</v>
      </c>
      <c r="F576" s="3">
        <v>45919</v>
      </c>
      <c r="G576">
        <v>81.109350000000006</v>
      </c>
      <c r="H576" s="1">
        <v>46220</v>
      </c>
    </row>
    <row r="577" spans="1:8" x14ac:dyDescent="0.25">
      <c r="A577" s="2">
        <v>575</v>
      </c>
      <c r="B577" t="s">
        <v>1086</v>
      </c>
      <c r="C577" s="1">
        <v>45855</v>
      </c>
      <c r="D577" s="3">
        <v>46220</v>
      </c>
      <c r="E577" s="5">
        <v>92.028180000000006</v>
      </c>
      <c r="F577" s="3">
        <v>45882</v>
      </c>
      <c r="G577">
        <v>82.052629999999994</v>
      </c>
      <c r="H577" s="1">
        <v>46204</v>
      </c>
    </row>
    <row r="578" spans="1:8" x14ac:dyDescent="0.25">
      <c r="A578" s="2">
        <v>576</v>
      </c>
      <c r="B578" t="s">
        <v>1213</v>
      </c>
      <c r="C578" s="1">
        <v>45855</v>
      </c>
      <c r="D578" s="3">
        <v>46220</v>
      </c>
      <c r="E578" s="5">
        <v>99.721149999999994</v>
      </c>
      <c r="F578" s="3">
        <v>46044</v>
      </c>
      <c r="G578">
        <v>87.851230000000001</v>
      </c>
      <c r="H578" s="1">
        <v>46211</v>
      </c>
    </row>
    <row r="579" spans="1:8" x14ac:dyDescent="0.25">
      <c r="A579" s="2">
        <v>577</v>
      </c>
      <c r="B579" t="s">
        <v>1617</v>
      </c>
      <c r="C579" s="1">
        <v>45855</v>
      </c>
      <c r="D579" s="3">
        <v>46220</v>
      </c>
      <c r="E579" s="5">
        <v>76.783439999999999</v>
      </c>
      <c r="F579" s="3">
        <v>46021</v>
      </c>
      <c r="G579">
        <v>52.172449999999998</v>
      </c>
      <c r="H579" s="1">
        <v>45923</v>
      </c>
    </row>
    <row r="580" spans="1:8" x14ac:dyDescent="0.25">
      <c r="A580" s="2">
        <v>578</v>
      </c>
      <c r="B580" t="s">
        <v>1615</v>
      </c>
      <c r="C580" s="1">
        <v>45855</v>
      </c>
      <c r="D580" s="3">
        <v>46220</v>
      </c>
      <c r="E580" s="5">
        <v>68.991259999999997</v>
      </c>
      <c r="F580" s="3">
        <v>46217</v>
      </c>
      <c r="G580">
        <v>48.419319999999999</v>
      </c>
      <c r="H580" s="1">
        <v>45993</v>
      </c>
    </row>
    <row r="581" spans="1:8" x14ac:dyDescent="0.25">
      <c r="A581" s="2">
        <v>579</v>
      </c>
      <c r="B581" t="s">
        <v>1415</v>
      </c>
      <c r="C581" s="1">
        <v>45855</v>
      </c>
      <c r="D581" s="3">
        <v>46220</v>
      </c>
      <c r="E581" s="5">
        <v>79.652000000000001</v>
      </c>
      <c r="F581" s="3">
        <v>45909</v>
      </c>
      <c r="G581">
        <v>64.329002380371094</v>
      </c>
      <c r="H581" s="1">
        <v>46220</v>
      </c>
    </row>
    <row r="582" spans="1:8" x14ac:dyDescent="0.25">
      <c r="A582" s="2">
        <v>580</v>
      </c>
      <c r="B582" t="s">
        <v>1413</v>
      </c>
      <c r="C582" s="1">
        <v>45855</v>
      </c>
      <c r="D582" s="3">
        <v>46220</v>
      </c>
      <c r="E582" s="5">
        <v>79.586799999999997</v>
      </c>
      <c r="F582" s="3">
        <v>45912</v>
      </c>
      <c r="G582">
        <v>63.858885000000001</v>
      </c>
      <c r="H582" s="1">
        <v>46220</v>
      </c>
    </row>
    <row r="583" spans="1:8" x14ac:dyDescent="0.25">
      <c r="A583" s="2">
        <v>581</v>
      </c>
      <c r="B583" t="s">
        <v>3794</v>
      </c>
      <c r="C583" s="1">
        <v>45855</v>
      </c>
      <c r="D583" s="3">
        <v>46220</v>
      </c>
      <c r="E583" s="5">
        <v>92.999070000000003</v>
      </c>
      <c r="F583" s="3">
        <v>46148</v>
      </c>
      <c r="G583">
        <v>69.676879999999997</v>
      </c>
      <c r="H583" s="1">
        <v>45884</v>
      </c>
    </row>
    <row r="584" spans="1:8" x14ac:dyDescent="0.25">
      <c r="A584" s="2">
        <v>582</v>
      </c>
      <c r="B584" t="s">
        <v>791</v>
      </c>
      <c r="C584" s="1">
        <v>45855</v>
      </c>
      <c r="D584" s="3">
        <v>46220</v>
      </c>
      <c r="E584" s="5">
        <v>84.096630000000005</v>
      </c>
      <c r="F584" s="3">
        <v>46076</v>
      </c>
      <c r="G584">
        <v>80.937100000000001</v>
      </c>
      <c r="H584" s="1">
        <v>46161</v>
      </c>
    </row>
    <row r="585" spans="1:8" x14ac:dyDescent="0.25">
      <c r="A585" s="2">
        <v>583</v>
      </c>
      <c r="B585" t="s">
        <v>789</v>
      </c>
      <c r="C585" s="1">
        <v>45855</v>
      </c>
      <c r="D585" s="3">
        <v>46220</v>
      </c>
      <c r="E585" s="5">
        <v>93.21499</v>
      </c>
      <c r="F585" s="3">
        <v>46069</v>
      </c>
      <c r="G585">
        <v>92.019990000000007</v>
      </c>
      <c r="H585" s="1">
        <v>46161</v>
      </c>
    </row>
    <row r="586" spans="1:8" x14ac:dyDescent="0.25">
      <c r="A586" s="2">
        <v>584</v>
      </c>
      <c r="B586" t="s">
        <v>3693</v>
      </c>
      <c r="C586" s="1">
        <v>45855</v>
      </c>
      <c r="D586" s="3">
        <v>46220</v>
      </c>
      <c r="E586" s="5">
        <v>100.2717</v>
      </c>
      <c r="F586" s="3">
        <v>46141</v>
      </c>
      <c r="G586">
        <v>91.986450000000005</v>
      </c>
      <c r="H586" s="1">
        <v>45855</v>
      </c>
    </row>
    <row r="587" spans="1:8" x14ac:dyDescent="0.25">
      <c r="A587" s="2">
        <v>585</v>
      </c>
      <c r="B587" t="s">
        <v>1586</v>
      </c>
      <c r="C587" s="1">
        <v>45855</v>
      </c>
      <c r="D587" s="3">
        <v>46220</v>
      </c>
      <c r="E587" s="5">
        <v>40.884569999999997</v>
      </c>
      <c r="F587" s="3">
        <v>45901</v>
      </c>
      <c r="G587">
        <v>8.1716999999999995</v>
      </c>
      <c r="H587" s="1">
        <v>46190</v>
      </c>
    </row>
    <row r="588" spans="1:8" x14ac:dyDescent="0.25">
      <c r="A588" s="2">
        <v>586</v>
      </c>
      <c r="B588" t="s">
        <v>3424</v>
      </c>
      <c r="C588" s="1">
        <v>45855</v>
      </c>
      <c r="D588" s="3">
        <v>46220</v>
      </c>
      <c r="E588" s="5">
        <v>96.77552</v>
      </c>
      <c r="F588" s="3">
        <v>46076</v>
      </c>
      <c r="G588">
        <v>92.547150000000002</v>
      </c>
      <c r="H588" s="1">
        <v>45856</v>
      </c>
    </row>
    <row r="589" spans="1:8" x14ac:dyDescent="0.25">
      <c r="A589" s="2">
        <v>587</v>
      </c>
      <c r="B589" t="s">
        <v>966</v>
      </c>
      <c r="C589" s="1">
        <v>45855</v>
      </c>
      <c r="D589" s="3">
        <v>46220</v>
      </c>
      <c r="E589" s="5">
        <v>98.673000000000002</v>
      </c>
      <c r="F589" s="3">
        <v>46219</v>
      </c>
      <c r="G589">
        <v>92.793000000000006</v>
      </c>
      <c r="H589" s="1">
        <v>45855</v>
      </c>
    </row>
    <row r="590" spans="1:8" x14ac:dyDescent="0.25">
      <c r="A590" s="2">
        <v>588</v>
      </c>
      <c r="B590" t="s">
        <v>2386</v>
      </c>
      <c r="C590" s="1">
        <v>45855</v>
      </c>
      <c r="D590" s="3">
        <v>46220</v>
      </c>
      <c r="E590" s="5">
        <v>88.586330000000004</v>
      </c>
      <c r="F590" s="3">
        <v>45910</v>
      </c>
      <c r="G590">
        <v>82.981620000000007</v>
      </c>
      <c r="H590" s="1">
        <v>46181</v>
      </c>
    </row>
    <row r="591" spans="1:8" x14ac:dyDescent="0.25">
      <c r="A591" s="2">
        <v>589</v>
      </c>
      <c r="B591" t="s">
        <v>2410</v>
      </c>
      <c r="C591" s="1">
        <v>45855</v>
      </c>
      <c r="D591" s="3">
        <v>46220</v>
      </c>
      <c r="E591" s="5">
        <v>90.027600000000007</v>
      </c>
      <c r="F591" s="3">
        <v>45860</v>
      </c>
      <c r="G591">
        <v>65.584159999999997</v>
      </c>
      <c r="H591" s="1">
        <v>46099</v>
      </c>
    </row>
    <row r="592" spans="1:8" x14ac:dyDescent="0.25">
      <c r="A592" s="2">
        <v>590</v>
      </c>
      <c r="B592" t="s">
        <v>2525</v>
      </c>
      <c r="C592" s="1">
        <v>45855</v>
      </c>
      <c r="D592" s="3">
        <v>46220</v>
      </c>
      <c r="E592" s="5">
        <v>97.412480000000002</v>
      </c>
      <c r="F592" s="3">
        <v>45923</v>
      </c>
      <c r="G592">
        <v>56.654670000000003</v>
      </c>
      <c r="H592" s="1">
        <v>46090</v>
      </c>
    </row>
    <row r="593" spans="1:8" x14ac:dyDescent="0.25">
      <c r="A593" s="2">
        <v>591</v>
      </c>
      <c r="B593" t="s">
        <v>2464</v>
      </c>
      <c r="C593" s="1">
        <v>45855</v>
      </c>
      <c r="D593" s="3">
        <v>46220</v>
      </c>
      <c r="E593" s="5">
        <v>71.998050000000006</v>
      </c>
      <c r="F593" s="3">
        <v>45904</v>
      </c>
      <c r="G593">
        <v>53.438319999999997</v>
      </c>
      <c r="H593" s="1">
        <v>45980</v>
      </c>
    </row>
    <row r="594" spans="1:8" x14ac:dyDescent="0.25">
      <c r="A594" s="2">
        <v>592</v>
      </c>
      <c r="B594" t="s">
        <v>512</v>
      </c>
      <c r="C594" s="1">
        <v>45855</v>
      </c>
      <c r="D594" s="3">
        <v>46220</v>
      </c>
      <c r="E594" s="5">
        <v>88.282070000000004</v>
      </c>
      <c r="F594" s="3">
        <v>45866</v>
      </c>
      <c r="G594">
        <v>40.13449</v>
      </c>
      <c r="H594" s="1">
        <v>46084</v>
      </c>
    </row>
    <row r="595" spans="1:8" x14ac:dyDescent="0.25">
      <c r="A595" s="2">
        <v>593</v>
      </c>
      <c r="B595" t="s">
        <v>510</v>
      </c>
      <c r="C595" s="1">
        <v>45855</v>
      </c>
      <c r="D595" s="3">
        <v>46220</v>
      </c>
      <c r="E595" s="5">
        <v>79.802000000000007</v>
      </c>
      <c r="F595" s="3">
        <v>45869</v>
      </c>
      <c r="G595">
        <v>5.2253879999999997</v>
      </c>
      <c r="H595" s="1">
        <v>46052</v>
      </c>
    </row>
    <row r="596" spans="1:8" x14ac:dyDescent="0.25">
      <c r="A596" s="2">
        <v>594</v>
      </c>
      <c r="B596" t="s">
        <v>1804</v>
      </c>
      <c r="C596" s="1">
        <v>45855</v>
      </c>
      <c r="D596" s="3">
        <v>46220</v>
      </c>
      <c r="E596" s="5">
        <v>100.104185</v>
      </c>
      <c r="F596" s="3">
        <v>46220</v>
      </c>
      <c r="G596">
        <v>88.134460000000004</v>
      </c>
      <c r="H596" s="1">
        <v>45996</v>
      </c>
    </row>
    <row r="597" spans="1:8" x14ac:dyDescent="0.25">
      <c r="A597" s="2">
        <v>595</v>
      </c>
      <c r="B597" t="s">
        <v>422</v>
      </c>
      <c r="C597" s="1">
        <v>45855</v>
      </c>
      <c r="D597" s="3">
        <v>46220</v>
      </c>
      <c r="E597" s="5">
        <v>80.380110000000002</v>
      </c>
      <c r="F597" s="3">
        <v>46129</v>
      </c>
      <c r="G597">
        <v>67.02122</v>
      </c>
      <c r="H597" s="1">
        <v>46190</v>
      </c>
    </row>
    <row r="598" spans="1:8" x14ac:dyDescent="0.25">
      <c r="A598" s="2">
        <v>596</v>
      </c>
      <c r="B598" t="s">
        <v>787</v>
      </c>
      <c r="C598" s="1">
        <v>45855</v>
      </c>
      <c r="D598" s="3">
        <v>46220</v>
      </c>
      <c r="E598" s="5">
        <v>94.935940000000002</v>
      </c>
      <c r="F598" s="3">
        <v>46070</v>
      </c>
      <c r="G598">
        <v>92.718289999999996</v>
      </c>
      <c r="H598" s="1">
        <v>45866</v>
      </c>
    </row>
    <row r="599" spans="1:8" x14ac:dyDescent="0.25">
      <c r="A599" s="2">
        <v>597</v>
      </c>
      <c r="B599" t="s">
        <v>785</v>
      </c>
      <c r="C599" s="1">
        <v>45855</v>
      </c>
      <c r="D599" s="3">
        <v>46220</v>
      </c>
      <c r="E599" s="5">
        <v>91.158690000000007</v>
      </c>
      <c r="F599" s="3">
        <v>46076</v>
      </c>
      <c r="G599">
        <v>89.018029999999996</v>
      </c>
      <c r="H599" s="1">
        <v>46161</v>
      </c>
    </row>
    <row r="600" spans="1:8" x14ac:dyDescent="0.25">
      <c r="A600" s="2">
        <v>598</v>
      </c>
      <c r="B600" t="s">
        <v>783</v>
      </c>
      <c r="C600" s="1">
        <v>45855</v>
      </c>
      <c r="D600" s="3">
        <v>46220</v>
      </c>
      <c r="E600" s="5">
        <v>88.275279999999995</v>
      </c>
      <c r="F600" s="3">
        <v>46132</v>
      </c>
      <c r="G600">
        <v>86.320350000000005</v>
      </c>
      <c r="H600" s="1">
        <v>46161</v>
      </c>
    </row>
    <row r="601" spans="1:8" x14ac:dyDescent="0.25">
      <c r="A601" s="2">
        <v>599</v>
      </c>
      <c r="B601" t="s">
        <v>781</v>
      </c>
      <c r="C601" s="1">
        <v>45855</v>
      </c>
      <c r="D601" s="3">
        <v>46220</v>
      </c>
      <c r="E601" s="5">
        <v>85.4422</v>
      </c>
      <c r="F601" s="3">
        <v>46197</v>
      </c>
      <c r="G601">
        <v>83.772980000000004</v>
      </c>
      <c r="H601" s="1">
        <v>46183</v>
      </c>
    </row>
    <row r="602" spans="1:8" x14ac:dyDescent="0.25">
      <c r="A602" s="2">
        <v>600</v>
      </c>
      <c r="B602" t="s">
        <v>3792</v>
      </c>
      <c r="C602" s="1">
        <v>45855</v>
      </c>
      <c r="D602" s="3">
        <v>46220</v>
      </c>
      <c r="E602" s="5">
        <v>101.5789</v>
      </c>
      <c r="F602" s="3">
        <v>46177</v>
      </c>
      <c r="G602">
        <v>93.022729999999996</v>
      </c>
      <c r="H602" s="1">
        <v>45889</v>
      </c>
    </row>
    <row r="603" spans="1:8" x14ac:dyDescent="0.25">
      <c r="A603" s="2">
        <v>601</v>
      </c>
      <c r="B603" t="s">
        <v>3790</v>
      </c>
      <c r="C603" s="1">
        <v>45855</v>
      </c>
      <c r="D603" s="3">
        <v>46220</v>
      </c>
      <c r="E603" s="5">
        <v>99.822710000000001</v>
      </c>
      <c r="F603" s="3">
        <v>46182</v>
      </c>
      <c r="G603">
        <v>87.984840000000005</v>
      </c>
      <c r="H603" s="1">
        <v>45875</v>
      </c>
    </row>
    <row r="604" spans="1:8" x14ac:dyDescent="0.25">
      <c r="A604" s="2">
        <v>602</v>
      </c>
      <c r="B604" t="s">
        <v>779</v>
      </c>
      <c r="C604" s="1">
        <v>45855</v>
      </c>
      <c r="D604" s="3">
        <v>46220</v>
      </c>
      <c r="E604" s="5">
        <v>90.379419999999996</v>
      </c>
      <c r="F604" s="3">
        <v>45952</v>
      </c>
      <c r="G604">
        <v>87.748410000000007</v>
      </c>
      <c r="H604" s="1">
        <v>46105</v>
      </c>
    </row>
    <row r="605" spans="1:8" x14ac:dyDescent="0.25">
      <c r="A605" s="2">
        <v>603</v>
      </c>
      <c r="B605" t="s">
        <v>777</v>
      </c>
      <c r="C605" s="1">
        <v>45855</v>
      </c>
      <c r="D605" s="3">
        <v>46220</v>
      </c>
      <c r="E605" s="5">
        <v>69.805030000000002</v>
      </c>
      <c r="F605" s="3">
        <v>45958</v>
      </c>
      <c r="G605">
        <v>61.482930000000003</v>
      </c>
      <c r="H605" s="1">
        <v>46101</v>
      </c>
    </row>
    <row r="606" spans="1:8" x14ac:dyDescent="0.25">
      <c r="A606" s="2">
        <v>604</v>
      </c>
      <c r="B606" t="s">
        <v>300</v>
      </c>
      <c r="C606" s="1">
        <v>45855</v>
      </c>
      <c r="D606" s="3">
        <v>46220</v>
      </c>
      <c r="E606" s="5">
        <v>98.529859999999999</v>
      </c>
      <c r="F606" s="3">
        <v>45932</v>
      </c>
      <c r="G606">
        <v>85.869344999999996</v>
      </c>
      <c r="H606" s="1">
        <v>46220</v>
      </c>
    </row>
    <row r="607" spans="1:8" x14ac:dyDescent="0.25">
      <c r="A607" s="2">
        <v>605</v>
      </c>
      <c r="B607" t="s">
        <v>298</v>
      </c>
      <c r="C607" s="1">
        <v>45855</v>
      </c>
      <c r="D607" s="3">
        <v>46220</v>
      </c>
      <c r="E607" s="5">
        <v>79.773510000000002</v>
      </c>
      <c r="F607" s="3">
        <v>45930</v>
      </c>
      <c r="G607">
        <v>25.14873</v>
      </c>
      <c r="H607" s="1">
        <v>46219</v>
      </c>
    </row>
    <row r="608" spans="1:8" x14ac:dyDescent="0.25">
      <c r="A608" s="2">
        <v>606</v>
      </c>
      <c r="B608" t="s">
        <v>775</v>
      </c>
      <c r="C608" s="1">
        <v>45855</v>
      </c>
      <c r="D608" s="3">
        <v>46220</v>
      </c>
      <c r="E608" s="5">
        <v>99.061130000000006</v>
      </c>
      <c r="F608" s="3">
        <v>45973</v>
      </c>
      <c r="G608">
        <v>85.88561</v>
      </c>
      <c r="H608" s="1">
        <v>46219</v>
      </c>
    </row>
    <row r="609" spans="1:8" x14ac:dyDescent="0.25">
      <c r="A609" s="2">
        <v>607</v>
      </c>
      <c r="B609" t="s">
        <v>3691</v>
      </c>
      <c r="C609" s="1">
        <v>45855</v>
      </c>
      <c r="D609" s="3">
        <v>46220</v>
      </c>
      <c r="E609" s="5">
        <v>94.656019999999998</v>
      </c>
      <c r="F609" s="3">
        <v>45945</v>
      </c>
      <c r="G609">
        <v>88.604129999999998</v>
      </c>
      <c r="H609" s="1">
        <v>45911</v>
      </c>
    </row>
    <row r="610" spans="1:8" x14ac:dyDescent="0.25">
      <c r="A610" s="2">
        <v>608</v>
      </c>
      <c r="B610" t="s">
        <v>771</v>
      </c>
      <c r="C610" s="1">
        <v>45855</v>
      </c>
      <c r="D610" s="3">
        <v>46220</v>
      </c>
      <c r="E610" s="5">
        <v>93.560779999999994</v>
      </c>
      <c r="F610" s="3">
        <v>46069</v>
      </c>
      <c r="G610">
        <v>91.826170000000005</v>
      </c>
      <c r="H610" s="1">
        <v>46218</v>
      </c>
    </row>
    <row r="611" spans="1:8" x14ac:dyDescent="0.25">
      <c r="A611" s="2">
        <v>609</v>
      </c>
      <c r="B611" t="s">
        <v>769</v>
      </c>
      <c r="C611" s="1">
        <v>45855</v>
      </c>
      <c r="D611" s="3">
        <v>46220</v>
      </c>
      <c r="E611" s="5">
        <v>88.693839999999994</v>
      </c>
      <c r="F611" s="3">
        <v>45946</v>
      </c>
      <c r="G611">
        <v>85.040700000000001</v>
      </c>
      <c r="H611" s="1">
        <v>46161</v>
      </c>
    </row>
    <row r="612" spans="1:8" x14ac:dyDescent="0.25">
      <c r="A612" s="2">
        <v>610</v>
      </c>
      <c r="B612" t="s">
        <v>3753</v>
      </c>
      <c r="C612" s="1">
        <v>45855</v>
      </c>
      <c r="D612" s="3">
        <v>46220</v>
      </c>
      <c r="E612" s="5">
        <v>96.54083</v>
      </c>
      <c r="F612" s="3">
        <v>46091</v>
      </c>
      <c r="G612">
        <v>87.041370000000001</v>
      </c>
      <c r="H612" s="1">
        <v>45874</v>
      </c>
    </row>
    <row r="613" spans="1:8" x14ac:dyDescent="0.25">
      <c r="A613" s="2">
        <v>611</v>
      </c>
      <c r="B613" t="s">
        <v>2366</v>
      </c>
      <c r="C613" s="1">
        <v>45855</v>
      </c>
      <c r="D613" s="3">
        <v>46220</v>
      </c>
      <c r="E613" s="5">
        <v>95.981669999999994</v>
      </c>
      <c r="F613" s="3">
        <v>45916</v>
      </c>
      <c r="G613">
        <v>73.679929999999999</v>
      </c>
      <c r="H613" s="1">
        <v>46178</v>
      </c>
    </row>
    <row r="614" spans="1:8" x14ac:dyDescent="0.25">
      <c r="A614" s="2">
        <v>612</v>
      </c>
      <c r="B614" t="s">
        <v>1780</v>
      </c>
      <c r="C614" s="1">
        <v>45855</v>
      </c>
      <c r="D614" s="3">
        <v>46220</v>
      </c>
      <c r="E614" s="5">
        <v>100.5202</v>
      </c>
      <c r="F614" s="3">
        <v>46205</v>
      </c>
      <c r="G614">
        <v>25.03444</v>
      </c>
      <c r="H614" s="1">
        <v>46134</v>
      </c>
    </row>
    <row r="615" spans="1:8" x14ac:dyDescent="0.25">
      <c r="A615" s="2">
        <v>613</v>
      </c>
      <c r="B615" t="s">
        <v>2263</v>
      </c>
      <c r="C615" s="1">
        <v>45855</v>
      </c>
      <c r="D615" s="3">
        <v>46220</v>
      </c>
      <c r="E615" s="5">
        <v>96.911940000000001</v>
      </c>
      <c r="F615" s="3">
        <v>45888</v>
      </c>
      <c r="G615">
        <v>83.843664999999902</v>
      </c>
      <c r="H615" s="1">
        <v>46220</v>
      </c>
    </row>
    <row r="616" spans="1:8" x14ac:dyDescent="0.25">
      <c r="A616" s="2">
        <v>614</v>
      </c>
      <c r="B616" t="s">
        <v>91</v>
      </c>
      <c r="C616" s="1">
        <v>45855</v>
      </c>
      <c r="D616" s="3">
        <v>46220</v>
      </c>
      <c r="E616" s="5">
        <v>94.983279999999993</v>
      </c>
      <c r="F616" s="3">
        <v>45917</v>
      </c>
      <c r="G616">
        <v>78.51831</v>
      </c>
      <c r="H616" s="1">
        <v>46057</v>
      </c>
    </row>
    <row r="617" spans="1:8" x14ac:dyDescent="0.25">
      <c r="A617" s="2">
        <v>615</v>
      </c>
      <c r="B617" t="s">
        <v>2235</v>
      </c>
      <c r="C617" s="1">
        <v>45855</v>
      </c>
      <c r="D617" s="3">
        <v>46220</v>
      </c>
      <c r="E617" s="5">
        <v>93.225459999999998</v>
      </c>
      <c r="F617" s="3">
        <v>46080</v>
      </c>
      <c r="G617">
        <v>89.527670000000001</v>
      </c>
      <c r="H617" s="1">
        <v>45855</v>
      </c>
    </row>
    <row r="618" spans="1:8" x14ac:dyDescent="0.25">
      <c r="A618" s="2">
        <v>616</v>
      </c>
      <c r="B618" t="s">
        <v>2232</v>
      </c>
      <c r="C618" s="1">
        <v>45855</v>
      </c>
      <c r="D618" s="3">
        <v>46220</v>
      </c>
      <c r="E618" s="5">
        <v>76.880210000000005</v>
      </c>
      <c r="F618" s="3">
        <v>45958</v>
      </c>
      <c r="G618">
        <v>69.790170000000003</v>
      </c>
      <c r="H618" s="1">
        <v>46161</v>
      </c>
    </row>
    <row r="619" spans="1:8" x14ac:dyDescent="0.25">
      <c r="A619" s="2">
        <v>617</v>
      </c>
      <c r="B619" t="s">
        <v>2039</v>
      </c>
      <c r="C619" s="1">
        <v>45855</v>
      </c>
      <c r="D619" s="3">
        <v>46220</v>
      </c>
      <c r="E619" s="5">
        <v>178.80959999999999</v>
      </c>
      <c r="F619" s="3">
        <v>45957</v>
      </c>
      <c r="G619">
        <v>173.9383</v>
      </c>
      <c r="H619" s="1">
        <v>46108</v>
      </c>
    </row>
    <row r="620" spans="1:8" x14ac:dyDescent="0.25">
      <c r="A620" s="2">
        <v>618</v>
      </c>
      <c r="B620" t="s">
        <v>767</v>
      </c>
      <c r="C620" s="1">
        <v>45855</v>
      </c>
      <c r="D620" s="3">
        <v>46220</v>
      </c>
      <c r="E620" s="5">
        <v>85.068889999999996</v>
      </c>
      <c r="F620" s="3">
        <v>45946</v>
      </c>
      <c r="G620">
        <v>81.252300000000005</v>
      </c>
      <c r="H620" s="1">
        <v>46161</v>
      </c>
    </row>
    <row r="621" spans="1:8" x14ac:dyDescent="0.25">
      <c r="A621" s="2">
        <v>619</v>
      </c>
      <c r="B621" t="s">
        <v>765</v>
      </c>
      <c r="C621" s="1">
        <v>45855</v>
      </c>
      <c r="D621" s="3">
        <v>46220</v>
      </c>
      <c r="E621" s="5">
        <v>91.107159999999993</v>
      </c>
      <c r="F621" s="3">
        <v>45946</v>
      </c>
      <c r="G621">
        <v>88.608109999999996</v>
      </c>
      <c r="H621" s="1">
        <v>46161</v>
      </c>
    </row>
    <row r="622" spans="1:8" x14ac:dyDescent="0.25">
      <c r="A622" s="2">
        <v>620</v>
      </c>
      <c r="B622" t="s">
        <v>763</v>
      </c>
      <c r="C622" s="1">
        <v>45855</v>
      </c>
      <c r="D622" s="3">
        <v>46220</v>
      </c>
      <c r="E622" s="5">
        <v>94.39</v>
      </c>
      <c r="F622" s="3">
        <v>46202</v>
      </c>
      <c r="G622">
        <v>93.941000000000003</v>
      </c>
      <c r="H622" s="1">
        <v>46217</v>
      </c>
    </row>
    <row r="623" spans="1:8" x14ac:dyDescent="0.25">
      <c r="A623" s="2">
        <v>621</v>
      </c>
      <c r="B623" t="s">
        <v>761</v>
      </c>
      <c r="C623" s="1">
        <v>45855</v>
      </c>
      <c r="D623" s="3">
        <v>46220</v>
      </c>
      <c r="E623" s="5">
        <v>98.399640000000005</v>
      </c>
      <c r="F623" s="3">
        <v>46218</v>
      </c>
      <c r="G623">
        <v>97.684910000000002</v>
      </c>
      <c r="H623" s="1">
        <v>46055</v>
      </c>
    </row>
    <row r="624" spans="1:8" x14ac:dyDescent="0.25">
      <c r="A624" s="2">
        <v>622</v>
      </c>
      <c r="B624" t="s">
        <v>1924</v>
      </c>
      <c r="C624" s="1">
        <v>45855</v>
      </c>
      <c r="D624" s="3">
        <v>46220</v>
      </c>
      <c r="E624" s="5">
        <v>92.790700000000001</v>
      </c>
      <c r="F624" s="3">
        <v>45861</v>
      </c>
      <c r="G624">
        <v>43.120460000000001</v>
      </c>
      <c r="H624" s="1">
        <v>46094</v>
      </c>
    </row>
    <row r="625" spans="1:8" x14ac:dyDescent="0.25">
      <c r="A625" s="2">
        <v>623</v>
      </c>
      <c r="B625" t="s">
        <v>2362</v>
      </c>
      <c r="C625" s="1">
        <v>45855</v>
      </c>
      <c r="D625" s="3">
        <v>46220</v>
      </c>
      <c r="E625" s="5">
        <v>99.351550000000003</v>
      </c>
      <c r="F625" s="3">
        <v>45923</v>
      </c>
      <c r="G625">
        <v>77.543205</v>
      </c>
      <c r="H625" s="1">
        <v>46220</v>
      </c>
    </row>
    <row r="626" spans="1:8" x14ac:dyDescent="0.25">
      <c r="A626" s="2">
        <v>624</v>
      </c>
      <c r="B626" t="s">
        <v>1337</v>
      </c>
      <c r="C626" s="1">
        <v>45855</v>
      </c>
      <c r="D626" s="3">
        <v>46220</v>
      </c>
      <c r="E626" s="5">
        <v>100.24979999999999</v>
      </c>
      <c r="F626" s="3">
        <v>45910</v>
      </c>
      <c r="G626">
        <v>73.237970000000004</v>
      </c>
      <c r="H626" s="1">
        <v>46112</v>
      </c>
    </row>
    <row r="627" spans="1:8" x14ac:dyDescent="0.25">
      <c r="A627" s="2">
        <v>625</v>
      </c>
      <c r="B627" t="s">
        <v>1299</v>
      </c>
      <c r="C627" s="1">
        <v>45855</v>
      </c>
      <c r="D627" s="3">
        <v>46220</v>
      </c>
      <c r="E627" s="5">
        <v>101.1494</v>
      </c>
      <c r="F627" s="3">
        <v>45944</v>
      </c>
      <c r="G627">
        <v>84.836789999999993</v>
      </c>
      <c r="H627" s="1">
        <v>46108</v>
      </c>
    </row>
    <row r="628" spans="1:8" x14ac:dyDescent="0.25">
      <c r="A628" s="2">
        <v>626</v>
      </c>
      <c r="B628" t="s">
        <v>952</v>
      </c>
      <c r="C628" s="1">
        <v>45855</v>
      </c>
      <c r="D628" s="3">
        <v>46220</v>
      </c>
      <c r="E628" s="5">
        <v>82.498189999999994</v>
      </c>
      <c r="F628" s="3">
        <v>45929</v>
      </c>
      <c r="G628">
        <v>30.372530000000001</v>
      </c>
      <c r="H628" s="1">
        <v>46153</v>
      </c>
    </row>
    <row r="629" spans="1:8" x14ac:dyDescent="0.25">
      <c r="A629" s="2">
        <v>627</v>
      </c>
      <c r="B629" t="s">
        <v>2610</v>
      </c>
      <c r="C629" s="1">
        <v>45855</v>
      </c>
      <c r="D629" s="3">
        <v>46220</v>
      </c>
      <c r="E629" s="5">
        <v>94.411829999999995</v>
      </c>
      <c r="F629" s="3">
        <v>45862</v>
      </c>
      <c r="G629">
        <v>80.606859999999998</v>
      </c>
      <c r="H629" s="1">
        <v>46119</v>
      </c>
    </row>
    <row r="630" spans="1:8" x14ac:dyDescent="0.25">
      <c r="A630" s="2">
        <v>628</v>
      </c>
      <c r="B630" t="s">
        <v>2230</v>
      </c>
      <c r="C630" s="1">
        <v>45855</v>
      </c>
      <c r="D630" s="3">
        <v>46220</v>
      </c>
      <c r="E630" s="5">
        <v>100.4593</v>
      </c>
      <c r="F630" s="3">
        <v>46080</v>
      </c>
      <c r="G630">
        <v>96.712680000000006</v>
      </c>
      <c r="H630" s="1">
        <v>46216</v>
      </c>
    </row>
    <row r="631" spans="1:8" x14ac:dyDescent="0.25">
      <c r="A631" s="2">
        <v>629</v>
      </c>
      <c r="B631" t="s">
        <v>101</v>
      </c>
      <c r="C631" s="1">
        <v>45855</v>
      </c>
      <c r="D631" s="3">
        <v>46220</v>
      </c>
      <c r="E631" s="5">
        <v>88.873540000000006</v>
      </c>
      <c r="F631" s="3">
        <v>45915</v>
      </c>
      <c r="G631">
        <v>42.92022</v>
      </c>
      <c r="H631" s="1">
        <v>46148</v>
      </c>
    </row>
    <row r="632" spans="1:8" x14ac:dyDescent="0.25">
      <c r="A632" s="2">
        <v>630</v>
      </c>
      <c r="B632" t="s">
        <v>2228</v>
      </c>
      <c r="C632" s="1">
        <v>45855</v>
      </c>
      <c r="D632" s="3">
        <v>46220</v>
      </c>
      <c r="E632" s="5">
        <v>84.388149999999996</v>
      </c>
      <c r="F632" s="3">
        <v>45958</v>
      </c>
      <c r="G632">
        <v>77.869</v>
      </c>
      <c r="H632" s="1">
        <v>46161</v>
      </c>
    </row>
    <row r="633" spans="1:8" x14ac:dyDescent="0.25">
      <c r="A633" s="2">
        <v>631</v>
      </c>
      <c r="B633" t="s">
        <v>2226</v>
      </c>
      <c r="C633" s="1">
        <v>45855</v>
      </c>
      <c r="D633" s="3">
        <v>46220</v>
      </c>
      <c r="E633" s="5">
        <v>83.47878</v>
      </c>
      <c r="F633" s="3">
        <v>46077</v>
      </c>
      <c r="G633">
        <v>77.684359999999998</v>
      </c>
      <c r="H633" s="1">
        <v>45855</v>
      </c>
    </row>
    <row r="634" spans="1:8" x14ac:dyDescent="0.25">
      <c r="A634" s="2">
        <v>632</v>
      </c>
      <c r="B634" t="s">
        <v>2224</v>
      </c>
      <c r="C634" s="1">
        <v>45855</v>
      </c>
      <c r="D634" s="3">
        <v>46220</v>
      </c>
      <c r="E634" s="5">
        <v>96.643299999999996</v>
      </c>
      <c r="F634" s="3">
        <v>46076</v>
      </c>
      <c r="G634">
        <v>89.714219999999997</v>
      </c>
      <c r="H634" s="1">
        <v>45855</v>
      </c>
    </row>
    <row r="635" spans="1:8" x14ac:dyDescent="0.25">
      <c r="A635" s="2">
        <v>633</v>
      </c>
      <c r="B635" t="s">
        <v>2222</v>
      </c>
      <c r="C635" s="1">
        <v>45855</v>
      </c>
      <c r="D635" s="3">
        <v>46220</v>
      </c>
      <c r="E635" s="5">
        <v>100.5744</v>
      </c>
      <c r="F635" s="3">
        <v>45946</v>
      </c>
      <c r="G635">
        <v>100.0266</v>
      </c>
      <c r="H635" s="1">
        <v>45869</v>
      </c>
    </row>
    <row r="636" spans="1:8" x14ac:dyDescent="0.25">
      <c r="A636" s="2">
        <v>634</v>
      </c>
      <c r="B636" t="s">
        <v>2220</v>
      </c>
      <c r="C636" s="1">
        <v>45855</v>
      </c>
      <c r="D636" s="3">
        <v>46220</v>
      </c>
      <c r="E636" s="5">
        <v>104.9597</v>
      </c>
      <c r="F636" s="3">
        <v>46076</v>
      </c>
      <c r="G636">
        <v>98.300489999999996</v>
      </c>
      <c r="H636" s="1">
        <v>45855</v>
      </c>
    </row>
    <row r="637" spans="1:8" x14ac:dyDescent="0.25">
      <c r="A637" s="2">
        <v>635</v>
      </c>
      <c r="B637" t="s">
        <v>757</v>
      </c>
      <c r="C637" s="1">
        <v>45855</v>
      </c>
      <c r="D637" s="3">
        <v>46220</v>
      </c>
      <c r="E637" s="5">
        <v>97.375929999999997</v>
      </c>
      <c r="F637" s="3">
        <v>46076</v>
      </c>
      <c r="G637">
        <v>95.02946</v>
      </c>
      <c r="H637" s="1">
        <v>46161</v>
      </c>
    </row>
    <row r="638" spans="1:8" x14ac:dyDescent="0.25">
      <c r="A638" s="2">
        <v>636</v>
      </c>
      <c r="B638" t="s">
        <v>755</v>
      </c>
      <c r="C638" s="1">
        <v>45855</v>
      </c>
      <c r="D638" s="3">
        <v>46220</v>
      </c>
      <c r="E638" s="5">
        <v>95.138930000000002</v>
      </c>
      <c r="F638" s="3">
        <v>46076</v>
      </c>
      <c r="G638">
        <v>92.085719999999995</v>
      </c>
      <c r="H638" s="1">
        <v>46161</v>
      </c>
    </row>
    <row r="639" spans="1:8" x14ac:dyDescent="0.25">
      <c r="A639" s="2">
        <v>637</v>
      </c>
      <c r="B639" t="s">
        <v>363</v>
      </c>
      <c r="C639" s="1">
        <v>45855</v>
      </c>
      <c r="D639" s="3">
        <v>46220</v>
      </c>
      <c r="E639" s="5">
        <v>97.587999999999994</v>
      </c>
      <c r="F639" s="3">
        <v>45908</v>
      </c>
      <c r="G639">
        <v>58.143300000000004</v>
      </c>
      <c r="H639" s="1">
        <v>46111</v>
      </c>
    </row>
    <row r="640" spans="1:8" x14ac:dyDescent="0.25">
      <c r="A640" s="2">
        <v>638</v>
      </c>
      <c r="B640" t="s">
        <v>2217</v>
      </c>
      <c r="C640" s="1">
        <v>45855</v>
      </c>
      <c r="D640" s="3">
        <v>46220</v>
      </c>
      <c r="E640" s="5">
        <v>100.89230000000001</v>
      </c>
      <c r="F640" s="3">
        <v>46080</v>
      </c>
      <c r="G640">
        <v>97.0715</v>
      </c>
      <c r="H640" s="1">
        <v>46216</v>
      </c>
    </row>
    <row r="641" spans="1:8" x14ac:dyDescent="0.25">
      <c r="A641" s="2">
        <v>639</v>
      </c>
      <c r="B641" t="s">
        <v>2214</v>
      </c>
      <c r="C641" s="1">
        <v>45855</v>
      </c>
      <c r="D641" s="3">
        <v>46220</v>
      </c>
      <c r="E641" s="5">
        <v>94.155270000000002</v>
      </c>
      <c r="F641" s="3">
        <v>45957</v>
      </c>
      <c r="G641">
        <v>86.226100000000002</v>
      </c>
      <c r="H641" s="1">
        <v>46161</v>
      </c>
    </row>
    <row r="642" spans="1:8" x14ac:dyDescent="0.25">
      <c r="A642" s="2">
        <v>640</v>
      </c>
      <c r="B642" t="s">
        <v>238</v>
      </c>
      <c r="C642" s="1">
        <v>45855</v>
      </c>
      <c r="D642" s="3">
        <v>46220</v>
      </c>
      <c r="E642" s="5">
        <v>101.4794</v>
      </c>
      <c r="F642" s="3">
        <v>46022</v>
      </c>
      <c r="G642">
        <v>96.05395</v>
      </c>
      <c r="H642" s="1">
        <v>46108</v>
      </c>
    </row>
    <row r="643" spans="1:8" x14ac:dyDescent="0.25">
      <c r="A643" s="2">
        <v>641</v>
      </c>
      <c r="B643" t="s">
        <v>3805</v>
      </c>
      <c r="C643" s="1">
        <v>45855</v>
      </c>
      <c r="D643" s="3">
        <v>46220</v>
      </c>
      <c r="E643" s="5">
        <v>94.932069999999996</v>
      </c>
      <c r="F643" s="3">
        <v>46219</v>
      </c>
      <c r="G643">
        <v>60.490670000000001</v>
      </c>
      <c r="H643" s="1">
        <v>45863</v>
      </c>
    </row>
    <row r="644" spans="1:8" x14ac:dyDescent="0.25">
      <c r="A644" s="2">
        <v>642</v>
      </c>
      <c r="B644" t="s">
        <v>149</v>
      </c>
      <c r="C644" s="1">
        <v>45855</v>
      </c>
      <c r="D644" s="3">
        <v>46220</v>
      </c>
      <c r="E644" s="5">
        <v>102.3288</v>
      </c>
      <c r="F644" s="3">
        <v>45923</v>
      </c>
      <c r="G644">
        <v>87.631020000000007</v>
      </c>
      <c r="H644" s="1">
        <v>45881</v>
      </c>
    </row>
    <row r="645" spans="1:8" x14ac:dyDescent="0.25">
      <c r="A645" s="2">
        <v>643</v>
      </c>
      <c r="B645" t="s">
        <v>147</v>
      </c>
      <c r="C645" s="1">
        <v>45855</v>
      </c>
      <c r="D645" s="3">
        <v>46220</v>
      </c>
      <c r="E645" s="5">
        <v>106.5814</v>
      </c>
      <c r="F645" s="3">
        <v>45912</v>
      </c>
      <c r="G645">
        <v>99.678569999999993</v>
      </c>
      <c r="H645" s="1">
        <v>45855</v>
      </c>
    </row>
    <row r="646" spans="1:8" x14ac:dyDescent="0.25">
      <c r="A646" s="2">
        <v>644</v>
      </c>
      <c r="B646" t="s">
        <v>751</v>
      </c>
      <c r="C646" s="1">
        <v>45855</v>
      </c>
      <c r="D646" s="3">
        <v>46220</v>
      </c>
      <c r="E646" s="5">
        <v>101.547</v>
      </c>
      <c r="F646" s="3">
        <v>45952</v>
      </c>
      <c r="G646">
        <v>100.1121</v>
      </c>
      <c r="H646" s="1">
        <v>46108</v>
      </c>
    </row>
    <row r="647" spans="1:8" x14ac:dyDescent="0.25">
      <c r="A647" s="2">
        <v>645</v>
      </c>
      <c r="B647" t="s">
        <v>749</v>
      </c>
      <c r="C647" s="1">
        <v>45855</v>
      </c>
      <c r="D647" s="3">
        <v>46220</v>
      </c>
      <c r="E647" s="5">
        <v>104.3916</v>
      </c>
      <c r="F647" s="3">
        <v>45952</v>
      </c>
      <c r="G647">
        <v>99.476619999999997</v>
      </c>
      <c r="H647" s="1">
        <v>46220</v>
      </c>
    </row>
    <row r="648" spans="1:8" x14ac:dyDescent="0.25">
      <c r="A648" s="2">
        <v>646</v>
      </c>
      <c r="B648" t="s">
        <v>747</v>
      </c>
      <c r="C648" s="1">
        <v>45855</v>
      </c>
      <c r="D648" s="3">
        <v>46220</v>
      </c>
      <c r="E648" s="5">
        <v>90.562489999999997</v>
      </c>
      <c r="F648" s="3">
        <v>45958</v>
      </c>
      <c r="G648">
        <v>81.109059999999999</v>
      </c>
      <c r="H648" s="1">
        <v>46104</v>
      </c>
    </row>
    <row r="649" spans="1:8" x14ac:dyDescent="0.25">
      <c r="A649" s="2">
        <v>647</v>
      </c>
      <c r="B649" t="s">
        <v>3690</v>
      </c>
      <c r="C649" s="1">
        <v>45855</v>
      </c>
      <c r="D649" s="3">
        <v>46220</v>
      </c>
      <c r="E649" s="5">
        <v>104.5087</v>
      </c>
      <c r="F649" s="3">
        <v>46002</v>
      </c>
      <c r="G649">
        <v>97.634929999999997</v>
      </c>
      <c r="H649" s="1">
        <v>46191</v>
      </c>
    </row>
    <row r="650" spans="1:8" x14ac:dyDescent="0.25">
      <c r="A650" s="2">
        <v>648</v>
      </c>
      <c r="B650" t="s">
        <v>3688</v>
      </c>
      <c r="C650" s="1">
        <v>45855</v>
      </c>
      <c r="D650" s="3">
        <v>46220</v>
      </c>
      <c r="E650" s="5">
        <v>102.43300000000001</v>
      </c>
      <c r="F650" s="3">
        <v>45953</v>
      </c>
      <c r="G650">
        <v>96.838549999999998</v>
      </c>
      <c r="H650" s="1">
        <v>46034</v>
      </c>
    </row>
    <row r="651" spans="1:8" x14ac:dyDescent="0.25">
      <c r="A651" s="2">
        <v>649</v>
      </c>
      <c r="B651" t="s">
        <v>745</v>
      </c>
      <c r="C651" s="1">
        <v>45855</v>
      </c>
      <c r="D651" s="3">
        <v>46220</v>
      </c>
      <c r="E651" s="5">
        <v>103.5055</v>
      </c>
      <c r="F651" s="3">
        <v>45954</v>
      </c>
      <c r="G651">
        <v>100.8704</v>
      </c>
      <c r="H651" s="1">
        <v>46105</v>
      </c>
    </row>
    <row r="652" spans="1:8" x14ac:dyDescent="0.25">
      <c r="A652" s="2">
        <v>650</v>
      </c>
      <c r="B652" t="s">
        <v>743</v>
      </c>
      <c r="C652" s="1">
        <v>45855</v>
      </c>
      <c r="D652" s="3">
        <v>46220</v>
      </c>
      <c r="E652" s="5">
        <v>106.90730000000001</v>
      </c>
      <c r="F652" s="3">
        <v>45952</v>
      </c>
      <c r="G652">
        <v>101.9551</v>
      </c>
      <c r="H652" s="1">
        <v>46211</v>
      </c>
    </row>
    <row r="653" spans="1:8" x14ac:dyDescent="0.25">
      <c r="A653" s="2">
        <v>651</v>
      </c>
      <c r="B653" t="s">
        <v>741</v>
      </c>
      <c r="C653" s="1">
        <v>45855</v>
      </c>
      <c r="D653" s="3">
        <v>46220</v>
      </c>
      <c r="E653" s="5">
        <v>99.741429999999994</v>
      </c>
      <c r="F653" s="3">
        <v>46080</v>
      </c>
      <c r="G653">
        <v>96.980580000000003</v>
      </c>
      <c r="H653" s="1">
        <v>46105</v>
      </c>
    </row>
    <row r="654" spans="1:8" x14ac:dyDescent="0.25">
      <c r="A654" s="2">
        <v>652</v>
      </c>
      <c r="B654" t="s">
        <v>1848</v>
      </c>
      <c r="C654" s="1">
        <v>45855</v>
      </c>
      <c r="D654" s="3">
        <v>46220</v>
      </c>
      <c r="E654" s="5">
        <v>117.1503</v>
      </c>
      <c r="F654" s="3">
        <v>45971</v>
      </c>
      <c r="G654">
        <v>102.5411</v>
      </c>
      <c r="H654" s="1">
        <v>46108</v>
      </c>
    </row>
    <row r="655" spans="1:8" x14ac:dyDescent="0.25">
      <c r="A655" s="2">
        <v>653</v>
      </c>
      <c r="B655" t="s">
        <v>574</v>
      </c>
      <c r="C655" s="1">
        <v>45855</v>
      </c>
      <c r="D655" s="3">
        <v>46220</v>
      </c>
      <c r="E655" s="5">
        <v>96.600059999999999</v>
      </c>
      <c r="F655" s="3">
        <v>46022</v>
      </c>
      <c r="G655">
        <v>73.396630000000002</v>
      </c>
      <c r="H655" s="1">
        <v>46161</v>
      </c>
    </row>
    <row r="656" spans="1:8" x14ac:dyDescent="0.25">
      <c r="A656" s="2">
        <v>654</v>
      </c>
      <c r="B656" t="s">
        <v>573</v>
      </c>
      <c r="C656" s="1">
        <v>45855</v>
      </c>
      <c r="D656" s="3">
        <v>46220</v>
      </c>
      <c r="E656" s="5">
        <v>72.547880000000006</v>
      </c>
      <c r="F656" s="3">
        <v>46038</v>
      </c>
      <c r="G656">
        <v>31.847280000000001</v>
      </c>
      <c r="H656" s="1">
        <v>46160</v>
      </c>
    </row>
    <row r="657" spans="1:8" x14ac:dyDescent="0.25">
      <c r="A657" s="2">
        <v>655</v>
      </c>
      <c r="B657" t="s">
        <v>739</v>
      </c>
      <c r="C657" s="1">
        <v>45855</v>
      </c>
      <c r="D657" s="3">
        <v>46220</v>
      </c>
      <c r="E657" s="5">
        <v>97.377399999999994</v>
      </c>
      <c r="F657" s="3">
        <v>45973</v>
      </c>
      <c r="G657">
        <v>48.954299926757798</v>
      </c>
      <c r="H657" s="1">
        <v>46220</v>
      </c>
    </row>
    <row r="658" spans="1:8" x14ac:dyDescent="0.25">
      <c r="A658" s="2">
        <v>656</v>
      </c>
      <c r="B658" t="s">
        <v>1846</v>
      </c>
      <c r="C658" s="1">
        <v>45855</v>
      </c>
      <c r="D658" s="3">
        <v>46220</v>
      </c>
      <c r="E658" s="5">
        <v>96.102000000000004</v>
      </c>
      <c r="F658" s="3">
        <v>46079</v>
      </c>
      <c r="G658">
        <v>82.405000000000001</v>
      </c>
      <c r="H658" s="1">
        <v>46111</v>
      </c>
    </row>
    <row r="659" spans="1:8" x14ac:dyDescent="0.25">
      <c r="A659" s="2">
        <v>657</v>
      </c>
      <c r="B659" t="s">
        <v>1845</v>
      </c>
      <c r="C659" s="1">
        <v>45855</v>
      </c>
      <c r="D659" s="3">
        <v>46220</v>
      </c>
      <c r="E659" s="5">
        <v>96.831360000000004</v>
      </c>
      <c r="F659" s="3">
        <v>46079</v>
      </c>
      <c r="G659">
        <v>79.642560000000003</v>
      </c>
      <c r="H659" s="1">
        <v>45979</v>
      </c>
    </row>
    <row r="660" spans="1:8" x14ac:dyDescent="0.25">
      <c r="A660" s="2">
        <v>658</v>
      </c>
      <c r="B660" t="s">
        <v>1843</v>
      </c>
      <c r="C660" s="1">
        <v>45855</v>
      </c>
      <c r="D660" s="3">
        <v>46220</v>
      </c>
      <c r="E660" s="5">
        <v>103.0564</v>
      </c>
      <c r="F660" s="3">
        <v>46044</v>
      </c>
      <c r="G660">
        <v>98.861469999999997</v>
      </c>
      <c r="H660" s="1">
        <v>46108</v>
      </c>
    </row>
    <row r="661" spans="1:8" x14ac:dyDescent="0.25">
      <c r="A661" s="2">
        <v>659</v>
      </c>
      <c r="B661" t="s">
        <v>1841</v>
      </c>
      <c r="C661" s="1">
        <v>45855</v>
      </c>
      <c r="D661" s="3">
        <v>46220</v>
      </c>
      <c r="E661" s="5">
        <v>102.779</v>
      </c>
      <c r="F661" s="3">
        <v>46079</v>
      </c>
      <c r="G661">
        <v>97.016000000000005</v>
      </c>
      <c r="H661" s="1">
        <v>46119</v>
      </c>
    </row>
    <row r="662" spans="1:8" x14ac:dyDescent="0.25">
      <c r="A662" s="2">
        <v>660</v>
      </c>
      <c r="B662" t="s">
        <v>3836</v>
      </c>
      <c r="C662" s="1">
        <v>45855</v>
      </c>
      <c r="D662" s="3">
        <v>46220</v>
      </c>
      <c r="E662" s="5">
        <v>135.8141</v>
      </c>
      <c r="F662" s="3">
        <v>46044</v>
      </c>
      <c r="G662">
        <v>55.227800000000002</v>
      </c>
      <c r="H662" s="1">
        <v>46111</v>
      </c>
    </row>
    <row r="663" spans="1:8" x14ac:dyDescent="0.25">
      <c r="A663" s="2">
        <v>661</v>
      </c>
      <c r="B663" t="s">
        <v>933</v>
      </c>
      <c r="C663" s="1">
        <v>45855</v>
      </c>
      <c r="D663" s="3">
        <v>46220</v>
      </c>
      <c r="E663" s="5">
        <v>105.73820000000001</v>
      </c>
      <c r="F663" s="3">
        <v>46202</v>
      </c>
      <c r="G663">
        <v>96.04092</v>
      </c>
      <c r="H663" s="1">
        <v>46078</v>
      </c>
    </row>
    <row r="664" spans="1:8" x14ac:dyDescent="0.25">
      <c r="A664" s="2">
        <v>662</v>
      </c>
      <c r="B664" t="s">
        <v>3735</v>
      </c>
      <c r="C664" s="1">
        <v>45855</v>
      </c>
      <c r="D664" s="3">
        <v>46220</v>
      </c>
      <c r="E664" s="5">
        <v>103.042</v>
      </c>
      <c r="F664" s="3">
        <v>46071</v>
      </c>
      <c r="G664">
        <v>90.67971</v>
      </c>
      <c r="H664" s="1">
        <v>45986</v>
      </c>
    </row>
    <row r="665" spans="1:8" x14ac:dyDescent="0.25">
      <c r="A665" s="2">
        <v>663</v>
      </c>
      <c r="B665" t="s">
        <v>3733</v>
      </c>
      <c r="C665" s="1">
        <v>45855</v>
      </c>
      <c r="D665" s="3">
        <v>46220</v>
      </c>
      <c r="E665" s="5">
        <v>99.519869999999997</v>
      </c>
      <c r="F665" s="3">
        <v>46073</v>
      </c>
      <c r="G665">
        <v>92.139300000000006</v>
      </c>
      <c r="H665" s="1">
        <v>46108</v>
      </c>
    </row>
    <row r="666" spans="1:8" x14ac:dyDescent="0.25">
      <c r="A666" s="2">
        <v>664</v>
      </c>
      <c r="B666" t="s">
        <v>2114</v>
      </c>
      <c r="C666" s="1">
        <v>45855</v>
      </c>
      <c r="D666" s="3">
        <v>46220</v>
      </c>
      <c r="E666" s="5">
        <v>93.591939999999994</v>
      </c>
      <c r="F666" s="3">
        <v>46070</v>
      </c>
      <c r="G666">
        <v>62.161709999999999</v>
      </c>
      <c r="H666" s="1">
        <v>45989</v>
      </c>
    </row>
    <row r="667" spans="1:8" x14ac:dyDescent="0.25">
      <c r="A667" s="2">
        <v>665</v>
      </c>
      <c r="B667" t="s">
        <v>2107</v>
      </c>
      <c r="C667" s="1">
        <v>45855</v>
      </c>
      <c r="D667" s="3">
        <v>46220</v>
      </c>
      <c r="E667" s="5">
        <v>74.062839999999994</v>
      </c>
      <c r="F667" s="3">
        <v>45989</v>
      </c>
      <c r="G667">
        <v>23.93854</v>
      </c>
      <c r="H667" s="1">
        <v>46161</v>
      </c>
    </row>
    <row r="668" spans="1:8" x14ac:dyDescent="0.25">
      <c r="A668" s="2">
        <v>666</v>
      </c>
      <c r="B668" t="s">
        <v>3351</v>
      </c>
      <c r="C668" s="1">
        <v>45855</v>
      </c>
      <c r="D668" s="3">
        <v>46220</v>
      </c>
      <c r="E668" s="5">
        <v>151.1429</v>
      </c>
      <c r="F668" s="3">
        <v>46148</v>
      </c>
      <c r="G668">
        <v>87.126300000000001</v>
      </c>
      <c r="H668" s="1">
        <v>46008</v>
      </c>
    </row>
    <row r="669" spans="1:8" x14ac:dyDescent="0.25">
      <c r="A669" s="2">
        <v>667</v>
      </c>
      <c r="B669" t="s">
        <v>931</v>
      </c>
      <c r="C669" s="1">
        <v>45855</v>
      </c>
      <c r="D669" s="3">
        <v>46220</v>
      </c>
      <c r="E669" s="5">
        <v>96.528819999999996</v>
      </c>
      <c r="F669" s="3">
        <v>46210</v>
      </c>
      <c r="G669">
        <v>72.269859999999994</v>
      </c>
      <c r="H669" s="1">
        <v>46064</v>
      </c>
    </row>
    <row r="670" spans="1:8" x14ac:dyDescent="0.25">
      <c r="A670" s="2">
        <v>668</v>
      </c>
      <c r="B670" t="s">
        <v>3687</v>
      </c>
      <c r="C670" s="1">
        <v>45855</v>
      </c>
      <c r="D670" s="3">
        <v>46220</v>
      </c>
      <c r="E670" s="5">
        <v>100.383</v>
      </c>
      <c r="F670" s="3">
        <v>46148</v>
      </c>
      <c r="G670">
        <v>95.338480000000004</v>
      </c>
      <c r="H670" s="1">
        <v>46034</v>
      </c>
    </row>
    <row r="671" spans="1:8" x14ac:dyDescent="0.25">
      <c r="A671" s="2">
        <v>669</v>
      </c>
      <c r="B671" t="s">
        <v>3685</v>
      </c>
      <c r="C671" s="1">
        <v>45855</v>
      </c>
      <c r="D671" s="3">
        <v>46220</v>
      </c>
      <c r="E671" s="5">
        <v>100.55880000000001</v>
      </c>
      <c r="F671" s="3">
        <v>46028</v>
      </c>
      <c r="G671">
        <v>97.30556</v>
      </c>
      <c r="H671" s="1">
        <v>46212</v>
      </c>
    </row>
    <row r="672" spans="1:8" x14ac:dyDescent="0.25">
      <c r="A672" s="2">
        <v>670</v>
      </c>
      <c r="B672" t="s">
        <v>1584</v>
      </c>
      <c r="C672" s="1">
        <v>45855</v>
      </c>
      <c r="D672" s="3">
        <v>46220</v>
      </c>
      <c r="E672" s="5">
        <v>25.267810000000001</v>
      </c>
      <c r="F672" s="3">
        <v>46139</v>
      </c>
      <c r="G672">
        <v>15.432029999999999</v>
      </c>
      <c r="H672" s="1">
        <v>46171</v>
      </c>
    </row>
    <row r="673" spans="1:8" x14ac:dyDescent="0.25">
      <c r="A673" s="2">
        <v>671</v>
      </c>
      <c r="B673" t="s">
        <v>737</v>
      </c>
      <c r="C673" s="1">
        <v>45855</v>
      </c>
      <c r="D673" s="3">
        <v>46220</v>
      </c>
      <c r="E673" s="5">
        <v>100.31829999999999</v>
      </c>
      <c r="F673" s="3">
        <v>46071</v>
      </c>
      <c r="G673">
        <v>98.108130000000003</v>
      </c>
      <c r="H673" s="1">
        <v>46104</v>
      </c>
    </row>
    <row r="674" spans="1:8" x14ac:dyDescent="0.25">
      <c r="A674" s="2">
        <v>672</v>
      </c>
      <c r="B674" t="s">
        <v>735</v>
      </c>
      <c r="C674" s="1">
        <v>45855</v>
      </c>
      <c r="D674" s="3">
        <v>46220</v>
      </c>
      <c r="E674" s="5">
        <v>100.4205</v>
      </c>
      <c r="F674" s="3">
        <v>46070</v>
      </c>
      <c r="G674">
        <v>97.469484999999906</v>
      </c>
      <c r="H674" s="1">
        <v>46220</v>
      </c>
    </row>
    <row r="675" spans="1:8" x14ac:dyDescent="0.25">
      <c r="A675" s="2">
        <v>673</v>
      </c>
      <c r="B675" t="s">
        <v>733</v>
      </c>
      <c r="C675" s="1">
        <v>45855</v>
      </c>
      <c r="D675" s="3">
        <v>46220</v>
      </c>
      <c r="E675" s="5">
        <v>100.74590000000001</v>
      </c>
      <c r="F675" s="3">
        <v>46070</v>
      </c>
      <c r="G675">
        <v>96.742440000000002</v>
      </c>
      <c r="H675" s="1">
        <v>46104</v>
      </c>
    </row>
    <row r="676" spans="1:8" x14ac:dyDescent="0.25">
      <c r="A676" s="2">
        <v>674</v>
      </c>
      <c r="B676" t="s">
        <v>731</v>
      </c>
      <c r="C676" s="1">
        <v>45855</v>
      </c>
      <c r="D676" s="3">
        <v>46220</v>
      </c>
      <c r="E676" s="5">
        <v>100.51900000000001</v>
      </c>
      <c r="F676" s="3">
        <v>46071</v>
      </c>
      <c r="G676">
        <v>93.762720000000002</v>
      </c>
      <c r="H676" s="1">
        <v>46161</v>
      </c>
    </row>
    <row r="677" spans="1:8" x14ac:dyDescent="0.25">
      <c r="A677" s="2">
        <v>675</v>
      </c>
      <c r="B677" t="s">
        <v>1297</v>
      </c>
      <c r="C677" s="1">
        <v>45855</v>
      </c>
      <c r="D677" s="3">
        <v>46220</v>
      </c>
      <c r="E677" s="5">
        <v>101.1498</v>
      </c>
      <c r="F677" s="3">
        <v>46044</v>
      </c>
      <c r="G677">
        <v>79.722290000000001</v>
      </c>
      <c r="H677" s="1">
        <v>46108</v>
      </c>
    </row>
    <row r="678" spans="1:8" x14ac:dyDescent="0.25">
      <c r="A678" s="2">
        <v>676</v>
      </c>
      <c r="B678" t="s">
        <v>1084</v>
      </c>
      <c r="C678" s="1">
        <v>45855</v>
      </c>
      <c r="D678" s="3">
        <v>46220</v>
      </c>
      <c r="E678" s="5">
        <v>100.35599999999999</v>
      </c>
      <c r="F678" s="3">
        <v>46044</v>
      </c>
      <c r="G678">
        <v>76.502319999999997</v>
      </c>
      <c r="H678" s="1">
        <v>46220</v>
      </c>
    </row>
    <row r="679" spans="1:8" x14ac:dyDescent="0.25">
      <c r="A679" s="2">
        <v>677</v>
      </c>
      <c r="B679" t="s">
        <v>2295</v>
      </c>
      <c r="C679" s="1">
        <v>45855</v>
      </c>
      <c r="D679" s="3">
        <v>46220</v>
      </c>
      <c r="E679" s="5">
        <v>102.8235</v>
      </c>
      <c r="F679" s="3">
        <v>46083</v>
      </c>
      <c r="G679">
        <v>91.423739999999995</v>
      </c>
      <c r="H679" s="1">
        <v>46111</v>
      </c>
    </row>
    <row r="680" spans="1:8" x14ac:dyDescent="0.25">
      <c r="A680" s="2">
        <v>678</v>
      </c>
      <c r="B680" t="s">
        <v>1779</v>
      </c>
      <c r="C680" s="1">
        <v>45855</v>
      </c>
      <c r="D680" s="3">
        <v>46220</v>
      </c>
      <c r="E680" s="5">
        <v>21.738019999999999</v>
      </c>
      <c r="F680" s="3">
        <v>46220</v>
      </c>
      <c r="G680">
        <v>8.1831410000000009</v>
      </c>
      <c r="H680" s="1">
        <v>46127</v>
      </c>
    </row>
    <row r="681" spans="1:8" x14ac:dyDescent="0.25">
      <c r="A681" s="2">
        <v>679</v>
      </c>
      <c r="B681" t="s">
        <v>2313</v>
      </c>
      <c r="C681" s="1">
        <v>45855</v>
      </c>
      <c r="D681" s="3">
        <v>46220</v>
      </c>
      <c r="E681" s="5">
        <v>100.05370000000001</v>
      </c>
      <c r="F681" s="3">
        <v>46129</v>
      </c>
      <c r="G681">
        <v>96.162809999999993</v>
      </c>
      <c r="H681" s="1">
        <v>46105</v>
      </c>
    </row>
    <row r="682" spans="1:8" x14ac:dyDescent="0.25">
      <c r="A682" s="2">
        <v>680</v>
      </c>
      <c r="B682" t="s">
        <v>2310</v>
      </c>
      <c r="C682" s="1">
        <v>45855</v>
      </c>
      <c r="D682" s="3">
        <v>46220</v>
      </c>
      <c r="E682" s="5">
        <v>99.03304</v>
      </c>
      <c r="F682" s="3">
        <v>46220</v>
      </c>
      <c r="G682">
        <v>92.523380000000003</v>
      </c>
      <c r="H682" s="1">
        <v>46161</v>
      </c>
    </row>
    <row r="683" spans="1:8" x14ac:dyDescent="0.25">
      <c r="A683" s="2">
        <v>681</v>
      </c>
      <c r="B683" t="s">
        <v>2545</v>
      </c>
      <c r="C683" s="1">
        <v>45855</v>
      </c>
      <c r="D683" s="3">
        <v>46220</v>
      </c>
      <c r="E683" s="5">
        <v>96.997990000000001</v>
      </c>
      <c r="F683" s="3">
        <v>46184</v>
      </c>
      <c r="G683">
        <v>77.266540000000006</v>
      </c>
      <c r="H683" s="1">
        <v>46072</v>
      </c>
    </row>
    <row r="684" spans="1:8" x14ac:dyDescent="0.25">
      <c r="A684" s="2">
        <v>682</v>
      </c>
      <c r="B684" t="s">
        <v>2212</v>
      </c>
      <c r="C684" s="1">
        <v>45855</v>
      </c>
      <c r="D684" s="3">
        <v>46220</v>
      </c>
      <c r="E684" s="5">
        <v>101.6418</v>
      </c>
      <c r="F684" s="3">
        <v>46085</v>
      </c>
      <c r="G684">
        <v>99.008700000000005</v>
      </c>
      <c r="H684" s="1">
        <v>46160</v>
      </c>
    </row>
    <row r="685" spans="1:8" x14ac:dyDescent="0.25">
      <c r="A685" s="2">
        <v>683</v>
      </c>
      <c r="B685" t="s">
        <v>2209</v>
      </c>
      <c r="C685" s="1">
        <v>45855</v>
      </c>
      <c r="D685" s="3">
        <v>46220</v>
      </c>
      <c r="E685" s="5">
        <v>100.3528</v>
      </c>
      <c r="F685" s="3">
        <v>46080</v>
      </c>
      <c r="G685">
        <v>96.275180000000006</v>
      </c>
      <c r="H685" s="1">
        <v>46161</v>
      </c>
    </row>
    <row r="686" spans="1:8" x14ac:dyDescent="0.25">
      <c r="A686" s="2">
        <v>684</v>
      </c>
      <c r="B686" t="s">
        <v>995</v>
      </c>
      <c r="C686" s="1">
        <v>45855</v>
      </c>
      <c r="D686" s="3">
        <v>46220</v>
      </c>
      <c r="E686" s="5">
        <v>99.598820000000003</v>
      </c>
      <c r="F686" s="3">
        <v>46129</v>
      </c>
      <c r="G686">
        <v>95.184110000000004</v>
      </c>
      <c r="H686" s="1">
        <v>46161</v>
      </c>
    </row>
    <row r="687" spans="1:8" x14ac:dyDescent="0.25">
      <c r="A687" s="2">
        <v>685</v>
      </c>
      <c r="B687" t="s">
        <v>1459</v>
      </c>
      <c r="C687" s="1">
        <v>45855</v>
      </c>
      <c r="D687" s="3">
        <v>46220</v>
      </c>
      <c r="E687" s="5">
        <v>89.81841</v>
      </c>
      <c r="F687" s="3">
        <v>46210</v>
      </c>
      <c r="G687">
        <v>74.368840000000006</v>
      </c>
      <c r="H687" s="1">
        <v>46112</v>
      </c>
    </row>
    <row r="688" spans="1:8" x14ac:dyDescent="0.25">
      <c r="A688" s="2">
        <v>686</v>
      </c>
      <c r="B688" t="s">
        <v>3349</v>
      </c>
      <c r="C688" s="1">
        <v>45855</v>
      </c>
      <c r="D688" s="3">
        <v>46220</v>
      </c>
      <c r="E688" s="5">
        <v>103.5575</v>
      </c>
      <c r="F688" s="3">
        <v>46175</v>
      </c>
      <c r="G688">
        <v>94.910474999999906</v>
      </c>
      <c r="H688" s="1">
        <v>46220</v>
      </c>
    </row>
    <row r="689" spans="1:8" x14ac:dyDescent="0.25">
      <c r="A689" s="2">
        <v>687</v>
      </c>
      <c r="B689" t="s">
        <v>3347</v>
      </c>
      <c r="C689" s="1">
        <v>45855</v>
      </c>
      <c r="D689" s="3">
        <v>46220</v>
      </c>
      <c r="E689" s="5">
        <v>140.46</v>
      </c>
      <c r="F689" s="3">
        <v>46148</v>
      </c>
      <c r="G689">
        <v>90.239097595214801</v>
      </c>
      <c r="H689" s="1">
        <v>46220</v>
      </c>
    </row>
    <row r="690" spans="1:8" x14ac:dyDescent="0.25">
      <c r="A690" s="2">
        <v>688</v>
      </c>
      <c r="B690" t="s">
        <v>2370</v>
      </c>
      <c r="C690" s="1">
        <v>45855</v>
      </c>
      <c r="D690" s="3">
        <v>46220</v>
      </c>
      <c r="E690" s="5">
        <v>91.003129999999999</v>
      </c>
      <c r="F690" s="3">
        <v>46136</v>
      </c>
      <c r="G690">
        <v>80.320939999999993</v>
      </c>
      <c r="H690" s="1">
        <v>46185</v>
      </c>
    </row>
    <row r="691" spans="1:8" x14ac:dyDescent="0.25">
      <c r="A691" s="2">
        <v>689</v>
      </c>
      <c r="B691" t="s">
        <v>3815</v>
      </c>
      <c r="C691" s="1">
        <v>45855</v>
      </c>
      <c r="D691" s="3">
        <v>46220</v>
      </c>
      <c r="E691" s="5">
        <v>99.706379999999996</v>
      </c>
      <c r="F691" s="3">
        <v>46128</v>
      </c>
      <c r="G691">
        <v>94.595945</v>
      </c>
      <c r="H691" s="1">
        <v>46220</v>
      </c>
    </row>
    <row r="692" spans="1:8" x14ac:dyDescent="0.25">
      <c r="A692" s="2">
        <v>690</v>
      </c>
      <c r="B692" t="s">
        <v>381</v>
      </c>
      <c r="C692" s="1">
        <v>45855</v>
      </c>
      <c r="D692" s="3">
        <v>46220</v>
      </c>
      <c r="E692" s="5">
        <v>69.741349999999997</v>
      </c>
      <c r="F692" s="3">
        <v>46136</v>
      </c>
      <c r="G692">
        <v>19.349985</v>
      </c>
      <c r="H692" s="1">
        <v>46220</v>
      </c>
    </row>
    <row r="693" spans="1:8" x14ac:dyDescent="0.25">
      <c r="A693" s="2">
        <v>691</v>
      </c>
      <c r="B693" t="s">
        <v>2618</v>
      </c>
      <c r="C693" s="1">
        <v>45855</v>
      </c>
      <c r="D693" s="3">
        <v>46220</v>
      </c>
      <c r="E693" s="5">
        <v>99.37518</v>
      </c>
      <c r="F693" s="3">
        <v>46139</v>
      </c>
      <c r="G693">
        <v>96.754339999999999</v>
      </c>
      <c r="H693" s="1">
        <v>46162</v>
      </c>
    </row>
    <row r="694" spans="1:8" x14ac:dyDescent="0.25">
      <c r="A694" s="2">
        <v>692</v>
      </c>
      <c r="B694" t="s">
        <v>1522</v>
      </c>
      <c r="C694" s="1">
        <v>45855</v>
      </c>
      <c r="D694" s="3">
        <v>46220</v>
      </c>
      <c r="E694" s="5">
        <v>100.306</v>
      </c>
      <c r="F694" s="3">
        <v>46156</v>
      </c>
      <c r="G694">
        <v>94.902000000000001</v>
      </c>
      <c r="H694" s="1">
        <v>46205</v>
      </c>
    </row>
    <row r="695" spans="1:8" x14ac:dyDescent="0.25">
      <c r="A695" s="2">
        <v>693</v>
      </c>
      <c r="B695" t="s">
        <v>729</v>
      </c>
      <c r="C695" s="1">
        <v>45855</v>
      </c>
      <c r="D695" s="3">
        <v>46220</v>
      </c>
      <c r="E695" s="5">
        <v>100.4217</v>
      </c>
      <c r="F695" s="3">
        <v>46150</v>
      </c>
      <c r="G695">
        <v>99.076494999999994</v>
      </c>
      <c r="H695" s="1">
        <v>46220</v>
      </c>
    </row>
    <row r="696" spans="1:8" x14ac:dyDescent="0.25">
      <c r="A696" s="2">
        <v>694</v>
      </c>
      <c r="B696" t="s">
        <v>727</v>
      </c>
      <c r="C696" s="1">
        <v>45855</v>
      </c>
      <c r="D696" s="3">
        <v>46220</v>
      </c>
      <c r="E696" s="5">
        <v>100.0675</v>
      </c>
      <c r="F696" s="3">
        <v>46150</v>
      </c>
      <c r="G696">
        <v>99.389409999999998</v>
      </c>
      <c r="H696" s="1">
        <v>46181</v>
      </c>
    </row>
    <row r="697" spans="1:8" x14ac:dyDescent="0.25">
      <c r="A697" s="2">
        <v>695</v>
      </c>
      <c r="B697" t="s">
        <v>725</v>
      </c>
      <c r="C697" s="1">
        <v>45855</v>
      </c>
      <c r="D697" s="3">
        <v>46220</v>
      </c>
      <c r="E697" s="5">
        <v>100.21639999999999</v>
      </c>
      <c r="F697" s="3">
        <v>46198</v>
      </c>
      <c r="G697">
        <v>97.033684999999906</v>
      </c>
      <c r="H697" s="1">
        <v>46220</v>
      </c>
    </row>
    <row r="698" spans="1:8" x14ac:dyDescent="0.25">
      <c r="A698" s="2">
        <v>696</v>
      </c>
      <c r="B698" t="s">
        <v>508</v>
      </c>
      <c r="C698" s="1">
        <v>45855</v>
      </c>
      <c r="D698" s="3">
        <v>46220</v>
      </c>
      <c r="E698" s="5">
        <v>99.18074</v>
      </c>
      <c r="F698" s="3">
        <v>46161</v>
      </c>
      <c r="G698">
        <v>87.183279999999996</v>
      </c>
      <c r="H698" s="1">
        <v>46169</v>
      </c>
    </row>
    <row r="699" spans="1:8" x14ac:dyDescent="0.25">
      <c r="A699" s="2">
        <v>697</v>
      </c>
      <c r="B699" t="s">
        <v>929</v>
      </c>
      <c r="C699" s="1">
        <v>45855</v>
      </c>
      <c r="D699" s="3">
        <v>46220</v>
      </c>
      <c r="E699" s="5">
        <v>130.8176</v>
      </c>
      <c r="F699" s="3">
        <v>46209</v>
      </c>
      <c r="G699">
        <v>109.3901</v>
      </c>
      <c r="H699" s="1">
        <v>46167</v>
      </c>
    </row>
    <row r="700" spans="1:8" x14ac:dyDescent="0.25">
      <c r="A700" s="2">
        <v>698</v>
      </c>
      <c r="B700" t="s">
        <v>2037</v>
      </c>
      <c r="C700" s="1">
        <v>45855</v>
      </c>
      <c r="D700" s="3">
        <v>46220</v>
      </c>
      <c r="E700" s="5">
        <v>98.357100000000003</v>
      </c>
      <c r="F700" s="3">
        <v>46205</v>
      </c>
      <c r="G700">
        <v>95.615399999999994</v>
      </c>
      <c r="H700" s="1">
        <v>46183</v>
      </c>
    </row>
    <row r="701" spans="1:8" x14ac:dyDescent="0.25">
      <c r="A701" s="2">
        <v>699</v>
      </c>
      <c r="B701" t="s">
        <v>2339</v>
      </c>
      <c r="C701" s="1">
        <v>45855</v>
      </c>
      <c r="D701" s="3">
        <v>46220</v>
      </c>
      <c r="E701" s="5">
        <v>104.7525</v>
      </c>
      <c r="F701" s="3">
        <v>46204</v>
      </c>
      <c r="G701">
        <v>103.04219999999999</v>
      </c>
      <c r="H701" s="1">
        <v>46164</v>
      </c>
    </row>
    <row r="702" spans="1:8" x14ac:dyDescent="0.25">
      <c r="A702" s="2">
        <v>700</v>
      </c>
      <c r="B702" t="s">
        <v>1823</v>
      </c>
      <c r="C702" s="1">
        <v>45855</v>
      </c>
      <c r="D702" s="3">
        <v>46220</v>
      </c>
      <c r="E702" s="5">
        <v>39</v>
      </c>
      <c r="F702" s="3">
        <v>46209</v>
      </c>
      <c r="G702">
        <v>38</v>
      </c>
      <c r="H702" s="1">
        <v>46205</v>
      </c>
    </row>
    <row r="703" spans="1:8" x14ac:dyDescent="0.25">
      <c r="A703" s="2">
        <v>701</v>
      </c>
      <c r="B703" t="s">
        <v>2582</v>
      </c>
      <c r="C703" s="1">
        <v>45855</v>
      </c>
      <c r="D703" s="3">
        <v>46220</v>
      </c>
      <c r="E703" s="5">
        <v>96.469819999999999</v>
      </c>
      <c r="F703" s="3">
        <v>46177</v>
      </c>
      <c r="G703">
        <v>92.356870000000001</v>
      </c>
      <c r="H703" s="1">
        <v>46203</v>
      </c>
    </row>
    <row r="704" spans="1:8" x14ac:dyDescent="0.25">
      <c r="A704" s="2">
        <v>702</v>
      </c>
      <c r="B704" t="s">
        <v>3345</v>
      </c>
      <c r="C704" s="1">
        <v>45855</v>
      </c>
      <c r="D704" s="3">
        <v>46220</v>
      </c>
      <c r="E704" s="5">
        <v>100.9241</v>
      </c>
      <c r="F704" s="3">
        <v>46188</v>
      </c>
      <c r="G704">
        <v>93.381649999999993</v>
      </c>
      <c r="H704" s="1">
        <v>46220</v>
      </c>
    </row>
    <row r="705" spans="1:8" x14ac:dyDescent="0.25">
      <c r="A705" s="2">
        <v>703</v>
      </c>
      <c r="B705" t="s">
        <v>3342</v>
      </c>
      <c r="C705" s="1">
        <v>45855</v>
      </c>
      <c r="D705" s="3">
        <v>46220</v>
      </c>
      <c r="E705" s="5">
        <v>101.17100000000001</v>
      </c>
      <c r="F705" s="3">
        <v>46188</v>
      </c>
      <c r="G705">
        <v>93.886001586914006</v>
      </c>
      <c r="H705" s="1">
        <v>46220</v>
      </c>
    </row>
    <row r="706" spans="1:8" x14ac:dyDescent="0.25">
      <c r="A706" s="2">
        <v>704</v>
      </c>
      <c r="B706" t="s">
        <v>1922</v>
      </c>
      <c r="C706" s="1">
        <v>45855</v>
      </c>
      <c r="D706" s="3">
        <v>46220</v>
      </c>
      <c r="E706" s="5">
        <v>106.69280000000001</v>
      </c>
      <c r="F706" s="3">
        <v>46188</v>
      </c>
      <c r="G706">
        <v>92.078249999999997</v>
      </c>
      <c r="H706" s="1">
        <v>46196</v>
      </c>
    </row>
    <row r="707" spans="1:8" x14ac:dyDescent="0.25">
      <c r="A707" s="2">
        <v>705</v>
      </c>
      <c r="B707" t="s">
        <v>1921</v>
      </c>
      <c r="C707" s="1">
        <v>45855</v>
      </c>
      <c r="D707" s="3">
        <v>46220</v>
      </c>
      <c r="E707" s="5">
        <v>72.407480000000007</v>
      </c>
      <c r="F707" s="3">
        <v>46199</v>
      </c>
      <c r="G707">
        <v>67.383780000000002</v>
      </c>
      <c r="H707" s="1">
        <v>46220</v>
      </c>
    </row>
    <row r="708" spans="1:8" x14ac:dyDescent="0.25">
      <c r="A708" s="2">
        <v>706</v>
      </c>
      <c r="B708" t="s">
        <v>1917</v>
      </c>
      <c r="C708" s="1">
        <v>45855</v>
      </c>
      <c r="D708" s="3">
        <v>46220</v>
      </c>
      <c r="E708" s="5">
        <v>100.4091</v>
      </c>
      <c r="F708" s="3">
        <v>46190</v>
      </c>
      <c r="G708">
        <v>67.602204999999998</v>
      </c>
      <c r="H708" s="1">
        <v>46220</v>
      </c>
    </row>
    <row r="709" spans="1:8" x14ac:dyDescent="0.25">
      <c r="A709" s="2">
        <v>707</v>
      </c>
      <c r="B709" t="s">
        <v>3652</v>
      </c>
      <c r="C709" s="1">
        <v>45855</v>
      </c>
      <c r="D709" s="3">
        <v>46220</v>
      </c>
      <c r="E709" s="5">
        <v>98.5</v>
      </c>
      <c r="F709" s="3">
        <v>46205</v>
      </c>
      <c r="G709">
        <v>97.75</v>
      </c>
      <c r="H709" s="1">
        <v>46203</v>
      </c>
    </row>
    <row r="710" spans="1:8" x14ac:dyDescent="0.25">
      <c r="A710" s="2">
        <v>708</v>
      </c>
      <c r="B710" t="s">
        <v>3323</v>
      </c>
      <c r="C710" s="1">
        <v>45855</v>
      </c>
      <c r="D710" s="3">
        <v>46220</v>
      </c>
      <c r="E710" s="5">
        <v>100.1087</v>
      </c>
      <c r="F710" s="3">
        <v>46197</v>
      </c>
      <c r="G710">
        <v>97.441595000000007</v>
      </c>
      <c r="H710" s="1">
        <v>46220</v>
      </c>
    </row>
    <row r="711" spans="1:8" x14ac:dyDescent="0.25">
      <c r="A711" s="2">
        <v>709</v>
      </c>
      <c r="B711" t="s">
        <v>3215</v>
      </c>
      <c r="C711" s="1">
        <v>45855</v>
      </c>
      <c r="D711" s="3">
        <v>46220</v>
      </c>
      <c r="E711" s="5">
        <v>97.306849999999997</v>
      </c>
      <c r="F711" s="3">
        <v>46212</v>
      </c>
      <c r="G711">
        <v>95.586529999999996</v>
      </c>
      <c r="H711" s="1">
        <v>46216</v>
      </c>
    </row>
    <row r="712" spans="1:8" x14ac:dyDescent="0.25">
      <c r="A712" s="2">
        <v>710</v>
      </c>
      <c r="B712" t="s">
        <v>3164</v>
      </c>
      <c r="C712" s="1">
        <v>45855</v>
      </c>
      <c r="D712" s="3">
        <v>46220</v>
      </c>
      <c r="E712" s="5">
        <v>100.6046</v>
      </c>
      <c r="F712" s="3">
        <v>46202</v>
      </c>
      <c r="G712">
        <v>99.899649999999994</v>
      </c>
      <c r="H712" s="1">
        <v>46196</v>
      </c>
    </row>
    <row r="713" spans="1:8" x14ac:dyDescent="0.25">
      <c r="A713" s="2">
        <v>711</v>
      </c>
      <c r="B713" t="s">
        <v>3143</v>
      </c>
      <c r="C713" s="1">
        <v>45855</v>
      </c>
      <c r="D713" s="3">
        <v>46220</v>
      </c>
      <c r="E713" s="5">
        <v>102.1199</v>
      </c>
      <c r="F713" s="3">
        <v>46198</v>
      </c>
      <c r="G713">
        <v>82.215770000000006</v>
      </c>
      <c r="H713" s="1">
        <v>46217</v>
      </c>
    </row>
    <row r="714" spans="1:8" x14ac:dyDescent="0.25">
      <c r="A714" s="2">
        <v>712</v>
      </c>
      <c r="B714" t="s">
        <v>3566</v>
      </c>
      <c r="C714" s="1">
        <v>45855</v>
      </c>
      <c r="D714" s="3">
        <v>46220</v>
      </c>
      <c r="E714" s="5">
        <v>122.9371</v>
      </c>
      <c r="F714" s="3">
        <v>46203</v>
      </c>
      <c r="G714">
        <v>91.789400000000001</v>
      </c>
      <c r="H714" s="1">
        <v>46217</v>
      </c>
    </row>
    <row r="715" spans="1:8" x14ac:dyDescent="0.25">
      <c r="A715" s="2">
        <v>713</v>
      </c>
      <c r="B715" t="s">
        <v>3683</v>
      </c>
      <c r="C715" s="1">
        <v>45855</v>
      </c>
      <c r="D715" s="3">
        <v>46220</v>
      </c>
      <c r="E715" s="5">
        <v>99.643199999999993</v>
      </c>
      <c r="F715" s="3">
        <v>46204</v>
      </c>
      <c r="G715">
        <v>95.125</v>
      </c>
      <c r="H715" s="1">
        <v>46212</v>
      </c>
    </row>
    <row r="716" spans="1:8" x14ac:dyDescent="0.25">
      <c r="A716" s="2">
        <v>714</v>
      </c>
      <c r="B716" t="s">
        <v>3670</v>
      </c>
      <c r="C716" s="1">
        <v>45855</v>
      </c>
      <c r="D716" s="3">
        <v>46220</v>
      </c>
      <c r="E716" s="5">
        <v>99.482650000000007</v>
      </c>
      <c r="F716" s="3">
        <v>46210</v>
      </c>
      <c r="G716">
        <v>98.712779999999995</v>
      </c>
      <c r="H716" s="1">
        <v>46220</v>
      </c>
    </row>
    <row r="717" spans="1:8" x14ac:dyDescent="0.25">
      <c r="A717" s="2">
        <v>715</v>
      </c>
      <c r="B717" t="s">
        <v>3668</v>
      </c>
      <c r="C717" s="1">
        <v>45855</v>
      </c>
      <c r="D717" s="3">
        <v>46220</v>
      </c>
      <c r="E717" s="5">
        <v>99.217839999999995</v>
      </c>
      <c r="F717" s="3">
        <v>46213</v>
      </c>
      <c r="G717">
        <v>98.760424999999998</v>
      </c>
      <c r="H717" s="1">
        <v>46220</v>
      </c>
    </row>
    <row r="718" spans="1:8" x14ac:dyDescent="0.25">
      <c r="A718" s="2">
        <v>716</v>
      </c>
      <c r="B718" t="s">
        <v>2207</v>
      </c>
      <c r="C718" s="1">
        <v>45855</v>
      </c>
      <c r="D718" s="3">
        <v>46220</v>
      </c>
      <c r="E718" s="5">
        <v>105.5804</v>
      </c>
      <c r="F718" s="3">
        <v>45950</v>
      </c>
      <c r="G718">
        <v>101.50530000000001</v>
      </c>
      <c r="H718" s="1">
        <v>46108</v>
      </c>
    </row>
    <row r="719" spans="1:8" x14ac:dyDescent="0.25">
      <c r="A719" s="2">
        <v>717</v>
      </c>
      <c r="B719" t="s">
        <v>2035</v>
      </c>
      <c r="C719" s="1">
        <v>45855</v>
      </c>
      <c r="D719" s="3">
        <v>46220</v>
      </c>
      <c r="E719" s="5">
        <v>104.1913</v>
      </c>
      <c r="F719" s="3">
        <v>45922</v>
      </c>
      <c r="G719">
        <v>99.566249999999997</v>
      </c>
      <c r="H719" s="1">
        <v>45946</v>
      </c>
    </row>
    <row r="720" spans="1:8" x14ac:dyDescent="0.25">
      <c r="A720" s="2">
        <v>718</v>
      </c>
      <c r="B720" t="s">
        <v>145</v>
      </c>
      <c r="C720" s="1">
        <v>45855</v>
      </c>
      <c r="D720" s="3">
        <v>46220</v>
      </c>
      <c r="E720" s="5">
        <v>100.8116</v>
      </c>
      <c r="F720" s="3">
        <v>46210</v>
      </c>
      <c r="G720">
        <v>95.969380000000001</v>
      </c>
      <c r="H720" s="1">
        <v>46013</v>
      </c>
    </row>
    <row r="721" spans="1:8" x14ac:dyDescent="0.25">
      <c r="A721" s="2">
        <v>719</v>
      </c>
      <c r="B721" t="s">
        <v>2033</v>
      </c>
      <c r="C721" s="1">
        <v>45855</v>
      </c>
      <c r="D721" s="3">
        <v>46220</v>
      </c>
      <c r="E721" s="5">
        <v>99.252650000000003</v>
      </c>
      <c r="F721" s="3">
        <v>46057</v>
      </c>
      <c r="G721">
        <v>92.47157</v>
      </c>
      <c r="H721" s="1">
        <v>46191</v>
      </c>
    </row>
    <row r="722" spans="1:8" x14ac:dyDescent="0.25">
      <c r="A722" s="2">
        <v>720</v>
      </c>
      <c r="B722" t="s">
        <v>2205</v>
      </c>
      <c r="C722" s="1">
        <v>45855</v>
      </c>
      <c r="D722" s="3">
        <v>46220</v>
      </c>
      <c r="E722" s="5">
        <v>47.728250000000003</v>
      </c>
      <c r="F722" s="3">
        <v>45861</v>
      </c>
      <c r="G722">
        <v>28.351839999999999</v>
      </c>
      <c r="H722" s="1">
        <v>46209</v>
      </c>
    </row>
    <row r="723" spans="1:8" x14ac:dyDescent="0.25">
      <c r="A723" s="2">
        <v>721</v>
      </c>
      <c r="B723" t="s">
        <v>2202</v>
      </c>
      <c r="C723" s="1">
        <v>45855</v>
      </c>
      <c r="D723" s="3">
        <v>46220</v>
      </c>
      <c r="E723" s="5">
        <v>111.5483</v>
      </c>
      <c r="F723" s="3">
        <v>45881</v>
      </c>
      <c r="G723">
        <v>105.8567</v>
      </c>
      <c r="H723" s="1">
        <v>46216</v>
      </c>
    </row>
    <row r="724" spans="1:8" x14ac:dyDescent="0.25">
      <c r="A724" s="2">
        <v>722</v>
      </c>
      <c r="B724" t="s">
        <v>128</v>
      </c>
      <c r="C724" s="1">
        <v>45855</v>
      </c>
      <c r="D724" s="3">
        <v>46220</v>
      </c>
      <c r="E724" s="5">
        <v>108.9545</v>
      </c>
      <c r="F724" s="3">
        <v>45909</v>
      </c>
      <c r="G724">
        <v>104.66800000000001</v>
      </c>
      <c r="H724" s="1">
        <v>46217</v>
      </c>
    </row>
    <row r="725" spans="1:8" x14ac:dyDescent="0.25">
      <c r="A725" s="2">
        <v>723</v>
      </c>
      <c r="B725" t="s">
        <v>1764</v>
      </c>
      <c r="C725" s="1">
        <v>45855</v>
      </c>
      <c r="D725" s="3">
        <v>46220</v>
      </c>
      <c r="E725" s="5">
        <v>11.719609999999999</v>
      </c>
      <c r="F725" s="3">
        <v>45862</v>
      </c>
      <c r="G725">
        <v>3.0343650000000002</v>
      </c>
      <c r="H725" s="1">
        <v>46126</v>
      </c>
    </row>
    <row r="726" spans="1:8" x14ac:dyDescent="0.25">
      <c r="A726" s="2">
        <v>724</v>
      </c>
      <c r="B726" t="s">
        <v>1762</v>
      </c>
      <c r="C726" s="1">
        <v>45855</v>
      </c>
      <c r="D726" s="3">
        <v>46220</v>
      </c>
      <c r="E726" s="5">
        <v>16.75</v>
      </c>
      <c r="F726" s="3">
        <v>45919</v>
      </c>
      <c r="G726">
        <v>4.3630000000000004</v>
      </c>
      <c r="H726" s="1">
        <v>46083</v>
      </c>
    </row>
    <row r="727" spans="1:8" x14ac:dyDescent="0.25">
      <c r="A727" s="2">
        <v>725</v>
      </c>
      <c r="B727" t="s">
        <v>1761</v>
      </c>
      <c r="C727" s="1">
        <v>45855</v>
      </c>
      <c r="D727" s="3">
        <v>46220</v>
      </c>
      <c r="E727" s="5">
        <v>11.01478</v>
      </c>
      <c r="F727" s="3">
        <v>45861</v>
      </c>
      <c r="G727">
        <v>3.632193</v>
      </c>
      <c r="H727" s="1">
        <v>46064</v>
      </c>
    </row>
    <row r="728" spans="1:8" x14ac:dyDescent="0.25">
      <c r="A728" s="2">
        <v>726</v>
      </c>
      <c r="B728" t="s">
        <v>1759</v>
      </c>
      <c r="C728" s="1">
        <v>45855</v>
      </c>
      <c r="D728" s="3">
        <v>46220</v>
      </c>
      <c r="E728" s="5">
        <v>11.719609999999999</v>
      </c>
      <c r="F728" s="3">
        <v>45862</v>
      </c>
      <c r="G728">
        <v>3.0343650000000002</v>
      </c>
      <c r="H728" s="1">
        <v>46126</v>
      </c>
    </row>
    <row r="729" spans="1:8" x14ac:dyDescent="0.25">
      <c r="A729" s="2">
        <v>727</v>
      </c>
      <c r="B729" t="s">
        <v>1757</v>
      </c>
      <c r="C729" s="1">
        <v>45855</v>
      </c>
      <c r="D729" s="3">
        <v>46220</v>
      </c>
      <c r="E729" s="5">
        <v>15</v>
      </c>
      <c r="F729" s="3">
        <v>45876</v>
      </c>
      <c r="G729">
        <v>4</v>
      </c>
      <c r="H729" s="1">
        <v>46077</v>
      </c>
    </row>
    <row r="730" spans="1:8" x14ac:dyDescent="0.25">
      <c r="A730" s="2">
        <v>728</v>
      </c>
      <c r="B730" t="s">
        <v>1755</v>
      </c>
      <c r="C730" s="1">
        <v>45855</v>
      </c>
      <c r="D730" s="3">
        <v>46220</v>
      </c>
      <c r="E730" s="5">
        <v>11.01478</v>
      </c>
      <c r="F730" s="3">
        <v>45861</v>
      </c>
      <c r="G730">
        <v>3.632193</v>
      </c>
      <c r="H730" s="1">
        <v>46064</v>
      </c>
    </row>
    <row r="731" spans="1:8" x14ac:dyDescent="0.25">
      <c r="A731" s="2">
        <v>729</v>
      </c>
      <c r="B731" t="s">
        <v>1335</v>
      </c>
      <c r="C731" s="1">
        <v>45855</v>
      </c>
      <c r="D731" s="3">
        <v>46220</v>
      </c>
      <c r="E731" s="5">
        <v>113.34569999999999</v>
      </c>
      <c r="F731" s="3">
        <v>45905</v>
      </c>
      <c r="G731">
        <v>103.4789</v>
      </c>
      <c r="H731" s="1">
        <v>46108</v>
      </c>
    </row>
    <row r="732" spans="1:8" x14ac:dyDescent="0.25">
      <c r="A732" s="2">
        <v>730</v>
      </c>
      <c r="B732" t="s">
        <v>1333</v>
      </c>
      <c r="C732" s="1">
        <v>45855</v>
      </c>
      <c r="D732" s="3">
        <v>46220</v>
      </c>
      <c r="E732" s="5">
        <v>100.1818</v>
      </c>
      <c r="F732" s="3">
        <v>45910</v>
      </c>
      <c r="G732">
        <v>86.132980000000003</v>
      </c>
      <c r="H732" s="1">
        <v>46111</v>
      </c>
    </row>
    <row r="733" spans="1:8" x14ac:dyDescent="0.25">
      <c r="A733" s="2">
        <v>731</v>
      </c>
      <c r="B733" t="s">
        <v>2279</v>
      </c>
      <c r="C733" s="1">
        <v>45855</v>
      </c>
      <c r="D733" s="3">
        <v>46220</v>
      </c>
      <c r="E733" s="5">
        <v>108.51730000000001</v>
      </c>
      <c r="F733" s="3">
        <v>45897</v>
      </c>
      <c r="G733">
        <v>94.288529999999994</v>
      </c>
      <c r="H733" s="1">
        <v>46211</v>
      </c>
    </row>
    <row r="734" spans="1:8" x14ac:dyDescent="0.25">
      <c r="A734" s="2">
        <v>732</v>
      </c>
      <c r="B734" t="s">
        <v>2199</v>
      </c>
      <c r="C734" s="1">
        <v>45855</v>
      </c>
      <c r="D734" s="3">
        <v>46220</v>
      </c>
      <c r="E734" s="5">
        <v>115.15389999999999</v>
      </c>
      <c r="F734" s="3">
        <v>45952</v>
      </c>
      <c r="G734">
        <v>110.0111</v>
      </c>
      <c r="H734" s="1">
        <v>46216</v>
      </c>
    </row>
    <row r="735" spans="1:8" x14ac:dyDescent="0.25">
      <c r="A735" s="2">
        <v>733</v>
      </c>
      <c r="B735" t="s">
        <v>348</v>
      </c>
      <c r="C735" s="1">
        <v>45855</v>
      </c>
      <c r="D735" s="3">
        <v>46220</v>
      </c>
      <c r="E735" s="5">
        <v>50.697670000000002</v>
      </c>
      <c r="F735" s="3">
        <v>45936</v>
      </c>
      <c r="G735">
        <v>24.832139999999999</v>
      </c>
      <c r="H735" s="1">
        <v>46183</v>
      </c>
    </row>
    <row r="736" spans="1:8" x14ac:dyDescent="0.25">
      <c r="A736" s="2">
        <v>734</v>
      </c>
      <c r="B736" t="s">
        <v>1331</v>
      </c>
      <c r="C736" s="1">
        <v>45855</v>
      </c>
      <c r="D736" s="3">
        <v>46220</v>
      </c>
      <c r="E736" s="5">
        <v>107.89490000000001</v>
      </c>
      <c r="F736" s="3">
        <v>45916</v>
      </c>
      <c r="G736">
        <v>85.891210000000001</v>
      </c>
      <c r="H736" s="1">
        <v>46094</v>
      </c>
    </row>
    <row r="737" spans="1:8" x14ac:dyDescent="0.25">
      <c r="A737" s="2">
        <v>735</v>
      </c>
      <c r="B737" t="s">
        <v>2197</v>
      </c>
      <c r="C737" s="1">
        <v>45855</v>
      </c>
      <c r="D737" s="3">
        <v>46220</v>
      </c>
      <c r="E737" s="5">
        <v>110.465</v>
      </c>
      <c r="F737" s="3">
        <v>45958</v>
      </c>
      <c r="G737">
        <v>104.6018</v>
      </c>
      <c r="H737" s="1">
        <v>46161</v>
      </c>
    </row>
    <row r="738" spans="1:8" x14ac:dyDescent="0.25">
      <c r="A738" s="2">
        <v>736</v>
      </c>
      <c r="B738" t="s">
        <v>1329</v>
      </c>
      <c r="C738" s="1">
        <v>45855</v>
      </c>
      <c r="D738" s="3">
        <v>46220</v>
      </c>
      <c r="E738" s="5">
        <v>104.2426</v>
      </c>
      <c r="F738" s="3">
        <v>45946</v>
      </c>
      <c r="G738">
        <v>83.275880000000001</v>
      </c>
      <c r="H738" s="1">
        <v>46094</v>
      </c>
    </row>
    <row r="739" spans="1:8" x14ac:dyDescent="0.25">
      <c r="A739" s="2">
        <v>737</v>
      </c>
      <c r="B739" t="s">
        <v>2195</v>
      </c>
      <c r="C739" s="1">
        <v>45855</v>
      </c>
      <c r="D739" s="3">
        <v>46220</v>
      </c>
      <c r="E739" s="5">
        <v>114.1917</v>
      </c>
      <c r="F739" s="3">
        <v>45952</v>
      </c>
      <c r="G739">
        <v>107.6972</v>
      </c>
      <c r="H739" s="1">
        <v>46161</v>
      </c>
    </row>
    <row r="740" spans="1:8" x14ac:dyDescent="0.25">
      <c r="A740" s="2">
        <v>738</v>
      </c>
      <c r="B740" t="s">
        <v>494</v>
      </c>
      <c r="C740" s="1">
        <v>45855</v>
      </c>
      <c r="D740" s="3">
        <v>46220</v>
      </c>
      <c r="E740" s="5">
        <v>57.481780000000001</v>
      </c>
      <c r="F740" s="3">
        <v>45861</v>
      </c>
      <c r="G740">
        <v>24.093229999999998</v>
      </c>
      <c r="H740" s="1">
        <v>46101</v>
      </c>
    </row>
    <row r="741" spans="1:8" x14ac:dyDescent="0.25">
      <c r="A741" s="2">
        <v>739</v>
      </c>
      <c r="B741" t="s">
        <v>1327</v>
      </c>
      <c r="C741" s="1">
        <v>45855</v>
      </c>
      <c r="D741" s="3">
        <v>46220</v>
      </c>
      <c r="E741" s="5">
        <v>95.013599999999997</v>
      </c>
      <c r="F741" s="3">
        <v>45915</v>
      </c>
      <c r="G741">
        <v>73.959689999999995</v>
      </c>
      <c r="H741" s="1">
        <v>46112</v>
      </c>
    </row>
    <row r="742" spans="1:8" x14ac:dyDescent="0.25">
      <c r="A742" s="2">
        <v>740</v>
      </c>
      <c r="B742" t="s">
        <v>2456</v>
      </c>
      <c r="C742" s="1">
        <v>45855</v>
      </c>
      <c r="D742" s="3">
        <v>46220</v>
      </c>
      <c r="E742" s="5">
        <v>69.046520000000001</v>
      </c>
      <c r="F742" s="3">
        <v>45855</v>
      </c>
      <c r="G742">
        <v>33.429319999999997</v>
      </c>
      <c r="H742" s="1">
        <v>45940</v>
      </c>
    </row>
    <row r="743" spans="1:8" x14ac:dyDescent="0.25">
      <c r="A743" s="2">
        <v>741</v>
      </c>
      <c r="B743" t="s">
        <v>2193</v>
      </c>
      <c r="C743" s="1">
        <v>45855</v>
      </c>
      <c r="D743" s="3">
        <v>46220</v>
      </c>
      <c r="E743" s="5">
        <v>106.1117</v>
      </c>
      <c r="F743" s="3">
        <v>46076</v>
      </c>
      <c r="G743">
        <v>99.423969999999997</v>
      </c>
      <c r="H743" s="1">
        <v>45855</v>
      </c>
    </row>
    <row r="744" spans="1:8" x14ac:dyDescent="0.25">
      <c r="A744" s="2">
        <v>742</v>
      </c>
      <c r="B744" t="s">
        <v>1325</v>
      </c>
      <c r="C744" s="1">
        <v>45855</v>
      </c>
      <c r="D744" s="3">
        <v>46220</v>
      </c>
      <c r="E744" s="5">
        <v>76.286500000000004</v>
      </c>
      <c r="F744" s="3">
        <v>45950</v>
      </c>
      <c r="G744">
        <v>59.662039999999998</v>
      </c>
      <c r="H744" s="1">
        <v>46220</v>
      </c>
    </row>
    <row r="745" spans="1:8" x14ac:dyDescent="0.25">
      <c r="A745" s="2">
        <v>743</v>
      </c>
      <c r="B745" t="s">
        <v>1323</v>
      </c>
      <c r="C745" s="1">
        <v>45855</v>
      </c>
      <c r="D745" s="3">
        <v>46220</v>
      </c>
      <c r="E745" s="5">
        <v>83.484679999999997</v>
      </c>
      <c r="F745" s="3">
        <v>45911</v>
      </c>
      <c r="G745">
        <v>63.516730000000003</v>
      </c>
      <c r="H745" s="1">
        <v>46111</v>
      </c>
    </row>
    <row r="746" spans="1:8" x14ac:dyDescent="0.25">
      <c r="A746" s="2">
        <v>744</v>
      </c>
      <c r="B746" t="s">
        <v>2191</v>
      </c>
      <c r="C746" s="1">
        <v>45855</v>
      </c>
      <c r="D746" s="3">
        <v>46220</v>
      </c>
      <c r="E746" s="5">
        <v>82.148769999999999</v>
      </c>
      <c r="F746" s="3">
        <v>45958</v>
      </c>
      <c r="G746">
        <v>75.828249999999997</v>
      </c>
      <c r="H746" s="1">
        <v>45855</v>
      </c>
    </row>
    <row r="747" spans="1:8" x14ac:dyDescent="0.25">
      <c r="A747" s="2">
        <v>745</v>
      </c>
      <c r="B747" t="s">
        <v>2408</v>
      </c>
      <c r="C747" s="1">
        <v>45855</v>
      </c>
      <c r="D747" s="3">
        <v>46220</v>
      </c>
      <c r="E747" s="5">
        <v>58.035449999999997</v>
      </c>
      <c r="F747" s="3">
        <v>45930</v>
      </c>
      <c r="G747">
        <v>29.959109999999999</v>
      </c>
      <c r="H747" s="1">
        <v>46113</v>
      </c>
    </row>
    <row r="748" spans="1:8" x14ac:dyDescent="0.25">
      <c r="A748" s="2">
        <v>746</v>
      </c>
      <c r="B748" t="s">
        <v>1321</v>
      </c>
      <c r="C748" s="1">
        <v>45855</v>
      </c>
      <c r="D748" s="3">
        <v>46220</v>
      </c>
      <c r="E748" s="5">
        <v>79.470699999999994</v>
      </c>
      <c r="F748" s="3">
        <v>45944</v>
      </c>
      <c r="G748">
        <v>60.091900000000003</v>
      </c>
      <c r="H748" s="1">
        <v>46148</v>
      </c>
    </row>
    <row r="749" spans="1:8" x14ac:dyDescent="0.25">
      <c r="A749" s="2">
        <v>747</v>
      </c>
      <c r="B749" t="s">
        <v>1319</v>
      </c>
      <c r="C749" s="1">
        <v>45855</v>
      </c>
      <c r="D749" s="3">
        <v>46220</v>
      </c>
      <c r="E749" s="5">
        <v>78.609560000000002</v>
      </c>
      <c r="F749" s="3">
        <v>45915</v>
      </c>
      <c r="G749">
        <v>59.65401</v>
      </c>
      <c r="H749" s="1">
        <v>46111</v>
      </c>
    </row>
    <row r="750" spans="1:8" x14ac:dyDescent="0.25">
      <c r="A750" s="2">
        <v>748</v>
      </c>
      <c r="B750" t="s">
        <v>1751</v>
      </c>
      <c r="C750" s="1">
        <v>45855</v>
      </c>
      <c r="D750" s="3">
        <v>46220</v>
      </c>
      <c r="E750" s="5">
        <v>52.05059</v>
      </c>
      <c r="F750" s="3">
        <v>45929</v>
      </c>
      <c r="G750">
        <v>37.454659999999997</v>
      </c>
      <c r="H750" s="1">
        <v>46070</v>
      </c>
    </row>
    <row r="751" spans="1:8" x14ac:dyDescent="0.25">
      <c r="A751" s="2">
        <v>749</v>
      </c>
      <c r="B751" t="s">
        <v>1317</v>
      </c>
      <c r="C751" s="1">
        <v>45855</v>
      </c>
      <c r="D751" s="3">
        <v>46220</v>
      </c>
      <c r="E751" s="5">
        <v>93.264859999999999</v>
      </c>
      <c r="F751" s="3">
        <v>45912</v>
      </c>
      <c r="G751">
        <v>68.066550000000007</v>
      </c>
      <c r="H751" s="1">
        <v>46108</v>
      </c>
    </row>
    <row r="752" spans="1:8" x14ac:dyDescent="0.25">
      <c r="A752" s="2">
        <v>750</v>
      </c>
      <c r="B752" t="s">
        <v>2404</v>
      </c>
      <c r="C752" s="1">
        <v>45855</v>
      </c>
      <c r="D752" s="3">
        <v>46220</v>
      </c>
      <c r="E752" s="5">
        <v>57.367699999999999</v>
      </c>
      <c r="F752" s="3">
        <v>45931</v>
      </c>
      <c r="G752">
        <v>30.079910000000002</v>
      </c>
      <c r="H752" s="1">
        <v>46105</v>
      </c>
    </row>
    <row r="753" spans="1:8" x14ac:dyDescent="0.25">
      <c r="A753" s="2">
        <v>751</v>
      </c>
      <c r="B753" t="s">
        <v>1315</v>
      </c>
      <c r="C753" s="1">
        <v>45855</v>
      </c>
      <c r="D753" s="3">
        <v>46220</v>
      </c>
      <c r="E753" s="5">
        <v>84.338570000000004</v>
      </c>
      <c r="F753" s="3">
        <v>45911</v>
      </c>
      <c r="G753">
        <v>63.461820000000003</v>
      </c>
      <c r="H753" s="1">
        <v>46111</v>
      </c>
    </row>
    <row r="754" spans="1:8" x14ac:dyDescent="0.25">
      <c r="A754" s="2">
        <v>752</v>
      </c>
      <c r="B754" t="s">
        <v>2189</v>
      </c>
      <c r="C754" s="1">
        <v>45855</v>
      </c>
      <c r="D754" s="3">
        <v>46220</v>
      </c>
      <c r="E754" s="5">
        <v>91.118639999999999</v>
      </c>
      <c r="F754" s="3">
        <v>45952</v>
      </c>
      <c r="G754">
        <v>84.815569999999994</v>
      </c>
      <c r="H754" s="1">
        <v>46108</v>
      </c>
    </row>
    <row r="755" spans="1:8" x14ac:dyDescent="0.25">
      <c r="A755" s="2">
        <v>753</v>
      </c>
      <c r="B755" t="s">
        <v>1750</v>
      </c>
      <c r="C755" s="1">
        <v>45855</v>
      </c>
      <c r="D755" s="3">
        <v>46220</v>
      </c>
      <c r="E755" s="5">
        <v>53.039540000000002</v>
      </c>
      <c r="F755" s="3">
        <v>45929</v>
      </c>
      <c r="G755">
        <v>37.086750000000002</v>
      </c>
      <c r="H755" s="1">
        <v>46064</v>
      </c>
    </row>
    <row r="756" spans="1:8" x14ac:dyDescent="0.25">
      <c r="A756" s="2">
        <v>754</v>
      </c>
      <c r="B756" t="s">
        <v>1313</v>
      </c>
      <c r="C756" s="1">
        <v>45855</v>
      </c>
      <c r="D756" s="3">
        <v>46220</v>
      </c>
      <c r="E756" s="5">
        <v>82.452879999999993</v>
      </c>
      <c r="F756" s="3">
        <v>45911</v>
      </c>
      <c r="G756">
        <v>60.866889999999998</v>
      </c>
      <c r="H756" s="1">
        <v>46111</v>
      </c>
    </row>
    <row r="757" spans="1:8" x14ac:dyDescent="0.25">
      <c r="A757" s="2">
        <v>755</v>
      </c>
      <c r="B757" t="s">
        <v>1748</v>
      </c>
      <c r="C757" s="1">
        <v>45855</v>
      </c>
      <c r="D757" s="3">
        <v>46220</v>
      </c>
      <c r="E757" s="5">
        <v>53.039540000000002</v>
      </c>
      <c r="F757" s="3">
        <v>45929</v>
      </c>
      <c r="G757">
        <v>37.086750000000002</v>
      </c>
      <c r="H757" s="1">
        <v>46064</v>
      </c>
    </row>
    <row r="758" spans="1:8" x14ac:dyDescent="0.25">
      <c r="A758" s="2">
        <v>756</v>
      </c>
      <c r="B758" t="s">
        <v>1311</v>
      </c>
      <c r="C758" s="1">
        <v>45855</v>
      </c>
      <c r="D758" s="3">
        <v>46220</v>
      </c>
      <c r="E758" s="5">
        <v>90.242980000000003</v>
      </c>
      <c r="F758" s="3">
        <v>45931</v>
      </c>
      <c r="G758">
        <v>76.067570000000003</v>
      </c>
      <c r="H758" s="1">
        <v>46164</v>
      </c>
    </row>
    <row r="759" spans="1:8" x14ac:dyDescent="0.25">
      <c r="A759" s="2">
        <v>757</v>
      </c>
      <c r="B759" t="s">
        <v>1309</v>
      </c>
      <c r="C759" s="1">
        <v>45855</v>
      </c>
      <c r="D759" s="3">
        <v>46220</v>
      </c>
      <c r="E759" s="5">
        <v>79.421940000000006</v>
      </c>
      <c r="F759" s="3">
        <v>45911</v>
      </c>
      <c r="G759">
        <v>59.162689999999998</v>
      </c>
      <c r="H759" s="1">
        <v>46161</v>
      </c>
    </row>
    <row r="760" spans="1:8" x14ac:dyDescent="0.25">
      <c r="A760" s="2">
        <v>758</v>
      </c>
      <c r="B760" t="s">
        <v>492</v>
      </c>
      <c r="C760" s="1">
        <v>45855</v>
      </c>
      <c r="D760" s="3">
        <v>46220</v>
      </c>
      <c r="E760" s="5">
        <v>56.802439999999997</v>
      </c>
      <c r="F760" s="3">
        <v>45861</v>
      </c>
      <c r="G760">
        <v>22.64762</v>
      </c>
      <c r="H760" s="1">
        <v>46105</v>
      </c>
    </row>
    <row r="761" spans="1:8" x14ac:dyDescent="0.25">
      <c r="A761" s="2">
        <v>759</v>
      </c>
      <c r="B761" t="s">
        <v>330</v>
      </c>
      <c r="C761" s="1">
        <v>45855</v>
      </c>
      <c r="D761" s="3">
        <v>46220</v>
      </c>
      <c r="E761" s="5">
        <v>2.5</v>
      </c>
      <c r="F761" s="3">
        <v>46163</v>
      </c>
      <c r="G761">
        <v>1.11E-2</v>
      </c>
      <c r="H761" s="1">
        <v>46197</v>
      </c>
    </row>
    <row r="762" spans="1:8" x14ac:dyDescent="0.25">
      <c r="A762" s="2">
        <v>760</v>
      </c>
      <c r="B762" t="s">
        <v>1773</v>
      </c>
      <c r="C762" s="1">
        <v>45855</v>
      </c>
      <c r="D762" s="3">
        <v>46220</v>
      </c>
      <c r="E762" s="5">
        <v>12.07</v>
      </c>
      <c r="F762" s="3">
        <v>46168</v>
      </c>
      <c r="G762">
        <v>8.07</v>
      </c>
      <c r="H762" s="1">
        <v>46051</v>
      </c>
    </row>
    <row r="763" spans="1:8" x14ac:dyDescent="0.25">
      <c r="A763" s="2">
        <v>761</v>
      </c>
      <c r="B763" t="s">
        <v>1771</v>
      </c>
      <c r="C763" s="1">
        <v>45855</v>
      </c>
      <c r="D763" s="3">
        <v>46220</v>
      </c>
      <c r="E763" s="5">
        <v>12.05</v>
      </c>
      <c r="F763" s="3">
        <v>46168</v>
      </c>
      <c r="G763">
        <v>8.06</v>
      </c>
      <c r="H763" s="1">
        <v>46051</v>
      </c>
    </row>
    <row r="764" spans="1:8" x14ac:dyDescent="0.25">
      <c r="A764" s="2">
        <v>762</v>
      </c>
      <c r="B764" t="s">
        <v>1769</v>
      </c>
      <c r="C764" s="1">
        <v>45855</v>
      </c>
      <c r="D764" s="3">
        <v>46220</v>
      </c>
      <c r="E764" s="5">
        <v>9.14</v>
      </c>
      <c r="F764" s="3">
        <v>46182</v>
      </c>
      <c r="G764">
        <v>0.2455</v>
      </c>
      <c r="H764" s="1">
        <v>46219</v>
      </c>
    </row>
    <row r="765" spans="1:8" x14ac:dyDescent="0.25">
      <c r="A765" s="2">
        <v>763</v>
      </c>
      <c r="B765" t="s">
        <v>3643</v>
      </c>
      <c r="C765" s="1">
        <v>45855</v>
      </c>
      <c r="D765" s="3">
        <v>46220</v>
      </c>
      <c r="E765" s="5">
        <v>25.89</v>
      </c>
      <c r="F765" s="3">
        <v>46211</v>
      </c>
      <c r="G765">
        <v>24.84</v>
      </c>
      <c r="H765" s="1">
        <v>45859</v>
      </c>
    </row>
    <row r="766" spans="1:8" x14ac:dyDescent="0.25">
      <c r="A766" s="2">
        <v>764</v>
      </c>
      <c r="B766" t="s">
        <v>3701</v>
      </c>
      <c r="C766" s="1">
        <v>45855</v>
      </c>
      <c r="D766" s="3">
        <v>46220</v>
      </c>
      <c r="E766" s="5">
        <v>18.89</v>
      </c>
      <c r="F766" s="3">
        <v>45936</v>
      </c>
      <c r="G766">
        <v>15.89</v>
      </c>
      <c r="H766" s="1">
        <v>46185</v>
      </c>
    </row>
    <row r="767" spans="1:8" x14ac:dyDescent="0.25">
      <c r="A767" s="2">
        <v>765</v>
      </c>
      <c r="B767" t="s">
        <v>3699</v>
      </c>
      <c r="C767" s="1">
        <v>45855</v>
      </c>
      <c r="D767" s="3">
        <v>46220</v>
      </c>
      <c r="E767" s="5">
        <v>18.78</v>
      </c>
      <c r="F767" s="3">
        <v>45936</v>
      </c>
      <c r="G767">
        <v>15.69</v>
      </c>
      <c r="H767" s="1">
        <v>46178</v>
      </c>
    </row>
    <row r="768" spans="1:8" x14ac:dyDescent="0.25">
      <c r="A768" s="2">
        <v>766</v>
      </c>
      <c r="B768" t="s">
        <v>3697</v>
      </c>
      <c r="C768" s="1">
        <v>45855</v>
      </c>
      <c r="D768" s="3">
        <v>46220</v>
      </c>
      <c r="E768" s="5">
        <v>23.51</v>
      </c>
      <c r="F768" s="3">
        <v>46149</v>
      </c>
      <c r="G768">
        <v>21.2</v>
      </c>
      <c r="H768" s="1">
        <v>45860</v>
      </c>
    </row>
    <row r="769" spans="1:8" x14ac:dyDescent="0.25">
      <c r="A769" s="2">
        <v>767</v>
      </c>
      <c r="B769" t="s">
        <v>3789</v>
      </c>
      <c r="C769" s="1">
        <v>45855</v>
      </c>
      <c r="D769" s="3">
        <v>46220</v>
      </c>
      <c r="E769" s="5">
        <v>100.9756</v>
      </c>
      <c r="F769" s="3">
        <v>46203</v>
      </c>
      <c r="G769">
        <v>86.379149999999996</v>
      </c>
      <c r="H769" s="1">
        <v>45875</v>
      </c>
    </row>
    <row r="770" spans="1:8" x14ac:dyDescent="0.25">
      <c r="A770" s="2">
        <v>768</v>
      </c>
      <c r="B770" t="s">
        <v>1307</v>
      </c>
      <c r="C770" s="1">
        <v>45855</v>
      </c>
      <c r="D770" s="3">
        <v>46220</v>
      </c>
      <c r="E770" s="5">
        <v>99.059479999999994</v>
      </c>
      <c r="F770" s="3">
        <v>46209</v>
      </c>
      <c r="G770">
        <v>97.15701</v>
      </c>
      <c r="H770" s="1">
        <v>45855</v>
      </c>
    </row>
    <row r="771" spans="1:8" x14ac:dyDescent="0.25">
      <c r="A771" s="2">
        <v>769</v>
      </c>
      <c r="B771" t="s">
        <v>3787</v>
      </c>
      <c r="C771" s="1">
        <v>45855</v>
      </c>
      <c r="D771" s="3">
        <v>46220</v>
      </c>
      <c r="E771" s="5">
        <v>98.733379999999997</v>
      </c>
      <c r="F771" s="3">
        <v>45973</v>
      </c>
      <c r="G771">
        <v>75.990859999999998</v>
      </c>
      <c r="H771" s="1">
        <v>46218</v>
      </c>
    </row>
    <row r="772" spans="1:8" x14ac:dyDescent="0.25">
      <c r="A772" s="2">
        <v>770</v>
      </c>
      <c r="B772" t="s">
        <v>3785</v>
      </c>
      <c r="C772" s="1">
        <v>45855</v>
      </c>
      <c r="D772" s="3">
        <v>46220</v>
      </c>
      <c r="E772" s="5">
        <v>96.406270000000006</v>
      </c>
      <c r="F772" s="3">
        <v>45908</v>
      </c>
      <c r="G772">
        <v>44.562019999999997</v>
      </c>
      <c r="H772" s="1">
        <v>46217</v>
      </c>
    </row>
    <row r="773" spans="1:8" x14ac:dyDescent="0.25">
      <c r="A773" s="2">
        <v>771</v>
      </c>
      <c r="B773" t="s">
        <v>2187</v>
      </c>
      <c r="C773" s="1">
        <v>45855</v>
      </c>
      <c r="D773" s="3">
        <v>46220</v>
      </c>
      <c r="E773" s="5">
        <v>102.8549</v>
      </c>
      <c r="F773" s="3">
        <v>45923</v>
      </c>
      <c r="G773">
        <v>100.6294</v>
      </c>
      <c r="H773" s="1">
        <v>46216</v>
      </c>
    </row>
    <row r="774" spans="1:8" x14ac:dyDescent="0.25">
      <c r="A774" s="2">
        <v>772</v>
      </c>
      <c r="B774" t="s">
        <v>2185</v>
      </c>
      <c r="C774" s="1">
        <v>45855</v>
      </c>
      <c r="D774" s="3">
        <v>46220</v>
      </c>
      <c r="E774" s="5">
        <v>103.17570000000001</v>
      </c>
      <c r="F774" s="3">
        <v>46063</v>
      </c>
      <c r="G774">
        <v>101.0646</v>
      </c>
      <c r="H774" s="1">
        <v>46108</v>
      </c>
    </row>
    <row r="775" spans="1:8" x14ac:dyDescent="0.25">
      <c r="A775" s="2">
        <v>773</v>
      </c>
      <c r="B775" t="s">
        <v>2182</v>
      </c>
      <c r="C775" s="1">
        <v>45855</v>
      </c>
      <c r="D775" s="3">
        <v>46220</v>
      </c>
      <c r="E775" s="5">
        <v>103.4687</v>
      </c>
      <c r="F775" s="3">
        <v>46063</v>
      </c>
      <c r="G775">
        <v>100.82559999999999</v>
      </c>
      <c r="H775" s="1">
        <v>46108</v>
      </c>
    </row>
    <row r="776" spans="1:8" x14ac:dyDescent="0.25">
      <c r="A776" s="2">
        <v>774</v>
      </c>
      <c r="B776" t="s">
        <v>3783</v>
      </c>
      <c r="C776" s="1">
        <v>45855</v>
      </c>
      <c r="D776" s="3">
        <v>46220</v>
      </c>
      <c r="E776" s="5">
        <v>99.535399999999996</v>
      </c>
      <c r="F776" s="3">
        <v>46217</v>
      </c>
      <c r="G776">
        <v>83.49091</v>
      </c>
      <c r="H776" s="1">
        <v>45895</v>
      </c>
    </row>
    <row r="777" spans="1:8" x14ac:dyDescent="0.25">
      <c r="A777" s="2">
        <v>775</v>
      </c>
      <c r="B777" t="s">
        <v>2179</v>
      </c>
      <c r="C777" s="1">
        <v>45855</v>
      </c>
      <c r="D777" s="3">
        <v>46220</v>
      </c>
      <c r="E777" s="5">
        <v>99.81371</v>
      </c>
      <c r="F777" s="3">
        <v>46219</v>
      </c>
      <c r="G777">
        <v>97.931510000000003</v>
      </c>
      <c r="H777" s="1">
        <v>45869</v>
      </c>
    </row>
    <row r="778" spans="1:8" x14ac:dyDescent="0.25">
      <c r="A778" s="2">
        <v>776</v>
      </c>
      <c r="B778" t="s">
        <v>3781</v>
      </c>
      <c r="C778" s="1">
        <v>45855</v>
      </c>
      <c r="D778" s="3">
        <v>46220</v>
      </c>
      <c r="E778" s="5">
        <v>100.9756</v>
      </c>
      <c r="F778" s="3">
        <v>46203</v>
      </c>
      <c r="G778">
        <v>86.379149999999996</v>
      </c>
      <c r="H778" s="1">
        <v>45875</v>
      </c>
    </row>
    <row r="779" spans="1:8" x14ac:dyDescent="0.25">
      <c r="A779" s="2">
        <v>777</v>
      </c>
      <c r="B779" t="s">
        <v>42</v>
      </c>
      <c r="C779" s="1">
        <v>45855</v>
      </c>
      <c r="D779" s="3">
        <v>46220</v>
      </c>
      <c r="E779" s="5">
        <v>96.903310000000005</v>
      </c>
      <c r="F779" s="3">
        <v>45874</v>
      </c>
      <c r="G779">
        <v>65.138109999999998</v>
      </c>
      <c r="H779" s="1">
        <v>46220</v>
      </c>
    </row>
    <row r="780" spans="1:8" x14ac:dyDescent="0.25">
      <c r="A780" s="2">
        <v>778</v>
      </c>
      <c r="B780" t="s">
        <v>1303</v>
      </c>
      <c r="C780" s="1">
        <v>45855</v>
      </c>
      <c r="D780" s="3">
        <v>46220</v>
      </c>
      <c r="E780" s="5">
        <v>99.626580000000004</v>
      </c>
      <c r="F780" s="3">
        <v>46216</v>
      </c>
      <c r="G780">
        <v>97.742239999999995</v>
      </c>
      <c r="H780" s="1">
        <v>45866</v>
      </c>
    </row>
    <row r="781" spans="1:8" x14ac:dyDescent="0.25">
      <c r="A781" s="2">
        <v>779</v>
      </c>
      <c r="B781" t="s">
        <v>723</v>
      </c>
      <c r="C781" s="1">
        <v>45855</v>
      </c>
      <c r="D781" s="3">
        <v>46220</v>
      </c>
      <c r="E781" s="5">
        <v>99.735439999999997</v>
      </c>
      <c r="F781" s="3">
        <v>46220</v>
      </c>
      <c r="G781">
        <v>98.483990000000006</v>
      </c>
      <c r="H781" s="1">
        <v>45868</v>
      </c>
    </row>
    <row r="782" spans="1:8" x14ac:dyDescent="0.25">
      <c r="A782" s="2">
        <v>780</v>
      </c>
      <c r="B782" t="s">
        <v>721</v>
      </c>
      <c r="C782" s="1">
        <v>45855</v>
      </c>
      <c r="D782" s="3">
        <v>46220</v>
      </c>
      <c r="E782" s="5">
        <v>89.61806</v>
      </c>
      <c r="F782" s="3">
        <v>45952</v>
      </c>
      <c r="G782">
        <v>80.465490000000003</v>
      </c>
      <c r="H782" s="1">
        <v>46161</v>
      </c>
    </row>
    <row r="783" spans="1:8" x14ac:dyDescent="0.25">
      <c r="A783" s="2">
        <v>781</v>
      </c>
      <c r="B783" t="s">
        <v>2176</v>
      </c>
      <c r="C783" s="1">
        <v>45855</v>
      </c>
      <c r="D783" s="3">
        <v>46220</v>
      </c>
      <c r="E783" s="5">
        <v>100.2295</v>
      </c>
      <c r="F783" s="3">
        <v>46129</v>
      </c>
      <c r="G783">
        <v>96.028869999999998</v>
      </c>
      <c r="H783" s="1">
        <v>46101</v>
      </c>
    </row>
    <row r="784" spans="1:8" x14ac:dyDescent="0.25">
      <c r="A784" s="2">
        <v>782</v>
      </c>
      <c r="B784" t="s">
        <v>2173</v>
      </c>
      <c r="C784" s="1">
        <v>45855</v>
      </c>
      <c r="D784" s="3">
        <v>46220</v>
      </c>
      <c r="E784" s="5">
        <v>100.9096</v>
      </c>
      <c r="F784" s="3">
        <v>46080</v>
      </c>
      <c r="G784">
        <v>96.010140000000007</v>
      </c>
      <c r="H784" s="1">
        <v>46072</v>
      </c>
    </row>
    <row r="785" spans="1:8" x14ac:dyDescent="0.25">
      <c r="A785" s="2">
        <v>783</v>
      </c>
      <c r="B785" t="s">
        <v>2170</v>
      </c>
      <c r="C785" s="1">
        <v>45855</v>
      </c>
      <c r="D785" s="3">
        <v>46220</v>
      </c>
      <c r="E785" s="5">
        <v>101.0377</v>
      </c>
      <c r="F785" s="3">
        <v>46080</v>
      </c>
      <c r="G785">
        <v>95.930340000000001</v>
      </c>
      <c r="H785" s="1">
        <v>46181</v>
      </c>
    </row>
    <row r="786" spans="1:8" x14ac:dyDescent="0.25">
      <c r="A786" s="2">
        <v>784</v>
      </c>
      <c r="B786" t="s">
        <v>719</v>
      </c>
      <c r="C786" s="1">
        <v>45855</v>
      </c>
      <c r="D786" s="3">
        <v>46220</v>
      </c>
      <c r="E786" s="5">
        <v>102.36490000000001</v>
      </c>
      <c r="F786" s="3">
        <v>46197</v>
      </c>
      <c r="G786">
        <v>97.751339999999999</v>
      </c>
      <c r="H786" s="1">
        <v>46161</v>
      </c>
    </row>
    <row r="787" spans="1:8" x14ac:dyDescent="0.25">
      <c r="A787" s="2">
        <v>785</v>
      </c>
      <c r="B787" t="s">
        <v>1802</v>
      </c>
      <c r="C787" s="1">
        <v>45855</v>
      </c>
      <c r="D787" s="3">
        <v>46220</v>
      </c>
      <c r="E787" s="5">
        <v>107.34690000000001</v>
      </c>
      <c r="F787" s="3">
        <v>46153</v>
      </c>
      <c r="G787">
        <v>98.154300000000006</v>
      </c>
      <c r="H787" s="1">
        <v>46043</v>
      </c>
    </row>
    <row r="788" spans="1:8" x14ac:dyDescent="0.25">
      <c r="A788" s="2">
        <v>786</v>
      </c>
      <c r="B788" t="s">
        <v>717</v>
      </c>
      <c r="C788" s="1">
        <v>45855</v>
      </c>
      <c r="D788" s="3">
        <v>46220</v>
      </c>
      <c r="E788" s="5">
        <v>101.6206</v>
      </c>
      <c r="F788" s="3">
        <v>46080</v>
      </c>
      <c r="G788">
        <v>97.242050000000006</v>
      </c>
      <c r="H788" s="1">
        <v>46108</v>
      </c>
    </row>
    <row r="789" spans="1:8" x14ac:dyDescent="0.25">
      <c r="A789" s="2">
        <v>787</v>
      </c>
      <c r="B789" t="s">
        <v>1082</v>
      </c>
      <c r="C789" s="1">
        <v>45855</v>
      </c>
      <c r="D789" s="3">
        <v>46220</v>
      </c>
      <c r="E789" s="5">
        <v>99.88</v>
      </c>
      <c r="F789" s="3">
        <v>46051</v>
      </c>
      <c r="G789">
        <v>78.403999328613196</v>
      </c>
      <c r="H789" s="1">
        <v>46220</v>
      </c>
    </row>
    <row r="790" spans="1:8" x14ac:dyDescent="0.25">
      <c r="A790" s="2">
        <v>788</v>
      </c>
      <c r="B790" t="s">
        <v>1080</v>
      </c>
      <c r="C790" s="1">
        <v>45855</v>
      </c>
      <c r="D790" s="3">
        <v>46220</v>
      </c>
      <c r="E790" s="5">
        <v>99.641279999999995</v>
      </c>
      <c r="F790" s="3">
        <v>46050</v>
      </c>
      <c r="G790">
        <v>77.505245000000002</v>
      </c>
      <c r="H790" s="1">
        <v>46220</v>
      </c>
    </row>
    <row r="791" spans="1:8" x14ac:dyDescent="0.25">
      <c r="A791" s="2">
        <v>789</v>
      </c>
      <c r="B791" t="s">
        <v>1684</v>
      </c>
      <c r="C791" s="1">
        <v>45855</v>
      </c>
      <c r="D791" s="3">
        <v>46220</v>
      </c>
      <c r="E791" s="5">
        <v>101.8674</v>
      </c>
      <c r="F791" s="3">
        <v>46056</v>
      </c>
      <c r="G791">
        <v>85.550489999999996</v>
      </c>
      <c r="H791" s="1">
        <v>46101</v>
      </c>
    </row>
    <row r="792" spans="1:8" x14ac:dyDescent="0.25">
      <c r="A792" s="2">
        <v>790</v>
      </c>
      <c r="B792" t="s">
        <v>1049</v>
      </c>
      <c r="C792" s="1">
        <v>45855</v>
      </c>
      <c r="D792" s="3">
        <v>46220</v>
      </c>
      <c r="E792" s="5">
        <v>105.3472</v>
      </c>
      <c r="F792" s="3">
        <v>46051</v>
      </c>
      <c r="G792">
        <v>98.783019999999993</v>
      </c>
      <c r="H792" s="1">
        <v>46056</v>
      </c>
    </row>
    <row r="793" spans="1:8" x14ac:dyDescent="0.25">
      <c r="A793" s="2">
        <v>791</v>
      </c>
      <c r="B793" t="s">
        <v>1047</v>
      </c>
      <c r="C793" s="1">
        <v>45855</v>
      </c>
      <c r="D793" s="3">
        <v>46220</v>
      </c>
      <c r="E793" s="5">
        <v>101.4764</v>
      </c>
      <c r="F793" s="3">
        <v>46219</v>
      </c>
      <c r="G793">
        <v>97.662229999999994</v>
      </c>
      <c r="H793" s="1">
        <v>46056</v>
      </c>
    </row>
    <row r="794" spans="1:8" x14ac:dyDescent="0.25">
      <c r="A794" s="2">
        <v>792</v>
      </c>
      <c r="B794" t="s">
        <v>2703</v>
      </c>
      <c r="C794" s="1">
        <v>45855</v>
      </c>
      <c r="D794" s="3">
        <v>46220</v>
      </c>
      <c r="E794" s="5">
        <v>95.629260000000002</v>
      </c>
      <c r="F794" s="3">
        <v>46071</v>
      </c>
      <c r="G794">
        <v>87.638174999999904</v>
      </c>
      <c r="H794" s="1">
        <v>46220</v>
      </c>
    </row>
    <row r="795" spans="1:8" x14ac:dyDescent="0.25">
      <c r="A795" s="2">
        <v>793</v>
      </c>
      <c r="B795" t="s">
        <v>1775</v>
      </c>
      <c r="C795" s="1">
        <v>45855</v>
      </c>
      <c r="D795" s="3">
        <v>46220</v>
      </c>
      <c r="E795" s="5">
        <v>50</v>
      </c>
      <c r="F795" s="3">
        <v>46120</v>
      </c>
      <c r="G795">
        <v>30</v>
      </c>
      <c r="H795" s="1">
        <v>46189</v>
      </c>
    </row>
    <row r="796" spans="1:8" x14ac:dyDescent="0.25">
      <c r="A796" s="2">
        <v>794</v>
      </c>
      <c r="B796" t="s">
        <v>3891</v>
      </c>
      <c r="C796" s="1">
        <v>45855</v>
      </c>
      <c r="D796" s="3">
        <v>46220</v>
      </c>
      <c r="E796" s="5">
        <v>91.022900000000007</v>
      </c>
      <c r="F796" s="3">
        <v>46013</v>
      </c>
      <c r="G796">
        <v>56.642899999999997</v>
      </c>
      <c r="H796" s="1">
        <v>46119</v>
      </c>
    </row>
    <row r="797" spans="1:8" x14ac:dyDescent="0.25">
      <c r="A797" s="2">
        <v>795</v>
      </c>
      <c r="B797" t="s">
        <v>1635</v>
      </c>
      <c r="C797" s="1">
        <v>45855</v>
      </c>
      <c r="D797" s="3">
        <v>46220</v>
      </c>
      <c r="E797" s="5">
        <v>105.8074</v>
      </c>
      <c r="F797" s="3">
        <v>45952</v>
      </c>
      <c r="G797">
        <v>72.858130000000003</v>
      </c>
      <c r="H797" s="1">
        <v>46220</v>
      </c>
    </row>
    <row r="798" spans="1:8" x14ac:dyDescent="0.25">
      <c r="A798" s="2">
        <v>796</v>
      </c>
      <c r="B798" t="s">
        <v>1583</v>
      </c>
      <c r="C798" s="1">
        <v>45855</v>
      </c>
      <c r="D798" s="3">
        <v>46220</v>
      </c>
      <c r="E798" s="5">
        <v>88.063389999999998</v>
      </c>
      <c r="F798" s="3">
        <v>45959</v>
      </c>
      <c r="G798">
        <v>15.27519</v>
      </c>
      <c r="H798" s="1">
        <v>46216</v>
      </c>
    </row>
    <row r="799" spans="1:8" x14ac:dyDescent="0.25">
      <c r="A799" s="2">
        <v>797</v>
      </c>
      <c r="B799" t="s">
        <v>1281</v>
      </c>
      <c r="C799" s="1">
        <v>45855</v>
      </c>
      <c r="D799" s="3">
        <v>46220</v>
      </c>
      <c r="E799" s="5">
        <v>103.3515</v>
      </c>
      <c r="F799" s="3">
        <v>45916</v>
      </c>
      <c r="G799">
        <v>83.09966</v>
      </c>
      <c r="H799" s="1">
        <v>46148</v>
      </c>
    </row>
    <row r="800" spans="1:8" x14ac:dyDescent="0.25">
      <c r="A800" s="2">
        <v>798</v>
      </c>
      <c r="B800" t="s">
        <v>3871</v>
      </c>
      <c r="C800" s="1">
        <v>45855</v>
      </c>
      <c r="D800" s="3">
        <v>46220</v>
      </c>
      <c r="E800" s="5">
        <v>144.08600000000001</v>
      </c>
      <c r="F800" s="3">
        <v>45945</v>
      </c>
      <c r="G800">
        <v>76.274974999999998</v>
      </c>
      <c r="H800" s="1">
        <v>46220</v>
      </c>
    </row>
    <row r="801" spans="1:8" x14ac:dyDescent="0.25">
      <c r="A801" s="2">
        <v>799</v>
      </c>
      <c r="B801" t="s">
        <v>458</v>
      </c>
      <c r="C801" s="1">
        <v>45855</v>
      </c>
      <c r="D801" s="3">
        <v>46220</v>
      </c>
      <c r="E801" s="5">
        <v>102.26300000000001</v>
      </c>
      <c r="F801" s="3">
        <v>46188</v>
      </c>
      <c r="G801">
        <v>87.880889999999994</v>
      </c>
      <c r="H801" s="1">
        <v>45979</v>
      </c>
    </row>
    <row r="802" spans="1:8" x14ac:dyDescent="0.25">
      <c r="A802" s="2">
        <v>800</v>
      </c>
      <c r="B802" t="s">
        <v>3859</v>
      </c>
      <c r="C802" s="1">
        <v>45855</v>
      </c>
      <c r="D802" s="3">
        <v>46220</v>
      </c>
      <c r="E802" s="5">
        <v>103.5206</v>
      </c>
      <c r="F802" s="3">
        <v>45958</v>
      </c>
      <c r="G802">
        <v>98.092250000000007</v>
      </c>
      <c r="H802" s="1">
        <v>46108</v>
      </c>
    </row>
    <row r="803" spans="1:8" x14ac:dyDescent="0.25">
      <c r="A803" s="2">
        <v>801</v>
      </c>
      <c r="B803" t="s">
        <v>1411</v>
      </c>
      <c r="C803" s="1">
        <v>45855</v>
      </c>
      <c r="D803" s="3">
        <v>46220</v>
      </c>
      <c r="E803" s="5">
        <v>101.464</v>
      </c>
      <c r="F803" s="3">
        <v>46072</v>
      </c>
      <c r="G803">
        <v>97.679000000000002</v>
      </c>
      <c r="H803" s="1">
        <v>45940</v>
      </c>
    </row>
    <row r="804" spans="1:8" x14ac:dyDescent="0.25">
      <c r="A804" s="2">
        <v>802</v>
      </c>
      <c r="B804" t="s">
        <v>1409</v>
      </c>
      <c r="C804" s="1">
        <v>45855</v>
      </c>
      <c r="D804" s="3">
        <v>46220</v>
      </c>
      <c r="E804" s="5">
        <v>99.04</v>
      </c>
      <c r="F804" s="3">
        <v>46129</v>
      </c>
      <c r="G804">
        <v>91.960999999999999</v>
      </c>
      <c r="H804" s="1">
        <v>45944</v>
      </c>
    </row>
    <row r="805" spans="1:8" x14ac:dyDescent="0.25">
      <c r="A805" s="2">
        <v>803</v>
      </c>
      <c r="B805" t="s">
        <v>1407</v>
      </c>
      <c r="C805" s="1">
        <v>45855</v>
      </c>
      <c r="D805" s="3">
        <v>46220</v>
      </c>
      <c r="E805" s="5">
        <v>103.1026</v>
      </c>
      <c r="F805" s="3">
        <v>46055</v>
      </c>
      <c r="G805">
        <v>97.765330000000006</v>
      </c>
      <c r="H805" s="1">
        <v>45940</v>
      </c>
    </row>
    <row r="806" spans="1:8" x14ac:dyDescent="0.25">
      <c r="A806" s="2">
        <v>804</v>
      </c>
      <c r="B806" t="s">
        <v>1405</v>
      </c>
      <c r="C806" s="1">
        <v>45855</v>
      </c>
      <c r="D806" s="3">
        <v>46220</v>
      </c>
      <c r="E806" s="5">
        <v>104.917</v>
      </c>
      <c r="F806" s="3">
        <v>45933</v>
      </c>
      <c r="G806">
        <v>101.31399999999999</v>
      </c>
      <c r="H806" s="1">
        <v>46029</v>
      </c>
    </row>
    <row r="807" spans="1:8" x14ac:dyDescent="0.25">
      <c r="A807" s="2">
        <v>805</v>
      </c>
      <c r="B807" t="s">
        <v>1403</v>
      </c>
      <c r="C807" s="1">
        <v>45855</v>
      </c>
      <c r="D807" s="3">
        <v>46220</v>
      </c>
      <c r="E807" s="5">
        <v>98.869699999999995</v>
      </c>
      <c r="F807" s="3">
        <v>46134</v>
      </c>
      <c r="G807">
        <v>81.453149999999994</v>
      </c>
      <c r="H807" s="1">
        <v>45932</v>
      </c>
    </row>
    <row r="808" spans="1:8" x14ac:dyDescent="0.25">
      <c r="A808" s="2">
        <v>806</v>
      </c>
      <c r="B808" t="s">
        <v>1401</v>
      </c>
      <c r="C808" s="1">
        <v>45855</v>
      </c>
      <c r="D808" s="3">
        <v>46220</v>
      </c>
      <c r="E808" s="5">
        <v>98.659739999999999</v>
      </c>
      <c r="F808" s="3">
        <v>46136</v>
      </c>
      <c r="G808">
        <v>83.493849999999995</v>
      </c>
      <c r="H808" s="1">
        <v>45922</v>
      </c>
    </row>
    <row r="809" spans="1:8" x14ac:dyDescent="0.25">
      <c r="A809" s="2">
        <v>807</v>
      </c>
      <c r="B809" t="s">
        <v>1399</v>
      </c>
      <c r="C809" s="1">
        <v>45855</v>
      </c>
      <c r="D809" s="3">
        <v>46220</v>
      </c>
      <c r="E809" s="5">
        <v>98.858369999999994</v>
      </c>
      <c r="F809" s="3">
        <v>46129</v>
      </c>
      <c r="G809">
        <v>91.005380000000002</v>
      </c>
      <c r="H809" s="1">
        <v>45940</v>
      </c>
    </row>
    <row r="810" spans="1:8" x14ac:dyDescent="0.25">
      <c r="A810" s="2">
        <v>808</v>
      </c>
      <c r="B810" t="s">
        <v>1397</v>
      </c>
      <c r="C810" s="1">
        <v>45855</v>
      </c>
      <c r="D810" s="3">
        <v>46220</v>
      </c>
      <c r="E810" s="5">
        <v>98.725489999999994</v>
      </c>
      <c r="F810" s="3">
        <v>46139</v>
      </c>
      <c r="G810">
        <v>90.677710000000005</v>
      </c>
      <c r="H810" s="1">
        <v>45940</v>
      </c>
    </row>
    <row r="811" spans="1:8" x14ac:dyDescent="0.25">
      <c r="A811" s="2">
        <v>809</v>
      </c>
      <c r="B811" t="s">
        <v>1395</v>
      </c>
      <c r="C811" s="1">
        <v>45855</v>
      </c>
      <c r="D811" s="3">
        <v>46220</v>
      </c>
      <c r="E811" s="5">
        <v>98.887</v>
      </c>
      <c r="F811" s="3">
        <v>46129</v>
      </c>
      <c r="G811">
        <v>91.869</v>
      </c>
      <c r="H811" s="1">
        <v>45944</v>
      </c>
    </row>
    <row r="812" spans="1:8" x14ac:dyDescent="0.25">
      <c r="A812" s="2">
        <v>810</v>
      </c>
      <c r="B812" t="s">
        <v>1393</v>
      </c>
      <c r="C812" s="1">
        <v>45855</v>
      </c>
      <c r="D812" s="3">
        <v>46220</v>
      </c>
      <c r="E812" s="5">
        <v>99.036000000000001</v>
      </c>
      <c r="F812" s="3">
        <v>46133</v>
      </c>
      <c r="G812">
        <v>91.962000000000003</v>
      </c>
      <c r="H812" s="1">
        <v>45944</v>
      </c>
    </row>
    <row r="813" spans="1:8" x14ac:dyDescent="0.25">
      <c r="A813" s="2">
        <v>811</v>
      </c>
      <c r="B813" t="s">
        <v>1390</v>
      </c>
      <c r="C813" s="1">
        <v>45855</v>
      </c>
      <c r="D813" s="3">
        <v>46220</v>
      </c>
      <c r="E813" s="5">
        <v>98.347999999999999</v>
      </c>
      <c r="F813" s="3">
        <v>46129</v>
      </c>
      <c r="G813">
        <v>91.677000000000007</v>
      </c>
      <c r="H813" s="1">
        <v>45940</v>
      </c>
    </row>
    <row r="814" spans="1:8" x14ac:dyDescent="0.25">
      <c r="A814" s="2">
        <v>812</v>
      </c>
      <c r="B814" t="s">
        <v>2277</v>
      </c>
      <c r="C814" s="1">
        <v>45855</v>
      </c>
      <c r="D814" s="3">
        <v>46220</v>
      </c>
      <c r="E814" s="5">
        <v>100.6117</v>
      </c>
      <c r="F814" s="3">
        <v>45931</v>
      </c>
      <c r="G814">
        <v>94.113489999999999</v>
      </c>
      <c r="H814" s="1">
        <v>46119</v>
      </c>
    </row>
    <row r="815" spans="1:8" x14ac:dyDescent="0.25">
      <c r="A815" s="2">
        <v>813</v>
      </c>
      <c r="B815" t="s">
        <v>1613</v>
      </c>
      <c r="C815" s="1">
        <v>45855</v>
      </c>
      <c r="D815" s="3">
        <v>46220</v>
      </c>
      <c r="E815" s="5">
        <v>101.937</v>
      </c>
      <c r="F815" s="3">
        <v>46218</v>
      </c>
      <c r="G815">
        <v>95.408000000000001</v>
      </c>
      <c r="H815" s="1">
        <v>46111</v>
      </c>
    </row>
    <row r="816" spans="1:8" x14ac:dyDescent="0.25">
      <c r="A816" s="2">
        <v>814</v>
      </c>
      <c r="B816" t="s">
        <v>1609</v>
      </c>
      <c r="C816" s="1">
        <v>45855</v>
      </c>
      <c r="D816" s="3">
        <v>46220</v>
      </c>
      <c r="E816" s="5">
        <v>101.181</v>
      </c>
      <c r="F816" s="3">
        <v>46190</v>
      </c>
      <c r="G816">
        <v>95.823999999999998</v>
      </c>
      <c r="H816" s="1">
        <v>46112</v>
      </c>
    </row>
    <row r="817" spans="1:8" x14ac:dyDescent="0.25">
      <c r="A817" s="2">
        <v>815</v>
      </c>
      <c r="B817" t="s">
        <v>1520</v>
      </c>
      <c r="C817" s="1">
        <v>45855</v>
      </c>
      <c r="D817" s="3">
        <v>46220</v>
      </c>
      <c r="E817" s="5">
        <v>99.995000000000005</v>
      </c>
      <c r="F817" s="3">
        <v>45929</v>
      </c>
      <c r="G817">
        <v>80.844999999999999</v>
      </c>
      <c r="H817" s="1">
        <v>46041</v>
      </c>
    </row>
    <row r="818" spans="1:8" x14ac:dyDescent="0.25">
      <c r="A818" s="2">
        <v>816</v>
      </c>
      <c r="B818" t="s">
        <v>83</v>
      </c>
      <c r="C818" s="1">
        <v>45855</v>
      </c>
      <c r="D818" s="3">
        <v>46220</v>
      </c>
      <c r="E818" s="5">
        <v>100.03879999999999</v>
      </c>
      <c r="F818" s="3">
        <v>45931</v>
      </c>
      <c r="G818">
        <v>71.724119999999999</v>
      </c>
      <c r="H818" s="1">
        <v>46205</v>
      </c>
    </row>
    <row r="819" spans="1:8" x14ac:dyDescent="0.25">
      <c r="A819" s="2">
        <v>817</v>
      </c>
      <c r="B819" t="s">
        <v>200</v>
      </c>
      <c r="C819" s="1">
        <v>45855</v>
      </c>
      <c r="D819" s="3">
        <v>46220</v>
      </c>
      <c r="E819" s="5">
        <v>100.13500000000001</v>
      </c>
      <c r="F819" s="3">
        <v>45932</v>
      </c>
      <c r="G819">
        <v>78.832999999999998</v>
      </c>
      <c r="H819" s="1">
        <v>46206</v>
      </c>
    </row>
    <row r="820" spans="1:8" x14ac:dyDescent="0.25">
      <c r="A820" s="2">
        <v>818</v>
      </c>
      <c r="B820" t="s">
        <v>198</v>
      </c>
      <c r="C820" s="1">
        <v>45855</v>
      </c>
      <c r="D820" s="3">
        <v>46220</v>
      </c>
      <c r="E820" s="5">
        <v>100.134</v>
      </c>
      <c r="F820" s="3">
        <v>45932</v>
      </c>
      <c r="G820">
        <v>73.212999999999994</v>
      </c>
      <c r="H820" s="1">
        <v>46205</v>
      </c>
    </row>
    <row r="821" spans="1:8" x14ac:dyDescent="0.25">
      <c r="A821" s="2">
        <v>819</v>
      </c>
      <c r="B821" t="s">
        <v>715</v>
      </c>
      <c r="C821" s="1">
        <v>45855</v>
      </c>
      <c r="D821" s="3">
        <v>46220</v>
      </c>
      <c r="E821" s="5">
        <v>100.3706</v>
      </c>
      <c r="F821" s="3">
        <v>46080</v>
      </c>
      <c r="G821">
        <v>98.304249999999996</v>
      </c>
      <c r="H821" s="1">
        <v>46107</v>
      </c>
    </row>
    <row r="822" spans="1:8" x14ac:dyDescent="0.25">
      <c r="A822" s="2">
        <v>820</v>
      </c>
      <c r="B822" t="s">
        <v>713</v>
      </c>
      <c r="C822" s="1">
        <v>45855</v>
      </c>
      <c r="D822" s="3">
        <v>46220</v>
      </c>
      <c r="E822" s="5">
        <v>101.08580000000001</v>
      </c>
      <c r="F822" s="3">
        <v>45952</v>
      </c>
      <c r="G822">
        <v>95.660349999999994</v>
      </c>
      <c r="H822" s="1">
        <v>46111</v>
      </c>
    </row>
    <row r="823" spans="1:8" x14ac:dyDescent="0.25">
      <c r="A823" s="2">
        <v>821</v>
      </c>
      <c r="B823" t="s">
        <v>1388</v>
      </c>
      <c r="C823" s="1">
        <v>45855</v>
      </c>
      <c r="D823" s="3">
        <v>46220</v>
      </c>
      <c r="E823" s="5">
        <v>99.352969999999999</v>
      </c>
      <c r="F823" s="3">
        <v>46129</v>
      </c>
      <c r="G823">
        <v>82.437449999999998</v>
      </c>
      <c r="H823" s="1">
        <v>45940</v>
      </c>
    </row>
    <row r="824" spans="1:8" x14ac:dyDescent="0.25">
      <c r="A824" s="2">
        <v>822</v>
      </c>
      <c r="B824" t="s">
        <v>2049</v>
      </c>
      <c r="C824" s="1">
        <v>45855</v>
      </c>
      <c r="D824" s="3">
        <v>46220</v>
      </c>
      <c r="E824" s="5">
        <v>100.2501</v>
      </c>
      <c r="F824" s="3">
        <v>46211</v>
      </c>
      <c r="G824">
        <v>91.639619999999994</v>
      </c>
      <c r="H824" s="1">
        <v>45992</v>
      </c>
    </row>
    <row r="825" spans="1:8" x14ac:dyDescent="0.25">
      <c r="A825" s="2">
        <v>823</v>
      </c>
      <c r="B825" t="s">
        <v>2045</v>
      </c>
      <c r="C825" s="1">
        <v>45855</v>
      </c>
      <c r="D825" s="3">
        <v>46220</v>
      </c>
      <c r="E825" s="5">
        <v>99.665120000000002</v>
      </c>
      <c r="F825" s="3">
        <v>46150</v>
      </c>
      <c r="G825">
        <v>85.792569999999998</v>
      </c>
      <c r="H825" s="1">
        <v>45994</v>
      </c>
    </row>
    <row r="826" spans="1:8" x14ac:dyDescent="0.25">
      <c r="A826" s="2">
        <v>824</v>
      </c>
      <c r="B826" t="s">
        <v>294</v>
      </c>
      <c r="C826" s="1">
        <v>45855</v>
      </c>
      <c r="D826" s="3">
        <v>46220</v>
      </c>
      <c r="E826" s="5">
        <v>103.1733</v>
      </c>
      <c r="F826" s="3">
        <v>45926</v>
      </c>
      <c r="G826">
        <v>29.154509999999998</v>
      </c>
      <c r="H826" s="1">
        <v>46211</v>
      </c>
    </row>
    <row r="827" spans="1:8" x14ac:dyDescent="0.25">
      <c r="A827" s="2">
        <v>825</v>
      </c>
      <c r="B827" t="s">
        <v>3855</v>
      </c>
      <c r="C827" s="1">
        <v>45855</v>
      </c>
      <c r="D827" s="3">
        <v>46220</v>
      </c>
      <c r="E827" s="5">
        <v>100.77979999999999</v>
      </c>
      <c r="F827" s="3">
        <v>45952</v>
      </c>
      <c r="G827">
        <v>90.161000000000001</v>
      </c>
      <c r="H827" s="1">
        <v>46108</v>
      </c>
    </row>
    <row r="828" spans="1:8" x14ac:dyDescent="0.25">
      <c r="A828" s="2">
        <v>826</v>
      </c>
      <c r="B828" t="s">
        <v>2486</v>
      </c>
      <c r="C828" s="1">
        <v>45855</v>
      </c>
      <c r="D828" s="3">
        <v>46220</v>
      </c>
      <c r="E828" s="5">
        <v>99.694860000000006</v>
      </c>
      <c r="F828" s="3">
        <v>45933</v>
      </c>
      <c r="G828">
        <v>66.641850000000005</v>
      </c>
      <c r="H828" s="1">
        <v>46085</v>
      </c>
    </row>
    <row r="829" spans="1:8" x14ac:dyDescent="0.25">
      <c r="A829" s="2">
        <v>827</v>
      </c>
      <c r="B829" t="s">
        <v>2168</v>
      </c>
      <c r="C829" s="1">
        <v>45855</v>
      </c>
      <c r="D829" s="3">
        <v>46220</v>
      </c>
      <c r="E829" s="5">
        <v>101.6925</v>
      </c>
      <c r="F829" s="3">
        <v>45958</v>
      </c>
      <c r="G829">
        <v>98.475099999999998</v>
      </c>
      <c r="H829" s="1">
        <v>46108</v>
      </c>
    </row>
    <row r="830" spans="1:8" x14ac:dyDescent="0.25">
      <c r="A830" s="2">
        <v>828</v>
      </c>
      <c r="B830" t="s">
        <v>711</v>
      </c>
      <c r="C830" s="1">
        <v>45855</v>
      </c>
      <c r="D830" s="3">
        <v>46220</v>
      </c>
      <c r="E830" s="5">
        <v>99.9</v>
      </c>
      <c r="F830" s="3">
        <v>45951</v>
      </c>
      <c r="G830">
        <v>97.397000000000006</v>
      </c>
      <c r="H830" s="1">
        <v>46104</v>
      </c>
    </row>
    <row r="831" spans="1:8" x14ac:dyDescent="0.25">
      <c r="A831" s="2">
        <v>829</v>
      </c>
      <c r="B831" t="s">
        <v>709</v>
      </c>
      <c r="C831" s="1">
        <v>45855</v>
      </c>
      <c r="D831" s="3">
        <v>46220</v>
      </c>
      <c r="E831" s="5">
        <v>99.823999999999998</v>
      </c>
      <c r="F831" s="3">
        <v>45952</v>
      </c>
      <c r="G831">
        <v>95.620999999999995</v>
      </c>
      <c r="H831" s="1">
        <v>46105</v>
      </c>
    </row>
    <row r="832" spans="1:8" x14ac:dyDescent="0.25">
      <c r="A832" s="2">
        <v>830</v>
      </c>
      <c r="B832" t="s">
        <v>1078</v>
      </c>
      <c r="C832" s="1">
        <v>45855</v>
      </c>
      <c r="D832" s="3">
        <v>46220</v>
      </c>
      <c r="E832" s="5">
        <v>103.47150000000001</v>
      </c>
      <c r="F832" s="3">
        <v>45937</v>
      </c>
      <c r="G832">
        <v>83.825649999999996</v>
      </c>
      <c r="H832" s="1">
        <v>46220</v>
      </c>
    </row>
    <row r="833" spans="1:8" x14ac:dyDescent="0.25">
      <c r="A833" s="2">
        <v>831</v>
      </c>
      <c r="B833" t="s">
        <v>196</v>
      </c>
      <c r="C833" s="1">
        <v>45855</v>
      </c>
      <c r="D833" s="3">
        <v>46220</v>
      </c>
      <c r="E833" s="5">
        <v>98.515100000000004</v>
      </c>
      <c r="F833" s="3">
        <v>46043</v>
      </c>
      <c r="G833">
        <v>89.414349999999999</v>
      </c>
      <c r="H833" s="1">
        <v>46066</v>
      </c>
    </row>
    <row r="834" spans="1:8" x14ac:dyDescent="0.25">
      <c r="A834" s="2">
        <v>832</v>
      </c>
      <c r="B834" t="s">
        <v>194</v>
      </c>
      <c r="C834" s="1">
        <v>45855</v>
      </c>
      <c r="D834" s="3">
        <v>46220</v>
      </c>
      <c r="E834" s="5">
        <v>105.0489</v>
      </c>
      <c r="F834" s="3">
        <v>45945</v>
      </c>
      <c r="G834">
        <v>89.653750000000002</v>
      </c>
      <c r="H834" s="1">
        <v>46066</v>
      </c>
    </row>
    <row r="835" spans="1:8" x14ac:dyDescent="0.25">
      <c r="A835" s="2">
        <v>833</v>
      </c>
      <c r="B835" t="s">
        <v>192</v>
      </c>
      <c r="C835" s="1">
        <v>45855</v>
      </c>
      <c r="D835" s="3">
        <v>46220</v>
      </c>
      <c r="E835" s="5">
        <v>96.451700000000002</v>
      </c>
      <c r="F835" s="3">
        <v>45946</v>
      </c>
      <c r="G835">
        <v>89.46651</v>
      </c>
      <c r="H835" s="1">
        <v>46070</v>
      </c>
    </row>
    <row r="836" spans="1:8" x14ac:dyDescent="0.25">
      <c r="A836" s="2">
        <v>834</v>
      </c>
      <c r="B836" t="s">
        <v>190</v>
      </c>
      <c r="C836" s="1">
        <v>45855</v>
      </c>
      <c r="D836" s="3">
        <v>46220</v>
      </c>
      <c r="E836" s="5">
        <v>105.9597</v>
      </c>
      <c r="F836" s="3">
        <v>45938</v>
      </c>
      <c r="G836">
        <v>88.51276</v>
      </c>
      <c r="H836" s="1">
        <v>46202</v>
      </c>
    </row>
    <row r="837" spans="1:8" x14ac:dyDescent="0.25">
      <c r="A837" s="2">
        <v>835</v>
      </c>
      <c r="B837" t="s">
        <v>188</v>
      </c>
      <c r="C837" s="1">
        <v>45855</v>
      </c>
      <c r="D837" s="3">
        <v>46220</v>
      </c>
      <c r="E837" s="5">
        <v>97.059449999999998</v>
      </c>
      <c r="F837" s="3">
        <v>46038</v>
      </c>
      <c r="G837">
        <v>90.918800000000005</v>
      </c>
      <c r="H837" s="1">
        <v>46066</v>
      </c>
    </row>
    <row r="838" spans="1:8" x14ac:dyDescent="0.25">
      <c r="A838" s="2">
        <v>836</v>
      </c>
      <c r="B838" t="s">
        <v>186</v>
      </c>
      <c r="C838" s="1">
        <v>45855</v>
      </c>
      <c r="D838" s="3">
        <v>46220</v>
      </c>
      <c r="E838" s="5">
        <v>104.8467</v>
      </c>
      <c r="F838" s="3">
        <v>45945</v>
      </c>
      <c r="G838">
        <v>88.934299999999993</v>
      </c>
      <c r="H838" s="1">
        <v>46205</v>
      </c>
    </row>
    <row r="839" spans="1:8" x14ac:dyDescent="0.25">
      <c r="A839" s="2">
        <v>837</v>
      </c>
      <c r="B839" t="s">
        <v>184</v>
      </c>
      <c r="C839" s="1">
        <v>45855</v>
      </c>
      <c r="D839" s="3">
        <v>46220</v>
      </c>
      <c r="E839" s="5">
        <v>103.788</v>
      </c>
      <c r="F839" s="3">
        <v>46045</v>
      </c>
      <c r="G839">
        <v>88.468999999999994</v>
      </c>
      <c r="H839" s="1">
        <v>46069</v>
      </c>
    </row>
    <row r="840" spans="1:8" x14ac:dyDescent="0.25">
      <c r="A840" s="2">
        <v>838</v>
      </c>
      <c r="B840" t="s">
        <v>234</v>
      </c>
      <c r="C840" s="1">
        <v>45855</v>
      </c>
      <c r="D840" s="3">
        <v>46220</v>
      </c>
      <c r="E840" s="5">
        <v>102.6798</v>
      </c>
      <c r="F840" s="3">
        <v>45919</v>
      </c>
      <c r="G840">
        <v>85.640209999999996</v>
      </c>
      <c r="H840" s="1">
        <v>46199</v>
      </c>
    </row>
    <row r="841" spans="1:8" x14ac:dyDescent="0.25">
      <c r="A841" s="2">
        <v>839</v>
      </c>
      <c r="B841" t="s">
        <v>548</v>
      </c>
      <c r="C841" s="1">
        <v>45855</v>
      </c>
      <c r="D841" s="3">
        <v>46220</v>
      </c>
      <c r="E841" s="5">
        <v>101.0886</v>
      </c>
      <c r="F841" s="3">
        <v>45919</v>
      </c>
      <c r="G841">
        <v>72.937439999999995</v>
      </c>
      <c r="H841" s="1">
        <v>46097</v>
      </c>
    </row>
    <row r="842" spans="1:8" x14ac:dyDescent="0.25">
      <c r="A842" s="2">
        <v>840</v>
      </c>
      <c r="B842" t="s">
        <v>487</v>
      </c>
      <c r="C842" s="1">
        <v>45855</v>
      </c>
      <c r="D842" s="3">
        <v>46220</v>
      </c>
      <c r="E842" s="5">
        <v>66.362840000000006</v>
      </c>
      <c r="F842" s="3">
        <v>46209</v>
      </c>
      <c r="G842">
        <v>66.15343</v>
      </c>
      <c r="H842" s="1">
        <v>46220</v>
      </c>
    </row>
    <row r="843" spans="1:8" x14ac:dyDescent="0.25">
      <c r="A843" s="2">
        <v>841</v>
      </c>
      <c r="B843" t="s">
        <v>2600</v>
      </c>
      <c r="C843" s="1">
        <v>45855</v>
      </c>
      <c r="D843" s="3">
        <v>46220</v>
      </c>
      <c r="E843" s="5">
        <v>108.12090000000001</v>
      </c>
      <c r="F843" s="3">
        <v>45909</v>
      </c>
      <c r="G843">
        <v>50.982239999999997</v>
      </c>
      <c r="H843" s="1">
        <v>46077</v>
      </c>
    </row>
    <row r="844" spans="1:8" x14ac:dyDescent="0.25">
      <c r="A844" s="2">
        <v>842</v>
      </c>
      <c r="B844" t="s">
        <v>3800</v>
      </c>
      <c r="C844" s="1">
        <v>45855</v>
      </c>
      <c r="D844" s="3">
        <v>46220</v>
      </c>
      <c r="E844" s="5">
        <v>89.980509999999995</v>
      </c>
      <c r="F844" s="3">
        <v>45964</v>
      </c>
      <c r="G844">
        <v>73.260149999999996</v>
      </c>
      <c r="H844" s="1">
        <v>46084</v>
      </c>
    </row>
    <row r="845" spans="1:8" x14ac:dyDescent="0.25">
      <c r="A845" s="2">
        <v>843</v>
      </c>
      <c r="B845" t="s">
        <v>2490</v>
      </c>
      <c r="C845" s="1">
        <v>45855</v>
      </c>
      <c r="D845" s="3">
        <v>46220</v>
      </c>
      <c r="E845" s="5">
        <v>87.255330000000001</v>
      </c>
      <c r="F845" s="3">
        <v>46197</v>
      </c>
      <c r="G845">
        <v>78.138599999999997</v>
      </c>
      <c r="H845" s="1">
        <v>46111</v>
      </c>
    </row>
    <row r="846" spans="1:8" x14ac:dyDescent="0.25">
      <c r="A846" s="2">
        <v>844</v>
      </c>
      <c r="B846" t="s">
        <v>707</v>
      </c>
      <c r="C846" s="1">
        <v>45855</v>
      </c>
      <c r="D846" s="3">
        <v>46220</v>
      </c>
      <c r="E846" s="5">
        <v>100.37130000000001</v>
      </c>
      <c r="F846" s="3">
        <v>46080</v>
      </c>
      <c r="G846">
        <v>97.43432</v>
      </c>
      <c r="H846" s="1">
        <v>46216</v>
      </c>
    </row>
    <row r="847" spans="1:8" x14ac:dyDescent="0.25">
      <c r="A847" s="2">
        <v>845</v>
      </c>
      <c r="B847" t="s">
        <v>705</v>
      </c>
      <c r="C847" s="1">
        <v>45855</v>
      </c>
      <c r="D847" s="3">
        <v>46220</v>
      </c>
      <c r="E847" s="5">
        <v>102.116</v>
      </c>
      <c r="F847" s="3">
        <v>45952</v>
      </c>
      <c r="G847">
        <v>96.861959999999996</v>
      </c>
      <c r="H847" s="1">
        <v>46104</v>
      </c>
    </row>
    <row r="848" spans="1:8" x14ac:dyDescent="0.25">
      <c r="A848" s="2">
        <v>846</v>
      </c>
      <c r="B848" t="s">
        <v>703</v>
      </c>
      <c r="C848" s="1">
        <v>45855</v>
      </c>
      <c r="D848" s="3">
        <v>46220</v>
      </c>
      <c r="E848" s="5">
        <v>101.4011</v>
      </c>
      <c r="F848" s="3">
        <v>45952</v>
      </c>
      <c r="G848">
        <v>96.385270000000006</v>
      </c>
      <c r="H848" s="1">
        <v>46108</v>
      </c>
    </row>
    <row r="849" spans="1:8" x14ac:dyDescent="0.25">
      <c r="A849" s="2">
        <v>847</v>
      </c>
      <c r="B849" t="s">
        <v>1295</v>
      </c>
      <c r="C849" s="1">
        <v>45855</v>
      </c>
      <c r="D849" s="3">
        <v>46220</v>
      </c>
      <c r="E849" s="5">
        <v>102.604</v>
      </c>
      <c r="F849" s="3">
        <v>45923</v>
      </c>
      <c r="G849">
        <v>78.667569999999998</v>
      </c>
      <c r="H849" s="1">
        <v>46108</v>
      </c>
    </row>
    <row r="850" spans="1:8" x14ac:dyDescent="0.25">
      <c r="A850" s="2">
        <v>848</v>
      </c>
      <c r="B850" t="s">
        <v>420</v>
      </c>
      <c r="C850" s="1">
        <v>45855</v>
      </c>
      <c r="D850" s="3">
        <v>46220</v>
      </c>
      <c r="E850" s="5">
        <v>104.6254</v>
      </c>
      <c r="F850" s="3">
        <v>46002</v>
      </c>
      <c r="G850">
        <v>95.105770000000007</v>
      </c>
      <c r="H850" s="1">
        <v>46190</v>
      </c>
    </row>
    <row r="851" spans="1:8" x14ac:dyDescent="0.25">
      <c r="A851" s="2">
        <v>849</v>
      </c>
      <c r="B851" t="s">
        <v>988</v>
      </c>
      <c r="C851" s="1">
        <v>45855</v>
      </c>
      <c r="D851" s="3">
        <v>46220</v>
      </c>
      <c r="E851" s="5">
        <v>100.4087</v>
      </c>
      <c r="F851" s="3">
        <v>45923</v>
      </c>
      <c r="G851">
        <v>70.26643</v>
      </c>
      <c r="H851" s="1">
        <v>46125</v>
      </c>
    </row>
    <row r="852" spans="1:8" x14ac:dyDescent="0.25">
      <c r="A852" s="2">
        <v>850</v>
      </c>
      <c r="B852" t="s">
        <v>915</v>
      </c>
      <c r="C852" s="1">
        <v>45855</v>
      </c>
      <c r="D852" s="3">
        <v>46220</v>
      </c>
      <c r="E852" s="5">
        <v>98.179879999999997</v>
      </c>
      <c r="F852" s="3">
        <v>45932</v>
      </c>
      <c r="G852">
        <v>85.458489999999998</v>
      </c>
      <c r="H852" s="1">
        <v>46071</v>
      </c>
    </row>
    <row r="853" spans="1:8" x14ac:dyDescent="0.25">
      <c r="A853" s="2">
        <v>851</v>
      </c>
      <c r="B853" t="s">
        <v>3338</v>
      </c>
      <c r="C853" s="1">
        <v>45855</v>
      </c>
      <c r="D853" s="3">
        <v>46220</v>
      </c>
      <c r="E853" s="5">
        <v>103.6694</v>
      </c>
      <c r="F853" s="3">
        <v>45933</v>
      </c>
      <c r="G853">
        <v>87.814210000000003</v>
      </c>
      <c r="H853" s="1">
        <v>46008</v>
      </c>
    </row>
    <row r="854" spans="1:8" x14ac:dyDescent="0.25">
      <c r="A854" s="2">
        <v>852</v>
      </c>
      <c r="B854" t="s">
        <v>2560</v>
      </c>
      <c r="C854" s="1">
        <v>45855</v>
      </c>
      <c r="D854" s="3">
        <v>46220</v>
      </c>
      <c r="E854" s="5">
        <v>101.3496</v>
      </c>
      <c r="F854" s="3">
        <v>45916</v>
      </c>
      <c r="G854">
        <v>69.693129999999996</v>
      </c>
      <c r="H854" s="1">
        <v>46087</v>
      </c>
    </row>
    <row r="855" spans="1:8" x14ac:dyDescent="0.25">
      <c r="A855" s="2">
        <v>853</v>
      </c>
      <c r="B855" t="s">
        <v>418</v>
      </c>
      <c r="C855" s="1">
        <v>45855</v>
      </c>
      <c r="D855" s="3">
        <v>46220</v>
      </c>
      <c r="E855" s="5">
        <v>104.1292</v>
      </c>
      <c r="F855" s="3">
        <v>46073</v>
      </c>
      <c r="G855">
        <v>97.453410000000005</v>
      </c>
      <c r="H855" s="1">
        <v>46190</v>
      </c>
    </row>
    <row r="856" spans="1:8" x14ac:dyDescent="0.25">
      <c r="A856" s="2">
        <v>854</v>
      </c>
      <c r="B856" t="s">
        <v>2166</v>
      </c>
      <c r="C856" s="1">
        <v>45855</v>
      </c>
      <c r="D856" s="3">
        <v>46220</v>
      </c>
      <c r="E856" s="5">
        <v>107.41840000000001</v>
      </c>
      <c r="F856" s="3">
        <v>46199</v>
      </c>
      <c r="G856">
        <v>100.3783</v>
      </c>
      <c r="H856" s="1">
        <v>45887</v>
      </c>
    </row>
    <row r="857" spans="1:8" x14ac:dyDescent="0.25">
      <c r="A857" s="2">
        <v>855</v>
      </c>
      <c r="B857" t="s">
        <v>1889</v>
      </c>
      <c r="C857" s="1">
        <v>45855</v>
      </c>
      <c r="D857" s="3">
        <v>46220</v>
      </c>
      <c r="E857" s="5">
        <v>101.7229</v>
      </c>
      <c r="F857" s="3">
        <v>46001</v>
      </c>
      <c r="G857">
        <v>86.408749999999998</v>
      </c>
      <c r="H857" s="1">
        <v>46217</v>
      </c>
    </row>
    <row r="858" spans="1:8" x14ac:dyDescent="0.25">
      <c r="A858" s="2">
        <v>856</v>
      </c>
      <c r="B858" t="s">
        <v>3751</v>
      </c>
      <c r="C858" s="1">
        <v>45855</v>
      </c>
      <c r="D858" s="3">
        <v>46220</v>
      </c>
      <c r="E858" s="5">
        <v>106.7744</v>
      </c>
      <c r="F858" s="3">
        <v>45989</v>
      </c>
      <c r="G858">
        <v>99.69247</v>
      </c>
      <c r="H858" s="1">
        <v>45890</v>
      </c>
    </row>
    <row r="859" spans="1:8" x14ac:dyDescent="0.25">
      <c r="A859" s="2">
        <v>857</v>
      </c>
      <c r="B859" t="s">
        <v>2508</v>
      </c>
      <c r="C859" s="1">
        <v>45855</v>
      </c>
      <c r="D859" s="3">
        <v>46220</v>
      </c>
      <c r="E859" s="5">
        <v>112.404</v>
      </c>
      <c r="F859" s="3">
        <v>45874</v>
      </c>
      <c r="G859">
        <v>80.688239999999993</v>
      </c>
      <c r="H859" s="1">
        <v>46156</v>
      </c>
    </row>
    <row r="860" spans="1:8" x14ac:dyDescent="0.25">
      <c r="A860" s="2">
        <v>858</v>
      </c>
      <c r="B860" t="s">
        <v>335</v>
      </c>
      <c r="C860" s="1">
        <v>45855</v>
      </c>
      <c r="D860" s="3">
        <v>46220</v>
      </c>
      <c r="E860" s="5">
        <v>106.31780000000001</v>
      </c>
      <c r="F860" s="3">
        <v>46063</v>
      </c>
      <c r="G860">
        <v>76.249170000000007</v>
      </c>
      <c r="H860" s="1">
        <v>46153</v>
      </c>
    </row>
    <row r="861" spans="1:8" x14ac:dyDescent="0.25">
      <c r="A861" s="2">
        <v>859</v>
      </c>
      <c r="B861" t="s">
        <v>2163</v>
      </c>
      <c r="C861" s="1">
        <v>45855</v>
      </c>
      <c r="D861" s="3">
        <v>46220</v>
      </c>
      <c r="E861" s="5">
        <v>101.75709999999999</v>
      </c>
      <c r="F861" s="3">
        <v>45958</v>
      </c>
      <c r="G861">
        <v>97.361689999999996</v>
      </c>
      <c r="H861" s="1">
        <v>46161</v>
      </c>
    </row>
    <row r="862" spans="1:8" x14ac:dyDescent="0.25">
      <c r="A862" s="2">
        <v>860</v>
      </c>
      <c r="B862" t="s">
        <v>1211</v>
      </c>
      <c r="C862" s="1">
        <v>45855</v>
      </c>
      <c r="D862" s="3">
        <v>46220</v>
      </c>
      <c r="E862" s="5">
        <v>103.5568</v>
      </c>
      <c r="F862" s="3">
        <v>46038</v>
      </c>
      <c r="G862">
        <v>88.960890000000006</v>
      </c>
      <c r="H862" s="1">
        <v>46211</v>
      </c>
    </row>
    <row r="863" spans="1:8" x14ac:dyDescent="0.25">
      <c r="A863" s="2">
        <v>861</v>
      </c>
      <c r="B863" t="s">
        <v>3851</v>
      </c>
      <c r="C863" s="1">
        <v>45855</v>
      </c>
      <c r="D863" s="3">
        <v>46220</v>
      </c>
      <c r="E863" s="5">
        <v>109.25</v>
      </c>
      <c r="F863" s="3">
        <v>45873</v>
      </c>
      <c r="G863">
        <v>61.75</v>
      </c>
      <c r="H863" s="1">
        <v>46176</v>
      </c>
    </row>
    <row r="864" spans="1:8" x14ac:dyDescent="0.25">
      <c r="A864" s="2">
        <v>862</v>
      </c>
      <c r="B864" t="s">
        <v>141</v>
      </c>
      <c r="C864" s="1">
        <v>45855</v>
      </c>
      <c r="D864" s="3">
        <v>46220</v>
      </c>
      <c r="E864" s="5">
        <v>101.767</v>
      </c>
      <c r="F864" s="3">
        <v>46034</v>
      </c>
      <c r="G864">
        <v>100.051</v>
      </c>
      <c r="H864" s="1">
        <v>46111</v>
      </c>
    </row>
    <row r="865" spans="1:8" x14ac:dyDescent="0.25">
      <c r="A865" s="2">
        <v>863</v>
      </c>
      <c r="B865" t="s">
        <v>2356</v>
      </c>
      <c r="C865" s="1">
        <v>45855</v>
      </c>
      <c r="D865" s="3">
        <v>46220</v>
      </c>
      <c r="E865" s="5">
        <v>107.1566</v>
      </c>
      <c r="F865" s="3">
        <v>45924</v>
      </c>
      <c r="G865">
        <v>83.42886</v>
      </c>
      <c r="H865" s="1">
        <v>46125</v>
      </c>
    </row>
    <row r="866" spans="1:8" x14ac:dyDescent="0.25">
      <c r="A866" s="2">
        <v>864</v>
      </c>
      <c r="B866" t="s">
        <v>2549</v>
      </c>
      <c r="C866" s="1">
        <v>45855</v>
      </c>
      <c r="D866" s="3">
        <v>46220</v>
      </c>
      <c r="E866" s="5">
        <v>105.09480000000001</v>
      </c>
      <c r="F866" s="3">
        <v>45882</v>
      </c>
      <c r="G866">
        <v>86.616069999999993</v>
      </c>
      <c r="H866" s="1">
        <v>46142</v>
      </c>
    </row>
    <row r="867" spans="1:8" x14ac:dyDescent="0.25">
      <c r="A867" s="2">
        <v>865</v>
      </c>
      <c r="B867" t="s">
        <v>344</v>
      </c>
      <c r="C867" s="1">
        <v>45855</v>
      </c>
      <c r="D867" s="3">
        <v>46220</v>
      </c>
      <c r="E867" s="5">
        <v>101.947</v>
      </c>
      <c r="F867" s="3">
        <v>46142</v>
      </c>
      <c r="G867">
        <v>93.747609999999995</v>
      </c>
      <c r="H867" s="1">
        <v>46010</v>
      </c>
    </row>
    <row r="868" spans="1:8" x14ac:dyDescent="0.25">
      <c r="A868" s="2">
        <v>866</v>
      </c>
      <c r="B868" t="s">
        <v>2291</v>
      </c>
      <c r="C868" s="1">
        <v>45855</v>
      </c>
      <c r="D868" s="3">
        <v>46220</v>
      </c>
      <c r="E868" s="5">
        <v>105.8584</v>
      </c>
      <c r="F868" s="3">
        <v>46050</v>
      </c>
      <c r="G868">
        <v>97.825050000000005</v>
      </c>
      <c r="H868" s="1">
        <v>46094</v>
      </c>
    </row>
    <row r="869" spans="1:8" x14ac:dyDescent="0.25">
      <c r="A869" s="2">
        <v>867</v>
      </c>
      <c r="B869" t="s">
        <v>166</v>
      </c>
      <c r="C869" s="1">
        <v>45855</v>
      </c>
      <c r="D869" s="3">
        <v>46220</v>
      </c>
      <c r="E869" s="5">
        <v>85</v>
      </c>
      <c r="F869" s="3">
        <v>46176</v>
      </c>
      <c r="G869">
        <v>65</v>
      </c>
      <c r="H869" s="1">
        <v>46014</v>
      </c>
    </row>
    <row r="870" spans="1:8" x14ac:dyDescent="0.25">
      <c r="A870" s="2">
        <v>868</v>
      </c>
      <c r="B870" t="s">
        <v>105</v>
      </c>
      <c r="C870" s="1">
        <v>45855</v>
      </c>
      <c r="D870" s="3">
        <v>46220</v>
      </c>
      <c r="E870" s="5">
        <v>83.391599999999997</v>
      </c>
      <c r="F870" s="3">
        <v>46168</v>
      </c>
      <c r="G870">
        <v>49.685400000000001</v>
      </c>
      <c r="H870" s="1">
        <v>45995</v>
      </c>
    </row>
    <row r="871" spans="1:8" x14ac:dyDescent="0.25">
      <c r="A871" s="2">
        <v>869</v>
      </c>
      <c r="B871" t="s">
        <v>984</v>
      </c>
      <c r="C871" s="1">
        <v>45855</v>
      </c>
      <c r="D871" s="3">
        <v>46220</v>
      </c>
      <c r="E871" s="5">
        <v>105.8349</v>
      </c>
      <c r="F871" s="3">
        <v>45923</v>
      </c>
      <c r="G871">
        <v>89.293570000000003</v>
      </c>
      <c r="H871" s="1">
        <v>46122</v>
      </c>
    </row>
    <row r="872" spans="1:8" x14ac:dyDescent="0.25">
      <c r="A872" s="2">
        <v>870</v>
      </c>
      <c r="B872" t="s">
        <v>3681</v>
      </c>
      <c r="C872" s="1">
        <v>45855</v>
      </c>
      <c r="D872" s="3">
        <v>46220</v>
      </c>
      <c r="E872" s="5">
        <v>105.76049999999999</v>
      </c>
      <c r="F872" s="3">
        <v>45957</v>
      </c>
      <c r="G872">
        <v>90.553330000000003</v>
      </c>
      <c r="H872" s="1">
        <v>46034</v>
      </c>
    </row>
    <row r="873" spans="1:8" x14ac:dyDescent="0.25">
      <c r="A873" s="2">
        <v>871</v>
      </c>
      <c r="B873" t="s">
        <v>3540</v>
      </c>
      <c r="C873" s="1">
        <v>45855</v>
      </c>
      <c r="D873" s="3">
        <v>46220</v>
      </c>
      <c r="E873" s="5">
        <v>37.747199999999999</v>
      </c>
      <c r="F873" s="3">
        <v>45876</v>
      </c>
      <c r="G873">
        <v>14.618740000000001</v>
      </c>
      <c r="H873" s="1">
        <v>45980</v>
      </c>
    </row>
    <row r="874" spans="1:8" x14ac:dyDescent="0.25">
      <c r="A874" s="2">
        <v>872</v>
      </c>
      <c r="B874" t="s">
        <v>3749</v>
      </c>
      <c r="C874" s="1">
        <v>45855</v>
      </c>
      <c r="D874" s="3">
        <v>46220</v>
      </c>
      <c r="E874" s="5">
        <v>109.3742</v>
      </c>
      <c r="F874" s="3">
        <v>46202</v>
      </c>
      <c r="G874">
        <v>102.0218</v>
      </c>
      <c r="H874" s="1">
        <v>45946</v>
      </c>
    </row>
    <row r="875" spans="1:8" x14ac:dyDescent="0.25">
      <c r="A875" s="2">
        <v>873</v>
      </c>
      <c r="B875" t="s">
        <v>1973</v>
      </c>
      <c r="C875" s="1">
        <v>45855</v>
      </c>
      <c r="D875" s="3">
        <v>46220</v>
      </c>
      <c r="E875" s="5">
        <v>102.663</v>
      </c>
      <c r="F875" s="3">
        <v>45866</v>
      </c>
      <c r="G875">
        <v>85.158360000000002</v>
      </c>
      <c r="H875" s="1">
        <v>46161</v>
      </c>
    </row>
    <row r="876" spans="1:8" x14ac:dyDescent="0.25">
      <c r="A876" s="2">
        <v>874</v>
      </c>
      <c r="B876" t="s">
        <v>1969</v>
      </c>
      <c r="C876" s="1">
        <v>45855</v>
      </c>
      <c r="D876" s="3">
        <v>46220</v>
      </c>
      <c r="E876" s="5">
        <v>103.244</v>
      </c>
      <c r="F876" s="3">
        <v>45868</v>
      </c>
      <c r="G876">
        <v>85.548000000000002</v>
      </c>
      <c r="H876" s="1">
        <v>46150</v>
      </c>
    </row>
    <row r="877" spans="1:8" x14ac:dyDescent="0.25">
      <c r="A877" s="2">
        <v>875</v>
      </c>
      <c r="B877" t="s">
        <v>701</v>
      </c>
      <c r="C877" s="1">
        <v>45855</v>
      </c>
      <c r="D877" s="3">
        <v>46220</v>
      </c>
      <c r="E877" s="5">
        <v>102.11190000000001</v>
      </c>
      <c r="F877" s="3">
        <v>45952</v>
      </c>
      <c r="G877">
        <v>97.956680000000006</v>
      </c>
      <c r="H877" s="1">
        <v>46104</v>
      </c>
    </row>
    <row r="878" spans="1:8" x14ac:dyDescent="0.25">
      <c r="A878" s="2">
        <v>876</v>
      </c>
      <c r="B878" t="s">
        <v>1631</v>
      </c>
      <c r="C878" s="1">
        <v>45855</v>
      </c>
      <c r="D878" s="3">
        <v>46220</v>
      </c>
      <c r="E878" s="5">
        <v>99.319069999999996</v>
      </c>
      <c r="F878" s="3">
        <v>45961</v>
      </c>
      <c r="G878">
        <v>76.246380000000002</v>
      </c>
      <c r="H878" s="1">
        <v>46204</v>
      </c>
    </row>
    <row r="879" spans="1:8" x14ac:dyDescent="0.25">
      <c r="A879" s="2">
        <v>877</v>
      </c>
      <c r="B879" t="s">
        <v>3334</v>
      </c>
      <c r="C879" s="1">
        <v>45855</v>
      </c>
      <c r="D879" s="3">
        <v>46220</v>
      </c>
      <c r="E879" s="5">
        <v>104.4281</v>
      </c>
      <c r="F879" s="3">
        <v>45936</v>
      </c>
      <c r="G879">
        <v>90.101249999999993</v>
      </c>
      <c r="H879" s="1">
        <v>46008</v>
      </c>
    </row>
    <row r="880" spans="1:8" x14ac:dyDescent="0.25">
      <c r="A880" s="2">
        <v>878</v>
      </c>
      <c r="B880" t="s">
        <v>2337</v>
      </c>
      <c r="C880" s="1">
        <v>45855</v>
      </c>
      <c r="D880" s="3">
        <v>46220</v>
      </c>
      <c r="E880" s="5">
        <v>105.99079999999999</v>
      </c>
      <c r="F880" s="3">
        <v>45916</v>
      </c>
      <c r="G880">
        <v>62.50761</v>
      </c>
      <c r="H880" s="1">
        <v>46062</v>
      </c>
    </row>
    <row r="881" spans="1:8" x14ac:dyDescent="0.25">
      <c r="A881" s="2">
        <v>879</v>
      </c>
      <c r="B881" t="s">
        <v>927</v>
      </c>
      <c r="C881" s="1">
        <v>45855</v>
      </c>
      <c r="D881" s="3">
        <v>46220</v>
      </c>
      <c r="E881" s="5">
        <v>106.0988</v>
      </c>
      <c r="F881" s="3">
        <v>45861</v>
      </c>
      <c r="G881">
        <v>72.767099999999999</v>
      </c>
      <c r="H881" s="1">
        <v>46080</v>
      </c>
    </row>
    <row r="882" spans="1:8" x14ac:dyDescent="0.25">
      <c r="A882" s="2">
        <v>880</v>
      </c>
      <c r="B882" t="s">
        <v>699</v>
      </c>
      <c r="C882" s="1">
        <v>45855</v>
      </c>
      <c r="D882" s="3">
        <v>46220</v>
      </c>
      <c r="E882" s="5">
        <v>100.6417</v>
      </c>
      <c r="F882" s="3">
        <v>46161</v>
      </c>
      <c r="G882">
        <v>96.866929999999996</v>
      </c>
      <c r="H882" s="1">
        <v>45946</v>
      </c>
    </row>
    <row r="883" spans="1:8" x14ac:dyDescent="0.25">
      <c r="A883" s="2">
        <v>881</v>
      </c>
      <c r="B883" t="s">
        <v>697</v>
      </c>
      <c r="C883" s="1">
        <v>45855</v>
      </c>
      <c r="D883" s="3">
        <v>46220</v>
      </c>
      <c r="E883" s="5">
        <v>101.64019999999999</v>
      </c>
      <c r="F883" s="3">
        <v>46188</v>
      </c>
      <c r="G883">
        <v>94.346029999999999</v>
      </c>
      <c r="H883" s="1">
        <v>45946</v>
      </c>
    </row>
    <row r="884" spans="1:8" x14ac:dyDescent="0.25">
      <c r="A884" s="2">
        <v>882</v>
      </c>
      <c r="B884" t="s">
        <v>1256</v>
      </c>
      <c r="C884" s="1">
        <v>45855</v>
      </c>
      <c r="D884" s="3">
        <v>46220</v>
      </c>
      <c r="E884" s="5">
        <v>87.211079999999995</v>
      </c>
      <c r="F884" s="3">
        <v>46216</v>
      </c>
      <c r="G884">
        <v>58.910719999999998</v>
      </c>
      <c r="H884" s="1">
        <v>45855</v>
      </c>
    </row>
    <row r="885" spans="1:8" x14ac:dyDescent="0.25">
      <c r="A885" s="2">
        <v>883</v>
      </c>
      <c r="B885" t="s">
        <v>3830</v>
      </c>
      <c r="C885" s="1">
        <v>45855</v>
      </c>
      <c r="D885" s="3">
        <v>46220</v>
      </c>
      <c r="E885" s="5">
        <v>394.16390000000001</v>
      </c>
      <c r="F885" s="3">
        <v>45971</v>
      </c>
      <c r="G885">
        <v>117.465</v>
      </c>
      <c r="H885" s="1">
        <v>45855</v>
      </c>
    </row>
    <row r="886" spans="1:8" x14ac:dyDescent="0.25">
      <c r="A886" s="2">
        <v>884</v>
      </c>
      <c r="B886" t="s">
        <v>3576</v>
      </c>
      <c r="C886" s="1">
        <v>45855</v>
      </c>
      <c r="D886" s="3">
        <v>46220</v>
      </c>
      <c r="E886" s="5">
        <v>18.329999999999998</v>
      </c>
      <c r="F886" s="3">
        <v>46219</v>
      </c>
      <c r="G886">
        <v>18.329999999999998</v>
      </c>
      <c r="H886" s="1">
        <v>46219</v>
      </c>
    </row>
    <row r="887" spans="1:8" x14ac:dyDescent="0.25">
      <c r="A887" s="2">
        <v>885</v>
      </c>
      <c r="B887" t="s">
        <v>139</v>
      </c>
      <c r="C887" s="1">
        <v>45855</v>
      </c>
      <c r="D887" s="3">
        <v>46220</v>
      </c>
      <c r="E887" s="5">
        <v>104.9393</v>
      </c>
      <c r="F887" s="3">
        <v>45954</v>
      </c>
      <c r="G887">
        <v>101.0706</v>
      </c>
      <c r="H887" s="1">
        <v>45855</v>
      </c>
    </row>
    <row r="888" spans="1:8" x14ac:dyDescent="0.25">
      <c r="A888" s="2">
        <v>886</v>
      </c>
      <c r="B888" t="s">
        <v>546</v>
      </c>
      <c r="C888" s="1">
        <v>45855</v>
      </c>
      <c r="D888" s="3">
        <v>46220</v>
      </c>
      <c r="E888" s="5">
        <v>103.8381</v>
      </c>
      <c r="F888" s="3">
        <v>45916</v>
      </c>
      <c r="G888">
        <v>73.798240000000007</v>
      </c>
      <c r="H888" s="1">
        <v>46094</v>
      </c>
    </row>
    <row r="889" spans="1:8" x14ac:dyDescent="0.25">
      <c r="A889" s="2">
        <v>887</v>
      </c>
      <c r="B889" t="s">
        <v>485</v>
      </c>
      <c r="C889" s="1">
        <v>45855</v>
      </c>
      <c r="D889" s="3">
        <v>46220</v>
      </c>
      <c r="E889" s="5">
        <v>105.3398</v>
      </c>
      <c r="F889" s="3">
        <v>45861</v>
      </c>
      <c r="G889">
        <v>72.33126</v>
      </c>
      <c r="H889" s="1">
        <v>46079</v>
      </c>
    </row>
    <row r="890" spans="1:8" x14ac:dyDescent="0.25">
      <c r="A890" s="2">
        <v>888</v>
      </c>
      <c r="B890" t="s">
        <v>483</v>
      </c>
      <c r="C890" s="1">
        <v>45855</v>
      </c>
      <c r="D890" s="3">
        <v>46220</v>
      </c>
      <c r="E890" s="5">
        <v>102.24550000000001</v>
      </c>
      <c r="F890" s="3">
        <v>45861</v>
      </c>
      <c r="G890">
        <v>45.238930000000003</v>
      </c>
      <c r="H890" s="1">
        <v>46100</v>
      </c>
    </row>
    <row r="891" spans="1:8" x14ac:dyDescent="0.25">
      <c r="A891" s="2">
        <v>889</v>
      </c>
      <c r="B891" t="s">
        <v>695</v>
      </c>
      <c r="C891" s="1">
        <v>45855</v>
      </c>
      <c r="D891" s="3">
        <v>46220</v>
      </c>
      <c r="E891" s="5">
        <v>121.38330000000001</v>
      </c>
      <c r="F891" s="3">
        <v>45861</v>
      </c>
      <c r="G891">
        <v>36.5</v>
      </c>
      <c r="H891" s="1">
        <v>46217</v>
      </c>
    </row>
    <row r="892" spans="1:8" x14ac:dyDescent="0.25">
      <c r="A892" s="2">
        <v>890</v>
      </c>
      <c r="B892" t="s">
        <v>1013</v>
      </c>
      <c r="C892" s="1">
        <v>45855</v>
      </c>
      <c r="D892" s="3">
        <v>46220</v>
      </c>
      <c r="E892" s="5">
        <v>104.8733</v>
      </c>
      <c r="F892" s="3">
        <v>46002</v>
      </c>
      <c r="G892">
        <v>100.0013</v>
      </c>
      <c r="H892" s="1">
        <v>45880</v>
      </c>
    </row>
    <row r="893" spans="1:8" x14ac:dyDescent="0.25">
      <c r="A893" s="2">
        <v>891</v>
      </c>
      <c r="B893" t="s">
        <v>1245</v>
      </c>
      <c r="C893" s="1">
        <v>45855</v>
      </c>
      <c r="D893" s="3">
        <v>46220</v>
      </c>
      <c r="E893" s="5">
        <v>91.871129999999994</v>
      </c>
      <c r="F893" s="3">
        <v>45855</v>
      </c>
      <c r="G893">
        <v>79.419280000000001</v>
      </c>
      <c r="H893" s="1">
        <v>46182</v>
      </c>
    </row>
    <row r="894" spans="1:8" x14ac:dyDescent="0.25">
      <c r="A894" s="2">
        <v>892</v>
      </c>
      <c r="B894" t="s">
        <v>964</v>
      </c>
      <c r="C894" s="1">
        <v>45855</v>
      </c>
      <c r="D894" s="3">
        <v>46220</v>
      </c>
      <c r="E894" s="5">
        <v>107.9375</v>
      </c>
      <c r="F894" s="3">
        <v>46073</v>
      </c>
      <c r="G894">
        <v>101.4547</v>
      </c>
      <c r="H894" s="1">
        <v>46115</v>
      </c>
    </row>
    <row r="895" spans="1:8" x14ac:dyDescent="0.25">
      <c r="A895" s="2">
        <v>893</v>
      </c>
      <c r="B895" t="s">
        <v>962</v>
      </c>
      <c r="C895" s="1">
        <v>45855</v>
      </c>
      <c r="D895" s="3">
        <v>46220</v>
      </c>
      <c r="E895" s="5">
        <v>105.98399999999999</v>
      </c>
      <c r="F895" s="3">
        <v>46073</v>
      </c>
      <c r="G895">
        <v>99.013999999999996</v>
      </c>
      <c r="H895" s="1">
        <v>46113</v>
      </c>
    </row>
    <row r="896" spans="1:8" x14ac:dyDescent="0.25">
      <c r="A896" s="2">
        <v>894</v>
      </c>
      <c r="B896" t="s">
        <v>270</v>
      </c>
      <c r="C896" s="1">
        <v>45855</v>
      </c>
      <c r="D896" s="3">
        <v>46220</v>
      </c>
      <c r="E896" s="5">
        <v>109.1198</v>
      </c>
      <c r="F896" s="3">
        <v>45975</v>
      </c>
      <c r="G896">
        <v>86.127709999999993</v>
      </c>
      <c r="H896" s="1">
        <v>46160</v>
      </c>
    </row>
    <row r="897" spans="1:8" x14ac:dyDescent="0.25">
      <c r="A897" s="2">
        <v>895</v>
      </c>
      <c r="B897" t="s">
        <v>268</v>
      </c>
      <c r="C897" s="1">
        <v>45855</v>
      </c>
      <c r="D897" s="3">
        <v>46220</v>
      </c>
      <c r="E897" s="5">
        <v>81.862650000000002</v>
      </c>
      <c r="F897" s="3">
        <v>46080</v>
      </c>
      <c r="G897">
        <v>56.333359999999999</v>
      </c>
      <c r="H897" s="1">
        <v>46160</v>
      </c>
    </row>
    <row r="898" spans="1:8" x14ac:dyDescent="0.25">
      <c r="A898" s="2">
        <v>896</v>
      </c>
      <c r="B898" t="s">
        <v>266</v>
      </c>
      <c r="C898" s="1">
        <v>45855</v>
      </c>
      <c r="D898" s="3">
        <v>46220</v>
      </c>
      <c r="E898" s="5">
        <v>91.901600000000002</v>
      </c>
      <c r="F898" s="3">
        <v>45973</v>
      </c>
      <c r="G898">
        <v>72.694699999999997</v>
      </c>
      <c r="H898" s="1">
        <v>46084</v>
      </c>
    </row>
    <row r="899" spans="1:8" x14ac:dyDescent="0.25">
      <c r="A899" s="2">
        <v>897</v>
      </c>
      <c r="B899" t="s">
        <v>264</v>
      </c>
      <c r="C899" s="1">
        <v>45855</v>
      </c>
      <c r="D899" s="3">
        <v>46220</v>
      </c>
      <c r="E899" s="5">
        <v>88.515249999999995</v>
      </c>
      <c r="F899" s="3">
        <v>45974</v>
      </c>
      <c r="G899">
        <v>57.779200000000003</v>
      </c>
      <c r="H899" s="1">
        <v>46083</v>
      </c>
    </row>
    <row r="900" spans="1:8" x14ac:dyDescent="0.25">
      <c r="A900" s="2">
        <v>898</v>
      </c>
      <c r="B900" t="s">
        <v>1864</v>
      </c>
      <c r="C900" s="1">
        <v>45855</v>
      </c>
      <c r="D900" s="3">
        <v>46220</v>
      </c>
      <c r="E900" s="5">
        <v>99.945999999999998</v>
      </c>
      <c r="F900" s="3">
        <v>45884</v>
      </c>
      <c r="G900">
        <v>81.382000000000005</v>
      </c>
      <c r="H900" s="1">
        <v>46090</v>
      </c>
    </row>
    <row r="901" spans="1:8" x14ac:dyDescent="0.25">
      <c r="A901" s="2">
        <v>899</v>
      </c>
      <c r="B901" t="s">
        <v>1860</v>
      </c>
      <c r="C901" s="1">
        <v>45855</v>
      </c>
      <c r="D901" s="3">
        <v>46220</v>
      </c>
      <c r="E901" s="5">
        <v>99.844999999999999</v>
      </c>
      <c r="F901" s="3">
        <v>45894</v>
      </c>
      <c r="G901">
        <v>84.781999999999996</v>
      </c>
      <c r="H901" s="1">
        <v>46094</v>
      </c>
    </row>
    <row r="902" spans="1:8" x14ac:dyDescent="0.25">
      <c r="A902" s="2">
        <v>900</v>
      </c>
      <c r="B902" t="s">
        <v>2421</v>
      </c>
      <c r="C902" s="1">
        <v>45855</v>
      </c>
      <c r="D902" s="3">
        <v>46220</v>
      </c>
      <c r="E902" s="5">
        <v>82.488990000000001</v>
      </c>
      <c r="F902" s="3">
        <v>45874</v>
      </c>
      <c r="G902">
        <v>30.67633</v>
      </c>
      <c r="H902" s="1">
        <v>46154</v>
      </c>
    </row>
    <row r="903" spans="1:8" x14ac:dyDescent="0.25">
      <c r="A903" s="2">
        <v>901</v>
      </c>
      <c r="B903" t="s">
        <v>3422</v>
      </c>
      <c r="C903" s="1">
        <v>45855</v>
      </c>
      <c r="D903" s="3">
        <v>46220</v>
      </c>
      <c r="E903" s="5">
        <v>102.9903</v>
      </c>
      <c r="F903" s="3">
        <v>46076</v>
      </c>
      <c r="G903">
        <v>97.776110000000003</v>
      </c>
      <c r="H903" s="1">
        <v>45856</v>
      </c>
    </row>
    <row r="904" spans="1:8" x14ac:dyDescent="0.25">
      <c r="A904" s="2">
        <v>902</v>
      </c>
      <c r="B904" t="s">
        <v>1011</v>
      </c>
      <c r="C904" s="1">
        <v>45855</v>
      </c>
      <c r="D904" s="3">
        <v>46220</v>
      </c>
      <c r="E904" s="5">
        <v>80.306970000000007</v>
      </c>
      <c r="F904" s="3">
        <v>46079</v>
      </c>
      <c r="G904">
        <v>67.566419999999994</v>
      </c>
      <c r="H904" s="1">
        <v>45880</v>
      </c>
    </row>
    <row r="905" spans="1:8" x14ac:dyDescent="0.25">
      <c r="A905" s="2">
        <v>903</v>
      </c>
      <c r="B905" t="s">
        <v>693</v>
      </c>
      <c r="C905" s="1">
        <v>45855</v>
      </c>
      <c r="D905" s="3">
        <v>46220</v>
      </c>
      <c r="E905" s="5">
        <v>101.77889999999999</v>
      </c>
      <c r="F905" s="3">
        <v>45916</v>
      </c>
      <c r="G905">
        <v>99.821340000000006</v>
      </c>
      <c r="H905" s="1">
        <v>46104</v>
      </c>
    </row>
    <row r="906" spans="1:8" x14ac:dyDescent="0.25">
      <c r="A906" s="2">
        <v>904</v>
      </c>
      <c r="B906" t="s">
        <v>691</v>
      </c>
      <c r="C906" s="1">
        <v>45855</v>
      </c>
      <c r="D906" s="3">
        <v>46220</v>
      </c>
      <c r="E906" s="5">
        <v>105.1022</v>
      </c>
      <c r="F906" s="3">
        <v>45957</v>
      </c>
      <c r="G906">
        <v>99.430220000000006</v>
      </c>
      <c r="H906" s="1">
        <v>46111</v>
      </c>
    </row>
    <row r="907" spans="1:8" x14ac:dyDescent="0.25">
      <c r="A907" s="2">
        <v>905</v>
      </c>
      <c r="B907" t="s">
        <v>689</v>
      </c>
      <c r="C907" s="1">
        <v>45855</v>
      </c>
      <c r="D907" s="3">
        <v>46220</v>
      </c>
      <c r="E907" s="5">
        <v>101.33</v>
      </c>
      <c r="F907" s="3">
        <v>45910</v>
      </c>
      <c r="G907">
        <v>96.65</v>
      </c>
      <c r="H907" s="1">
        <v>46105</v>
      </c>
    </row>
    <row r="908" spans="1:8" x14ac:dyDescent="0.25">
      <c r="A908" s="2">
        <v>906</v>
      </c>
      <c r="B908" t="s">
        <v>687</v>
      </c>
      <c r="C908" s="1">
        <v>45855</v>
      </c>
      <c r="D908" s="3">
        <v>46220</v>
      </c>
      <c r="E908" s="5">
        <v>99.491</v>
      </c>
      <c r="F908" s="3">
        <v>46080</v>
      </c>
      <c r="G908">
        <v>93.89</v>
      </c>
      <c r="H908" s="1">
        <v>46104</v>
      </c>
    </row>
    <row r="909" spans="1:8" x14ac:dyDescent="0.25">
      <c r="A909" s="2">
        <v>907</v>
      </c>
      <c r="B909" t="s">
        <v>2161</v>
      </c>
      <c r="C909" s="1">
        <v>45855</v>
      </c>
      <c r="D909" s="3">
        <v>46220</v>
      </c>
      <c r="E909" s="5">
        <v>103.1408</v>
      </c>
      <c r="F909" s="3">
        <v>46080</v>
      </c>
      <c r="G909">
        <v>100.0578</v>
      </c>
      <c r="H909" s="1">
        <v>46217</v>
      </c>
    </row>
    <row r="910" spans="1:8" x14ac:dyDescent="0.25">
      <c r="A910" s="2">
        <v>908</v>
      </c>
      <c r="B910" t="s">
        <v>1143</v>
      </c>
      <c r="C910" s="1">
        <v>45855</v>
      </c>
      <c r="D910" s="3">
        <v>46220</v>
      </c>
      <c r="E910" s="5">
        <v>97</v>
      </c>
      <c r="F910" s="3">
        <v>46143</v>
      </c>
      <c r="G910">
        <v>46.552999999999997</v>
      </c>
      <c r="H910" s="1">
        <v>45877</v>
      </c>
    </row>
    <row r="911" spans="1:8" x14ac:dyDescent="0.25">
      <c r="A911" s="2">
        <v>909</v>
      </c>
      <c r="B911" t="s">
        <v>1141</v>
      </c>
      <c r="C911" s="1">
        <v>45855</v>
      </c>
      <c r="D911" s="3">
        <v>46220</v>
      </c>
      <c r="E911" s="5">
        <v>100.83199999999999</v>
      </c>
      <c r="F911" s="3">
        <v>46143</v>
      </c>
      <c r="G911">
        <v>81.663899999999998</v>
      </c>
      <c r="H911" s="1">
        <v>45877</v>
      </c>
    </row>
    <row r="912" spans="1:8" x14ac:dyDescent="0.25">
      <c r="A912" s="2">
        <v>910</v>
      </c>
      <c r="B912" t="s">
        <v>1139</v>
      </c>
      <c r="C912" s="1">
        <v>45855</v>
      </c>
      <c r="D912" s="3">
        <v>46220</v>
      </c>
      <c r="E912" s="5">
        <v>97.127529999999993</v>
      </c>
      <c r="F912" s="3">
        <v>46143</v>
      </c>
      <c r="G912">
        <v>76.052859999999995</v>
      </c>
      <c r="H912" s="1">
        <v>45877</v>
      </c>
    </row>
    <row r="913" spans="1:8" x14ac:dyDescent="0.25">
      <c r="A913" s="2">
        <v>911</v>
      </c>
      <c r="B913" t="s">
        <v>1137</v>
      </c>
      <c r="C913" s="1">
        <v>45855</v>
      </c>
      <c r="D913" s="3">
        <v>46220</v>
      </c>
      <c r="E913" s="5">
        <v>94.970619999999997</v>
      </c>
      <c r="F913" s="3">
        <v>46139</v>
      </c>
      <c r="G913">
        <v>69.208209999999994</v>
      </c>
      <c r="H913" s="1">
        <v>45868</v>
      </c>
    </row>
    <row r="914" spans="1:8" x14ac:dyDescent="0.25">
      <c r="A914" s="2">
        <v>912</v>
      </c>
      <c r="B914" t="s">
        <v>1981</v>
      </c>
      <c r="C914" s="1">
        <v>45855</v>
      </c>
      <c r="D914" s="3">
        <v>46220</v>
      </c>
      <c r="E914" s="5">
        <v>76.068280000000001</v>
      </c>
      <c r="F914" s="3">
        <v>45950</v>
      </c>
      <c r="G914">
        <v>44.82253</v>
      </c>
      <c r="H914" s="1">
        <v>46091</v>
      </c>
    </row>
    <row r="915" spans="1:8" x14ac:dyDescent="0.25">
      <c r="A915" s="2">
        <v>913</v>
      </c>
      <c r="B915" t="s">
        <v>1979</v>
      </c>
      <c r="C915" s="1">
        <v>45855</v>
      </c>
      <c r="D915" s="3">
        <v>46220</v>
      </c>
      <c r="E915" s="5">
        <v>91.623509999999996</v>
      </c>
      <c r="F915" s="3">
        <v>45950</v>
      </c>
      <c r="G915">
        <v>52.917639999999999</v>
      </c>
      <c r="H915" s="1">
        <v>46092</v>
      </c>
    </row>
    <row r="916" spans="1:8" x14ac:dyDescent="0.25">
      <c r="A916" s="2">
        <v>914</v>
      </c>
      <c r="B916" t="s">
        <v>2592</v>
      </c>
      <c r="C916" s="1">
        <v>45855</v>
      </c>
      <c r="D916" s="3">
        <v>46220</v>
      </c>
      <c r="E916" s="5">
        <v>102.2291</v>
      </c>
      <c r="F916" s="3">
        <v>45861</v>
      </c>
      <c r="G916">
        <v>80.737750000000005</v>
      </c>
      <c r="H916" s="1">
        <v>46094</v>
      </c>
    </row>
    <row r="917" spans="1:8" x14ac:dyDescent="0.25">
      <c r="A917" s="2">
        <v>915</v>
      </c>
      <c r="B917" t="s">
        <v>685</v>
      </c>
      <c r="C917" s="1">
        <v>45855</v>
      </c>
      <c r="D917" s="3">
        <v>46220</v>
      </c>
      <c r="E917" s="5">
        <v>102.50660000000001</v>
      </c>
      <c r="F917" s="3">
        <v>45911</v>
      </c>
      <c r="G917">
        <v>100.4712</v>
      </c>
      <c r="H917" s="1">
        <v>46216</v>
      </c>
    </row>
    <row r="918" spans="1:8" x14ac:dyDescent="0.25">
      <c r="A918" s="2">
        <v>916</v>
      </c>
      <c r="B918" t="s">
        <v>683</v>
      </c>
      <c r="C918" s="1">
        <v>45855</v>
      </c>
      <c r="D918" s="3">
        <v>46220</v>
      </c>
      <c r="E918" s="5">
        <v>105.71129999999999</v>
      </c>
      <c r="F918" s="3">
        <v>45952</v>
      </c>
      <c r="G918">
        <v>101.3228</v>
      </c>
      <c r="H918" s="1">
        <v>46211</v>
      </c>
    </row>
    <row r="919" spans="1:8" x14ac:dyDescent="0.25">
      <c r="A919" s="2">
        <v>917</v>
      </c>
      <c r="B919" t="s">
        <v>681</v>
      </c>
      <c r="C919" s="1">
        <v>45855</v>
      </c>
      <c r="D919" s="3">
        <v>46220</v>
      </c>
      <c r="E919" s="5">
        <v>108.3107</v>
      </c>
      <c r="F919" s="3">
        <v>45952</v>
      </c>
      <c r="G919">
        <v>102.37309999999999</v>
      </c>
      <c r="H919" s="1">
        <v>46161</v>
      </c>
    </row>
    <row r="920" spans="1:8" x14ac:dyDescent="0.25">
      <c r="A920" s="2">
        <v>918</v>
      </c>
      <c r="B920" t="s">
        <v>1579</v>
      </c>
      <c r="C920" s="1">
        <v>45855</v>
      </c>
      <c r="D920" s="3">
        <v>46220</v>
      </c>
      <c r="E920" s="5">
        <v>50.878459999999997</v>
      </c>
      <c r="F920" s="3">
        <v>45932</v>
      </c>
      <c r="G920">
        <v>15.31495</v>
      </c>
      <c r="H920" s="1">
        <v>46178</v>
      </c>
    </row>
    <row r="921" spans="1:8" x14ac:dyDescent="0.25">
      <c r="A921" s="2">
        <v>919</v>
      </c>
      <c r="B921" t="s">
        <v>3813</v>
      </c>
      <c r="C921" s="1">
        <v>45855</v>
      </c>
      <c r="D921" s="3">
        <v>46220</v>
      </c>
      <c r="E921" s="5">
        <v>108.9546</v>
      </c>
      <c r="F921" s="3">
        <v>46028</v>
      </c>
      <c r="G921">
        <v>103.00879999999999</v>
      </c>
      <c r="H921" s="1">
        <v>46217</v>
      </c>
    </row>
    <row r="922" spans="1:8" x14ac:dyDescent="0.25">
      <c r="A922" s="2">
        <v>920</v>
      </c>
      <c r="B922" t="s">
        <v>1009</v>
      </c>
      <c r="C922" s="1">
        <v>45855</v>
      </c>
      <c r="D922" s="3">
        <v>46220</v>
      </c>
      <c r="E922" s="5">
        <v>111.619</v>
      </c>
      <c r="F922" s="3">
        <v>46174</v>
      </c>
      <c r="G922">
        <v>104.09269999999999</v>
      </c>
      <c r="H922" s="1">
        <v>45880</v>
      </c>
    </row>
    <row r="923" spans="1:8" x14ac:dyDescent="0.25">
      <c r="A923" s="2">
        <v>921</v>
      </c>
      <c r="B923" t="s">
        <v>1991</v>
      </c>
      <c r="C923" s="1">
        <v>45855</v>
      </c>
      <c r="D923" s="3">
        <v>46220</v>
      </c>
      <c r="E923" s="5">
        <v>59.993259999999999</v>
      </c>
      <c r="F923" s="3">
        <v>45867</v>
      </c>
      <c r="G923">
        <v>1.19075</v>
      </c>
      <c r="H923" s="1">
        <v>46219</v>
      </c>
    </row>
    <row r="924" spans="1:8" x14ac:dyDescent="0.25">
      <c r="A924" s="2">
        <v>922</v>
      </c>
      <c r="B924" t="s">
        <v>679</v>
      </c>
      <c r="C924" s="1">
        <v>45855</v>
      </c>
      <c r="D924" s="3">
        <v>46220</v>
      </c>
      <c r="E924" s="5">
        <v>103.7591</v>
      </c>
      <c r="F924" s="3">
        <v>45916</v>
      </c>
      <c r="G924">
        <v>100.2915</v>
      </c>
      <c r="H924" s="1">
        <v>46216</v>
      </c>
    </row>
    <row r="925" spans="1:8" x14ac:dyDescent="0.25">
      <c r="A925" s="2">
        <v>923</v>
      </c>
      <c r="B925" t="s">
        <v>677</v>
      </c>
      <c r="C925" s="1">
        <v>45855</v>
      </c>
      <c r="D925" s="3">
        <v>46220</v>
      </c>
      <c r="E925" s="5">
        <v>106.7595</v>
      </c>
      <c r="F925" s="3">
        <v>45952</v>
      </c>
      <c r="G925">
        <v>101.01675</v>
      </c>
      <c r="H925" s="1">
        <v>46220</v>
      </c>
    </row>
    <row r="926" spans="1:8" x14ac:dyDescent="0.25">
      <c r="A926" s="2">
        <v>924</v>
      </c>
      <c r="B926" t="s">
        <v>2031</v>
      </c>
      <c r="C926" s="1">
        <v>45855</v>
      </c>
      <c r="D926" s="3">
        <v>46220</v>
      </c>
      <c r="E926" s="5">
        <v>121.8489</v>
      </c>
      <c r="F926" s="3">
        <v>46164</v>
      </c>
      <c r="G926">
        <v>111.4324</v>
      </c>
      <c r="H926" s="1">
        <v>46220</v>
      </c>
    </row>
    <row r="927" spans="1:8" x14ac:dyDescent="0.25">
      <c r="A927" s="2">
        <v>925</v>
      </c>
      <c r="B927" t="s">
        <v>1518</v>
      </c>
      <c r="C927" s="1">
        <v>45855</v>
      </c>
      <c r="D927" s="3">
        <v>46220</v>
      </c>
      <c r="E927" s="5">
        <v>97.620999999999995</v>
      </c>
      <c r="F927" s="3">
        <v>45888</v>
      </c>
      <c r="G927">
        <v>79.460999999999999</v>
      </c>
      <c r="H927" s="1">
        <v>46041</v>
      </c>
    </row>
    <row r="928" spans="1:8" x14ac:dyDescent="0.25">
      <c r="A928" s="2">
        <v>926</v>
      </c>
      <c r="B928" t="s">
        <v>3779</v>
      </c>
      <c r="C928" s="1">
        <v>45855</v>
      </c>
      <c r="D928" s="3">
        <v>46220</v>
      </c>
      <c r="E928" s="5">
        <v>103.82170000000001</v>
      </c>
      <c r="F928" s="3">
        <v>45987</v>
      </c>
      <c r="G928">
        <v>90.974329999999995</v>
      </c>
      <c r="H928" s="1">
        <v>45855</v>
      </c>
    </row>
    <row r="929" spans="1:8" x14ac:dyDescent="0.25">
      <c r="A929" s="2">
        <v>927</v>
      </c>
      <c r="B929" t="s">
        <v>3777</v>
      </c>
      <c r="C929" s="1">
        <v>45855</v>
      </c>
      <c r="D929" s="3">
        <v>46220</v>
      </c>
      <c r="E929" s="5">
        <v>416.47300000000001</v>
      </c>
      <c r="F929" s="3">
        <v>46157</v>
      </c>
      <c r="G929">
        <v>114.68729999999999</v>
      </c>
      <c r="H929" s="1">
        <v>45873</v>
      </c>
    </row>
    <row r="930" spans="1:8" x14ac:dyDescent="0.25">
      <c r="A930" s="2">
        <v>928</v>
      </c>
      <c r="B930" t="s">
        <v>3775</v>
      </c>
      <c r="C930" s="1">
        <v>45855</v>
      </c>
      <c r="D930" s="3">
        <v>46220</v>
      </c>
      <c r="E930" s="5">
        <v>110.745</v>
      </c>
      <c r="F930" s="3">
        <v>46021</v>
      </c>
      <c r="G930">
        <v>103.7183</v>
      </c>
      <c r="H930" s="1">
        <v>45860</v>
      </c>
    </row>
    <row r="931" spans="1:8" x14ac:dyDescent="0.25">
      <c r="A931" s="2">
        <v>929</v>
      </c>
      <c r="B931" t="s">
        <v>1045</v>
      </c>
      <c r="C931" s="1">
        <v>45855</v>
      </c>
      <c r="D931" s="3">
        <v>46220</v>
      </c>
      <c r="E931" s="5">
        <v>102.06610000000001</v>
      </c>
      <c r="F931" s="3">
        <v>45861</v>
      </c>
      <c r="G931">
        <v>96.923649999999995</v>
      </c>
      <c r="H931" s="1">
        <v>46101</v>
      </c>
    </row>
    <row r="932" spans="1:8" x14ac:dyDescent="0.25">
      <c r="A932" s="2">
        <v>930</v>
      </c>
      <c r="B932" t="s">
        <v>925</v>
      </c>
      <c r="C932" s="1">
        <v>45855</v>
      </c>
      <c r="D932" s="3">
        <v>46220</v>
      </c>
      <c r="E932" s="5">
        <v>103.9813</v>
      </c>
      <c r="F932" s="3">
        <v>45861</v>
      </c>
      <c r="G932">
        <v>73.626270000000005</v>
      </c>
      <c r="H932" s="1">
        <v>46064</v>
      </c>
    </row>
    <row r="933" spans="1:8" x14ac:dyDescent="0.25">
      <c r="A933" s="2">
        <v>931</v>
      </c>
      <c r="B933" t="s">
        <v>316</v>
      </c>
      <c r="C933" s="1">
        <v>45855</v>
      </c>
      <c r="D933" s="3">
        <v>46220</v>
      </c>
      <c r="E933" s="5">
        <v>50.428710000000002</v>
      </c>
      <c r="F933" s="3">
        <v>46135</v>
      </c>
      <c r="G933">
        <v>20.579920000000001</v>
      </c>
      <c r="H933" s="1">
        <v>45912</v>
      </c>
    </row>
    <row r="934" spans="1:8" x14ac:dyDescent="0.25">
      <c r="A934" s="2">
        <v>932</v>
      </c>
      <c r="B934" t="s">
        <v>3248</v>
      </c>
      <c r="C934" s="1">
        <v>45855</v>
      </c>
      <c r="D934" s="3">
        <v>46220</v>
      </c>
      <c r="E934" s="5">
        <v>106.072</v>
      </c>
      <c r="F934" s="3">
        <v>45916</v>
      </c>
      <c r="G934">
        <v>94.577920000000006</v>
      </c>
      <c r="H934" s="1">
        <v>46087</v>
      </c>
    </row>
    <row r="935" spans="1:8" x14ac:dyDescent="0.25">
      <c r="A935" s="2">
        <v>933</v>
      </c>
      <c r="B935" t="s">
        <v>1075</v>
      </c>
      <c r="C935" s="1">
        <v>45855</v>
      </c>
      <c r="D935" s="3">
        <v>46220</v>
      </c>
      <c r="E935" s="5">
        <v>104.1313</v>
      </c>
      <c r="F935" s="3">
        <v>45877</v>
      </c>
      <c r="G935">
        <v>78.541449999999998</v>
      </c>
      <c r="H935" s="1">
        <v>46220</v>
      </c>
    </row>
    <row r="936" spans="1:8" x14ac:dyDescent="0.25">
      <c r="A936" s="2">
        <v>934</v>
      </c>
      <c r="B936" t="s">
        <v>506</v>
      </c>
      <c r="C936" s="1">
        <v>45855</v>
      </c>
      <c r="D936" s="3">
        <v>46220</v>
      </c>
      <c r="E936" s="5">
        <v>83.989940000000004</v>
      </c>
      <c r="F936" s="3">
        <v>45863</v>
      </c>
      <c r="G936">
        <v>42.93582</v>
      </c>
      <c r="H936" s="1">
        <v>46139</v>
      </c>
    </row>
    <row r="937" spans="1:8" x14ac:dyDescent="0.25">
      <c r="A937" s="2">
        <v>935</v>
      </c>
      <c r="B937" t="s">
        <v>1746</v>
      </c>
      <c r="C937" s="1">
        <v>45855</v>
      </c>
      <c r="D937" s="3">
        <v>46220</v>
      </c>
      <c r="E937" s="5">
        <v>56.073599999999999</v>
      </c>
      <c r="F937" s="3">
        <v>45926</v>
      </c>
      <c r="G937">
        <v>37.638919999999999</v>
      </c>
      <c r="H937" s="1">
        <v>46070</v>
      </c>
    </row>
    <row r="938" spans="1:8" x14ac:dyDescent="0.25">
      <c r="A938" s="2">
        <v>936</v>
      </c>
      <c r="B938" t="s">
        <v>2555</v>
      </c>
      <c r="C938" s="1">
        <v>45855</v>
      </c>
      <c r="D938" s="3">
        <v>46220</v>
      </c>
      <c r="E938" s="5">
        <v>332.50819999999999</v>
      </c>
      <c r="F938" s="3">
        <v>45918</v>
      </c>
      <c r="G938">
        <v>110.3086</v>
      </c>
      <c r="H938" s="1">
        <v>46101</v>
      </c>
    </row>
    <row r="939" spans="1:8" x14ac:dyDescent="0.25">
      <c r="A939" s="2">
        <v>937</v>
      </c>
      <c r="B939" t="s">
        <v>1516</v>
      </c>
      <c r="C939" s="1">
        <v>45855</v>
      </c>
      <c r="D939" s="3">
        <v>46220</v>
      </c>
      <c r="E939" s="5">
        <v>94.876999999999995</v>
      </c>
      <c r="F939" s="3">
        <v>45868</v>
      </c>
      <c r="G939">
        <v>68.534999999999997</v>
      </c>
      <c r="H939" s="1">
        <v>46041</v>
      </c>
    </row>
    <row r="940" spans="1:8" x14ac:dyDescent="0.25">
      <c r="A940" s="2">
        <v>938</v>
      </c>
      <c r="B940" t="s">
        <v>1601</v>
      </c>
      <c r="C940" s="1">
        <v>45855</v>
      </c>
      <c r="D940" s="3">
        <v>46220</v>
      </c>
      <c r="E940" s="5">
        <v>102.437</v>
      </c>
      <c r="F940" s="3">
        <v>45932</v>
      </c>
      <c r="G940">
        <v>84.369079999999997</v>
      </c>
      <c r="H940" s="1">
        <v>46108</v>
      </c>
    </row>
    <row r="941" spans="1:8" x14ac:dyDescent="0.25">
      <c r="A941" s="2">
        <v>939</v>
      </c>
      <c r="B941" t="s">
        <v>2452</v>
      </c>
      <c r="C941" s="1">
        <v>45855</v>
      </c>
      <c r="D941" s="3">
        <v>46220</v>
      </c>
      <c r="E941" s="5">
        <v>76.173940000000002</v>
      </c>
      <c r="F941" s="3">
        <v>45856</v>
      </c>
      <c r="G941">
        <v>32.02608</v>
      </c>
      <c r="H941" s="1">
        <v>45940</v>
      </c>
    </row>
    <row r="942" spans="1:8" x14ac:dyDescent="0.25">
      <c r="A942" s="2">
        <v>940</v>
      </c>
      <c r="B942" t="s">
        <v>3675</v>
      </c>
      <c r="C942" s="1">
        <v>45855</v>
      </c>
      <c r="D942" s="3">
        <v>46220</v>
      </c>
      <c r="E942" s="5">
        <v>103.2782</v>
      </c>
      <c r="F942" s="3">
        <v>45946</v>
      </c>
      <c r="G942">
        <v>97.607309999999998</v>
      </c>
      <c r="H942" s="1">
        <v>46034</v>
      </c>
    </row>
    <row r="943" spans="1:8" x14ac:dyDescent="0.25">
      <c r="A943" s="2">
        <v>941</v>
      </c>
      <c r="B943" t="s">
        <v>544</v>
      </c>
      <c r="C943" s="1">
        <v>45855</v>
      </c>
      <c r="D943" s="3">
        <v>46220</v>
      </c>
      <c r="E943" s="5">
        <v>102.1443</v>
      </c>
      <c r="F943" s="3">
        <v>45919</v>
      </c>
      <c r="G943">
        <v>73.05341</v>
      </c>
      <c r="H943" s="1">
        <v>46094</v>
      </c>
    </row>
    <row r="944" spans="1:8" x14ac:dyDescent="0.25">
      <c r="A944" s="2">
        <v>942</v>
      </c>
      <c r="B944" t="s">
        <v>542</v>
      </c>
      <c r="C944" s="1">
        <v>45855</v>
      </c>
      <c r="D944" s="3">
        <v>46220</v>
      </c>
      <c r="E944" s="5">
        <v>101.2685</v>
      </c>
      <c r="F944" s="3">
        <v>45916</v>
      </c>
      <c r="G944">
        <v>73.261210000000005</v>
      </c>
      <c r="H944" s="1">
        <v>46097</v>
      </c>
    </row>
    <row r="945" spans="1:8" x14ac:dyDescent="0.25">
      <c r="A945" s="2">
        <v>943</v>
      </c>
      <c r="B945" t="s">
        <v>2275</v>
      </c>
      <c r="C945" s="1">
        <v>45855</v>
      </c>
      <c r="D945" s="3">
        <v>46220</v>
      </c>
      <c r="E945" s="5">
        <v>100.7503</v>
      </c>
      <c r="F945" s="3">
        <v>45923</v>
      </c>
      <c r="G945">
        <v>87.055940000000007</v>
      </c>
      <c r="H945" s="1">
        <v>46108</v>
      </c>
    </row>
    <row r="946" spans="1:8" x14ac:dyDescent="0.25">
      <c r="A946" s="2">
        <v>944</v>
      </c>
      <c r="B946" t="s">
        <v>2159</v>
      </c>
      <c r="C946" s="1">
        <v>45855</v>
      </c>
      <c r="D946" s="3">
        <v>46220</v>
      </c>
      <c r="E946" s="5">
        <v>104.0123</v>
      </c>
      <c r="F946" s="3">
        <v>45918</v>
      </c>
      <c r="G946">
        <v>101.0271</v>
      </c>
      <c r="H946" s="1">
        <v>46111</v>
      </c>
    </row>
    <row r="947" spans="1:8" x14ac:dyDescent="0.25">
      <c r="A947" s="2">
        <v>945</v>
      </c>
      <c r="B947" t="s">
        <v>2512</v>
      </c>
      <c r="C947" s="1">
        <v>45855</v>
      </c>
      <c r="D947" s="3">
        <v>46220</v>
      </c>
      <c r="E947" s="5">
        <v>104.10899999999999</v>
      </c>
      <c r="F947" s="3">
        <v>45952</v>
      </c>
      <c r="G947">
        <v>97.871089999999995</v>
      </c>
      <c r="H947" s="1">
        <v>46176</v>
      </c>
    </row>
    <row r="948" spans="1:8" x14ac:dyDescent="0.25">
      <c r="A948" s="2">
        <v>946</v>
      </c>
      <c r="B948" t="s">
        <v>2157</v>
      </c>
      <c r="C948" s="1">
        <v>45855</v>
      </c>
      <c r="D948" s="3">
        <v>46220</v>
      </c>
      <c r="E948" s="5">
        <v>102.4421</v>
      </c>
      <c r="F948" s="3">
        <v>46080</v>
      </c>
      <c r="G948">
        <v>98.401210000000006</v>
      </c>
      <c r="H948" s="1">
        <v>46161</v>
      </c>
    </row>
    <row r="949" spans="1:8" x14ac:dyDescent="0.25">
      <c r="A949" s="2">
        <v>947</v>
      </c>
      <c r="B949" t="s">
        <v>109</v>
      </c>
      <c r="C949" s="1">
        <v>45855</v>
      </c>
      <c r="D949" s="3">
        <v>46220</v>
      </c>
      <c r="E949" s="5">
        <v>97.782169999999994</v>
      </c>
      <c r="F949" s="3">
        <v>45870</v>
      </c>
      <c r="G949">
        <v>72.127049999999997</v>
      </c>
      <c r="H949" s="1">
        <v>46217</v>
      </c>
    </row>
    <row r="950" spans="1:8" x14ac:dyDescent="0.25">
      <c r="A950" s="2">
        <v>948</v>
      </c>
      <c r="B950" t="s">
        <v>2317</v>
      </c>
      <c r="C950" s="1">
        <v>45855</v>
      </c>
      <c r="D950" s="3">
        <v>46220</v>
      </c>
      <c r="E950" s="5">
        <v>89.909459999999996</v>
      </c>
      <c r="F950" s="3">
        <v>45916</v>
      </c>
      <c r="G950">
        <v>43.749929999999999</v>
      </c>
      <c r="H950" s="1">
        <v>46118</v>
      </c>
    </row>
    <row r="951" spans="1:8" x14ac:dyDescent="0.25">
      <c r="A951" s="2">
        <v>949</v>
      </c>
      <c r="B951" t="s">
        <v>444</v>
      </c>
      <c r="C951" s="1">
        <v>45855</v>
      </c>
      <c r="D951" s="3">
        <v>46220</v>
      </c>
      <c r="E951" s="5">
        <v>123.8673</v>
      </c>
      <c r="F951" s="3">
        <v>46071</v>
      </c>
      <c r="G951">
        <v>89.575680000000006</v>
      </c>
      <c r="H951" s="1">
        <v>46101</v>
      </c>
    </row>
    <row r="952" spans="1:8" x14ac:dyDescent="0.25">
      <c r="A952" s="2">
        <v>950</v>
      </c>
      <c r="B952" t="s">
        <v>442</v>
      </c>
      <c r="C952" s="1">
        <v>45855</v>
      </c>
      <c r="D952" s="3">
        <v>46220</v>
      </c>
      <c r="E952" s="5">
        <v>103.84399999999999</v>
      </c>
      <c r="F952" s="3">
        <v>46071</v>
      </c>
      <c r="G952">
        <v>84.532740000000004</v>
      </c>
      <c r="H952" s="1">
        <v>46183</v>
      </c>
    </row>
    <row r="953" spans="1:8" x14ac:dyDescent="0.25">
      <c r="A953" s="2">
        <v>951</v>
      </c>
      <c r="B953" t="s">
        <v>2155</v>
      </c>
      <c r="C953" s="1">
        <v>45855</v>
      </c>
      <c r="D953" s="3">
        <v>46220</v>
      </c>
      <c r="E953" s="5">
        <v>105.70099999999999</v>
      </c>
      <c r="F953" s="3">
        <v>45883</v>
      </c>
      <c r="G953">
        <v>102.84869999999999</v>
      </c>
      <c r="H953" s="1">
        <v>46111</v>
      </c>
    </row>
    <row r="954" spans="1:8" x14ac:dyDescent="0.25">
      <c r="A954" s="2">
        <v>952</v>
      </c>
      <c r="B954" t="s">
        <v>2396</v>
      </c>
      <c r="C954" s="1">
        <v>45855</v>
      </c>
      <c r="D954" s="3">
        <v>46220</v>
      </c>
      <c r="E954" s="5">
        <v>105.9391</v>
      </c>
      <c r="F954" s="3">
        <v>45860</v>
      </c>
      <c r="G954">
        <v>83.758125000000007</v>
      </c>
      <c r="H954" s="1">
        <v>46220</v>
      </c>
    </row>
    <row r="955" spans="1:8" x14ac:dyDescent="0.25">
      <c r="A955" s="2">
        <v>953</v>
      </c>
      <c r="B955" t="s">
        <v>2153</v>
      </c>
      <c r="C955" s="1">
        <v>45855</v>
      </c>
      <c r="D955" s="3">
        <v>46220</v>
      </c>
      <c r="E955" s="5">
        <v>107.40049999999999</v>
      </c>
      <c r="F955" s="3">
        <v>45957</v>
      </c>
      <c r="G955">
        <v>104.0907</v>
      </c>
      <c r="H955" s="1">
        <v>45859</v>
      </c>
    </row>
    <row r="956" spans="1:8" x14ac:dyDescent="0.25">
      <c r="A956" s="2">
        <v>954</v>
      </c>
      <c r="B956" t="s">
        <v>2450</v>
      </c>
      <c r="C956" s="1">
        <v>45855</v>
      </c>
      <c r="D956" s="3">
        <v>46220</v>
      </c>
      <c r="E956" s="5">
        <v>1102.5139999999999</v>
      </c>
      <c r="F956" s="3">
        <v>45883</v>
      </c>
      <c r="G956">
        <v>895.03470000000004</v>
      </c>
      <c r="H956" s="1">
        <v>46196</v>
      </c>
    </row>
    <row r="957" spans="1:8" x14ac:dyDescent="0.25">
      <c r="A957" s="2">
        <v>955</v>
      </c>
      <c r="B957" t="s">
        <v>675</v>
      </c>
      <c r="C957" s="1">
        <v>45855</v>
      </c>
      <c r="D957" s="3">
        <v>46220</v>
      </c>
      <c r="E957" s="5">
        <v>100.3835</v>
      </c>
      <c r="F957" s="3">
        <v>46080</v>
      </c>
      <c r="G957">
        <v>99.426249999999996</v>
      </c>
      <c r="H957" s="1">
        <v>46107</v>
      </c>
    </row>
    <row r="958" spans="1:8" x14ac:dyDescent="0.25">
      <c r="A958" s="2">
        <v>956</v>
      </c>
      <c r="B958" t="s">
        <v>1044</v>
      </c>
      <c r="C958" s="1">
        <v>45855</v>
      </c>
      <c r="D958" s="3">
        <v>46220</v>
      </c>
      <c r="E958" s="5">
        <v>101.6078</v>
      </c>
      <c r="F958" s="3">
        <v>45867</v>
      </c>
      <c r="G958">
        <v>96.883780000000002</v>
      </c>
      <c r="H958" s="1">
        <v>46101</v>
      </c>
    </row>
    <row r="959" spans="1:8" x14ac:dyDescent="0.25">
      <c r="A959" s="2">
        <v>957</v>
      </c>
      <c r="B959" t="s">
        <v>1043</v>
      </c>
      <c r="C959" s="1">
        <v>45855</v>
      </c>
      <c r="D959" s="3">
        <v>46220</v>
      </c>
      <c r="E959" s="5">
        <v>98.042559999999995</v>
      </c>
      <c r="F959" s="3">
        <v>45944</v>
      </c>
      <c r="G959">
        <v>91.894199999999998</v>
      </c>
      <c r="H959" s="1">
        <v>46101</v>
      </c>
    </row>
    <row r="960" spans="1:8" x14ac:dyDescent="0.25">
      <c r="A960" s="2">
        <v>958</v>
      </c>
      <c r="B960" t="s">
        <v>3712</v>
      </c>
      <c r="C960" s="1">
        <v>45855</v>
      </c>
      <c r="D960" s="3">
        <v>46220</v>
      </c>
      <c r="E960" s="5">
        <v>109.6301</v>
      </c>
      <c r="F960" s="3">
        <v>45918</v>
      </c>
      <c r="G960">
        <v>94.674080000000004</v>
      </c>
      <c r="H960" s="1">
        <v>46198</v>
      </c>
    </row>
    <row r="961" spans="1:8" x14ac:dyDescent="0.25">
      <c r="A961" s="2">
        <v>959</v>
      </c>
      <c r="B961" t="s">
        <v>1594</v>
      </c>
      <c r="C961" s="1">
        <v>45855</v>
      </c>
      <c r="D961" s="3">
        <v>46220</v>
      </c>
      <c r="E961" s="5">
        <v>100.6091</v>
      </c>
      <c r="F961" s="3">
        <v>45859</v>
      </c>
      <c r="G961">
        <v>86.734660000000005</v>
      </c>
      <c r="H961" s="1">
        <v>46111</v>
      </c>
    </row>
    <row r="962" spans="1:8" x14ac:dyDescent="0.25">
      <c r="A962" s="2">
        <v>960</v>
      </c>
      <c r="B962" t="s">
        <v>1800</v>
      </c>
      <c r="C962" s="1">
        <v>45855</v>
      </c>
      <c r="D962" s="3">
        <v>46220</v>
      </c>
      <c r="E962" s="5">
        <v>92.808490000000006</v>
      </c>
      <c r="F962" s="3">
        <v>46148</v>
      </c>
      <c r="G962">
        <v>55.977989999999998</v>
      </c>
      <c r="H962" s="1">
        <v>46013</v>
      </c>
    </row>
    <row r="963" spans="1:8" x14ac:dyDescent="0.25">
      <c r="A963" s="2">
        <v>961</v>
      </c>
      <c r="B963" t="s">
        <v>2306</v>
      </c>
      <c r="C963" s="1">
        <v>45855</v>
      </c>
      <c r="D963" s="3">
        <v>46220</v>
      </c>
      <c r="E963" s="5">
        <v>88.53125</v>
      </c>
      <c r="F963" s="3">
        <v>46049</v>
      </c>
      <c r="G963">
        <v>50.984949999999998</v>
      </c>
      <c r="H963" s="1">
        <v>46202</v>
      </c>
    </row>
    <row r="964" spans="1:8" x14ac:dyDescent="0.25">
      <c r="A964" s="2">
        <v>962</v>
      </c>
      <c r="B964" t="s">
        <v>2029</v>
      </c>
      <c r="C964" s="1">
        <v>45855</v>
      </c>
      <c r="D964" s="3">
        <v>46220</v>
      </c>
      <c r="E964" s="5">
        <v>104.57470000000001</v>
      </c>
      <c r="F964" s="3">
        <v>46029</v>
      </c>
      <c r="G964">
        <v>100.32340000000001</v>
      </c>
      <c r="H964" s="1">
        <v>46101</v>
      </c>
    </row>
    <row r="965" spans="1:8" x14ac:dyDescent="0.25">
      <c r="A965" s="2">
        <v>963</v>
      </c>
      <c r="B965" t="s">
        <v>1565</v>
      </c>
      <c r="C965" s="1">
        <v>45855</v>
      </c>
      <c r="D965" s="3">
        <v>46220</v>
      </c>
      <c r="E965" s="5">
        <v>97.925380000000004</v>
      </c>
      <c r="F965" s="3">
        <v>45922</v>
      </c>
      <c r="G965">
        <v>70.581959999999995</v>
      </c>
      <c r="H965" s="1">
        <v>46125</v>
      </c>
    </row>
    <row r="966" spans="1:8" x14ac:dyDescent="0.25">
      <c r="A966" s="2">
        <v>964</v>
      </c>
      <c r="B966" t="s">
        <v>182</v>
      </c>
      <c r="C966" s="1">
        <v>45855</v>
      </c>
      <c r="D966" s="3">
        <v>46220</v>
      </c>
      <c r="E966" s="5">
        <v>105.0915</v>
      </c>
      <c r="F966" s="3">
        <v>45987</v>
      </c>
      <c r="G966">
        <v>101.7534</v>
      </c>
      <c r="H966" s="1">
        <v>45891</v>
      </c>
    </row>
    <row r="967" spans="1:8" x14ac:dyDescent="0.25">
      <c r="A967" s="2">
        <v>965</v>
      </c>
      <c r="B967" t="s">
        <v>359</v>
      </c>
      <c r="C967" s="1">
        <v>45855</v>
      </c>
      <c r="D967" s="3">
        <v>46220</v>
      </c>
      <c r="E967" s="5">
        <v>97.801220000000001</v>
      </c>
      <c r="F967" s="3">
        <v>45909</v>
      </c>
      <c r="G967">
        <v>57.673969999999997</v>
      </c>
      <c r="H967" s="1">
        <v>46212</v>
      </c>
    </row>
    <row r="968" spans="1:8" x14ac:dyDescent="0.25">
      <c r="A968" s="2">
        <v>966</v>
      </c>
      <c r="B968" t="s">
        <v>2025</v>
      </c>
      <c r="C968" s="1">
        <v>45855</v>
      </c>
      <c r="D968" s="3">
        <v>46220</v>
      </c>
      <c r="E968" s="5">
        <v>104.0333</v>
      </c>
      <c r="F968" s="3">
        <v>46148</v>
      </c>
      <c r="G968">
        <v>95.299009999999996</v>
      </c>
      <c r="H968" s="1">
        <v>45902</v>
      </c>
    </row>
    <row r="969" spans="1:8" x14ac:dyDescent="0.25">
      <c r="A969" s="2">
        <v>967</v>
      </c>
      <c r="B969" t="s">
        <v>3811</v>
      </c>
      <c r="C969" s="1">
        <v>45855</v>
      </c>
      <c r="D969" s="3">
        <v>46220</v>
      </c>
      <c r="E969" s="5">
        <v>106.8995</v>
      </c>
      <c r="F969" s="3">
        <v>46030</v>
      </c>
      <c r="G969">
        <v>98.329120000000003</v>
      </c>
      <c r="H969" s="1">
        <v>46220</v>
      </c>
    </row>
    <row r="970" spans="1:8" x14ac:dyDescent="0.25">
      <c r="A970" s="2">
        <v>968</v>
      </c>
      <c r="B970" t="s">
        <v>2382</v>
      </c>
      <c r="C970" s="1">
        <v>45855</v>
      </c>
      <c r="D970" s="3">
        <v>46220</v>
      </c>
      <c r="E970" s="5">
        <v>105.02500000000001</v>
      </c>
      <c r="F970" s="3">
        <v>45891</v>
      </c>
      <c r="G970">
        <v>97.677570000000003</v>
      </c>
      <c r="H970" s="1">
        <v>46094</v>
      </c>
    </row>
    <row r="971" spans="1:8" x14ac:dyDescent="0.25">
      <c r="A971" s="2">
        <v>969</v>
      </c>
      <c r="B971" t="s">
        <v>1041</v>
      </c>
      <c r="C971" s="1">
        <v>45855</v>
      </c>
      <c r="D971" s="3">
        <v>46220</v>
      </c>
      <c r="E971" s="5">
        <v>97.735600000000005</v>
      </c>
      <c r="F971" s="3">
        <v>45866</v>
      </c>
      <c r="G971">
        <v>91.894199999999998</v>
      </c>
      <c r="H971" s="1">
        <v>46101</v>
      </c>
    </row>
    <row r="972" spans="1:8" x14ac:dyDescent="0.25">
      <c r="A972" s="2">
        <v>970</v>
      </c>
      <c r="B972" t="s">
        <v>180</v>
      </c>
      <c r="C972" s="1">
        <v>45855</v>
      </c>
      <c r="D972" s="3">
        <v>46220</v>
      </c>
      <c r="E972" s="5">
        <v>106.0988</v>
      </c>
      <c r="F972" s="3">
        <v>45922</v>
      </c>
      <c r="G972">
        <v>98.492379999999997</v>
      </c>
      <c r="H972" s="1">
        <v>46108</v>
      </c>
    </row>
    <row r="973" spans="1:8" x14ac:dyDescent="0.25">
      <c r="A973" s="2">
        <v>971</v>
      </c>
      <c r="B973" t="s">
        <v>3637</v>
      </c>
      <c r="C973" s="1">
        <v>45855</v>
      </c>
      <c r="D973" s="3">
        <v>46220</v>
      </c>
      <c r="E973" s="5">
        <v>98.070269999999994</v>
      </c>
      <c r="F973" s="3">
        <v>46190</v>
      </c>
      <c r="G973">
        <v>86.015919999999994</v>
      </c>
      <c r="H973" s="1">
        <v>45979</v>
      </c>
    </row>
    <row r="974" spans="1:8" x14ac:dyDescent="0.25">
      <c r="A974" s="2">
        <v>972</v>
      </c>
      <c r="B974" t="s">
        <v>218</v>
      </c>
      <c r="C974" s="1">
        <v>45855</v>
      </c>
      <c r="D974" s="3">
        <v>46220</v>
      </c>
      <c r="E974" s="5">
        <v>99.902410000000003</v>
      </c>
      <c r="F974" s="3">
        <v>45922</v>
      </c>
      <c r="G974">
        <v>91.794709999999995</v>
      </c>
      <c r="H974" s="1">
        <v>46084</v>
      </c>
    </row>
    <row r="975" spans="1:8" x14ac:dyDescent="0.25">
      <c r="A975" s="2">
        <v>973</v>
      </c>
      <c r="B975" t="s">
        <v>416</v>
      </c>
      <c r="C975" s="1">
        <v>45855</v>
      </c>
      <c r="D975" s="3">
        <v>46220</v>
      </c>
      <c r="E975" s="5">
        <v>109.0509</v>
      </c>
      <c r="F975" s="3">
        <v>45897</v>
      </c>
      <c r="G975">
        <v>88.774699999999996</v>
      </c>
      <c r="H975" s="1">
        <v>45999</v>
      </c>
    </row>
    <row r="976" spans="1:8" x14ac:dyDescent="0.25">
      <c r="A976" s="2">
        <v>974</v>
      </c>
      <c r="B976" t="s">
        <v>673</v>
      </c>
      <c r="C976" s="1">
        <v>45855</v>
      </c>
      <c r="D976" s="3">
        <v>46220</v>
      </c>
      <c r="E976" s="5">
        <v>100.7533</v>
      </c>
      <c r="F976" s="3">
        <v>46181</v>
      </c>
      <c r="G976">
        <v>94.533420000000007</v>
      </c>
      <c r="H976" s="1">
        <v>45946</v>
      </c>
    </row>
    <row r="977" spans="1:8" x14ac:dyDescent="0.25">
      <c r="A977" s="2">
        <v>975</v>
      </c>
      <c r="B977" t="s">
        <v>671</v>
      </c>
      <c r="C977" s="1">
        <v>45855</v>
      </c>
      <c r="D977" s="3">
        <v>46220</v>
      </c>
      <c r="E977" s="5">
        <v>102.006</v>
      </c>
      <c r="F977" s="3">
        <v>45952</v>
      </c>
      <c r="G977">
        <v>100.5399</v>
      </c>
      <c r="H977" s="1">
        <v>46211</v>
      </c>
    </row>
    <row r="978" spans="1:8" x14ac:dyDescent="0.25">
      <c r="A978" s="2">
        <v>976</v>
      </c>
      <c r="B978" t="s">
        <v>669</v>
      </c>
      <c r="C978" s="1">
        <v>45855</v>
      </c>
      <c r="D978" s="3">
        <v>46220</v>
      </c>
      <c r="E978" s="5">
        <v>104.7804</v>
      </c>
      <c r="F978" s="3">
        <v>45953</v>
      </c>
      <c r="G978">
        <v>101.0699</v>
      </c>
      <c r="H978" s="1">
        <v>46216</v>
      </c>
    </row>
    <row r="979" spans="1:8" x14ac:dyDescent="0.25">
      <c r="A979" s="2">
        <v>977</v>
      </c>
      <c r="B979" t="s">
        <v>667</v>
      </c>
      <c r="C979" s="1">
        <v>45855</v>
      </c>
      <c r="D979" s="3">
        <v>46220</v>
      </c>
      <c r="E979" s="5">
        <v>105.03440000000001</v>
      </c>
      <c r="F979" s="3">
        <v>45952</v>
      </c>
      <c r="G979">
        <v>100.25660000000001</v>
      </c>
      <c r="H979" s="1">
        <v>46217</v>
      </c>
    </row>
    <row r="980" spans="1:8" x14ac:dyDescent="0.25">
      <c r="A980" s="2">
        <v>978</v>
      </c>
      <c r="B980" t="s">
        <v>89</v>
      </c>
      <c r="C980" s="1">
        <v>45855</v>
      </c>
      <c r="D980" s="3">
        <v>46220</v>
      </c>
      <c r="E980" s="5">
        <v>83.875979999999998</v>
      </c>
      <c r="F980" s="3">
        <v>46050</v>
      </c>
      <c r="G980">
        <v>66.302940000000007</v>
      </c>
      <c r="H980" s="1">
        <v>46108</v>
      </c>
    </row>
    <row r="981" spans="1:8" x14ac:dyDescent="0.25">
      <c r="A981" s="2">
        <v>979</v>
      </c>
      <c r="B981" t="s">
        <v>665</v>
      </c>
      <c r="C981" s="1">
        <v>45855</v>
      </c>
      <c r="D981" s="3">
        <v>46220</v>
      </c>
      <c r="E981" s="5">
        <v>102.5761</v>
      </c>
      <c r="F981" s="3">
        <v>46079</v>
      </c>
      <c r="G981">
        <v>99.423289999999994</v>
      </c>
      <c r="H981" s="1">
        <v>46101</v>
      </c>
    </row>
    <row r="982" spans="1:8" x14ac:dyDescent="0.25">
      <c r="A982" s="2">
        <v>980</v>
      </c>
      <c r="B982" t="s">
        <v>663</v>
      </c>
      <c r="C982" s="1">
        <v>45855</v>
      </c>
      <c r="D982" s="3">
        <v>46220</v>
      </c>
      <c r="E982" s="5">
        <v>99.126459999999994</v>
      </c>
      <c r="F982" s="3">
        <v>46077</v>
      </c>
      <c r="G982">
        <v>94.665499999999994</v>
      </c>
      <c r="H982" s="1">
        <v>46108</v>
      </c>
    </row>
    <row r="983" spans="1:8" x14ac:dyDescent="0.25">
      <c r="A983" s="2">
        <v>981</v>
      </c>
      <c r="B983" t="s">
        <v>1209</v>
      </c>
      <c r="C983" s="1">
        <v>45855</v>
      </c>
      <c r="D983" s="3">
        <v>46220</v>
      </c>
      <c r="E983" s="5">
        <v>104.5693</v>
      </c>
      <c r="F983" s="3">
        <v>46035</v>
      </c>
      <c r="G983">
        <v>94.782839999999993</v>
      </c>
      <c r="H983" s="1">
        <v>46205</v>
      </c>
    </row>
    <row r="984" spans="1:8" x14ac:dyDescent="0.25">
      <c r="A984" s="2">
        <v>982</v>
      </c>
      <c r="B984" t="s">
        <v>1207</v>
      </c>
      <c r="C984" s="1">
        <v>45855</v>
      </c>
      <c r="D984" s="3">
        <v>46220</v>
      </c>
      <c r="E984" s="5">
        <v>105.6311</v>
      </c>
      <c r="F984" s="3">
        <v>45916</v>
      </c>
      <c r="G984">
        <v>92.896550000000005</v>
      </c>
      <c r="H984" s="1">
        <v>46211</v>
      </c>
    </row>
    <row r="985" spans="1:8" x14ac:dyDescent="0.25">
      <c r="A985" s="2">
        <v>983</v>
      </c>
      <c r="B985" t="s">
        <v>2095</v>
      </c>
      <c r="C985" s="1">
        <v>45855</v>
      </c>
      <c r="D985" s="3">
        <v>46220</v>
      </c>
      <c r="E985" s="5">
        <v>100.5321</v>
      </c>
      <c r="F985" s="3">
        <v>46045</v>
      </c>
      <c r="G985">
        <v>91.090280000000007</v>
      </c>
      <c r="H985" s="1">
        <v>45855</v>
      </c>
    </row>
    <row r="986" spans="1:8" x14ac:dyDescent="0.25">
      <c r="A986" s="2">
        <v>984</v>
      </c>
      <c r="B986" t="s">
        <v>2151</v>
      </c>
      <c r="C986" s="1">
        <v>45855</v>
      </c>
      <c r="D986" s="3">
        <v>46220</v>
      </c>
      <c r="E986" s="5">
        <v>104.80329999999999</v>
      </c>
      <c r="F986" s="3">
        <v>45957</v>
      </c>
      <c r="G986">
        <v>100.5782</v>
      </c>
      <c r="H986" s="1">
        <v>46216</v>
      </c>
    </row>
    <row r="987" spans="1:8" x14ac:dyDescent="0.25">
      <c r="A987" s="2">
        <v>985</v>
      </c>
      <c r="B987" t="s">
        <v>292</v>
      </c>
      <c r="C987" s="1">
        <v>45855</v>
      </c>
      <c r="D987" s="3">
        <v>46220</v>
      </c>
      <c r="E987" s="5">
        <v>106.3145</v>
      </c>
      <c r="F987" s="3">
        <v>45929</v>
      </c>
      <c r="G987">
        <v>66.768129999999999</v>
      </c>
      <c r="H987" s="1">
        <v>46219</v>
      </c>
    </row>
    <row r="988" spans="1:8" x14ac:dyDescent="0.25">
      <c r="A988" s="2">
        <v>986</v>
      </c>
      <c r="B988" t="s">
        <v>288</v>
      </c>
      <c r="C988" s="1">
        <v>45855</v>
      </c>
      <c r="D988" s="3">
        <v>46220</v>
      </c>
      <c r="E988" s="5">
        <v>151.5411</v>
      </c>
      <c r="F988" s="3">
        <v>45861</v>
      </c>
      <c r="G988">
        <v>40.185549999999999</v>
      </c>
      <c r="H988" s="1">
        <v>46219</v>
      </c>
    </row>
    <row r="989" spans="1:8" x14ac:dyDescent="0.25">
      <c r="A989" s="2">
        <v>987</v>
      </c>
      <c r="B989" t="s">
        <v>1229</v>
      </c>
      <c r="C989" s="1">
        <v>45855</v>
      </c>
      <c r="D989" s="3">
        <v>46220</v>
      </c>
      <c r="E989" s="5">
        <v>90.097049999999996</v>
      </c>
      <c r="F989" s="3">
        <v>45863</v>
      </c>
      <c r="G989">
        <v>55.2258</v>
      </c>
      <c r="H989" s="1">
        <v>46114</v>
      </c>
    </row>
    <row r="990" spans="1:8" x14ac:dyDescent="0.25">
      <c r="A990" s="2">
        <v>988</v>
      </c>
      <c r="B990" t="s">
        <v>1225</v>
      </c>
      <c r="C990" s="1">
        <v>45855</v>
      </c>
      <c r="D990" s="3">
        <v>46220</v>
      </c>
      <c r="E990" s="5">
        <v>70.514719999999997</v>
      </c>
      <c r="F990" s="3">
        <v>45861</v>
      </c>
      <c r="G990">
        <v>25.940190000000001</v>
      </c>
      <c r="H990" s="1">
        <v>46154</v>
      </c>
    </row>
    <row r="991" spans="1:8" x14ac:dyDescent="0.25">
      <c r="A991" s="2">
        <v>989</v>
      </c>
      <c r="B991" t="s">
        <v>1073</v>
      </c>
      <c r="C991" s="1">
        <v>45855</v>
      </c>
      <c r="D991" s="3">
        <v>46220</v>
      </c>
      <c r="E991" s="5">
        <v>103.953</v>
      </c>
      <c r="F991" s="3">
        <v>45876</v>
      </c>
      <c r="G991">
        <v>86.596000671386705</v>
      </c>
      <c r="H991" s="1">
        <v>46220</v>
      </c>
    </row>
    <row r="992" spans="1:8" x14ac:dyDescent="0.25">
      <c r="A992" s="2">
        <v>990</v>
      </c>
      <c r="B992" t="s">
        <v>1071</v>
      </c>
      <c r="C992" s="1">
        <v>45855</v>
      </c>
      <c r="D992" s="3">
        <v>46220</v>
      </c>
      <c r="E992" s="5">
        <v>105.4438</v>
      </c>
      <c r="F992" s="3">
        <v>45923</v>
      </c>
      <c r="G992">
        <v>89.083380000000005</v>
      </c>
      <c r="H992" s="1">
        <v>46220</v>
      </c>
    </row>
    <row r="993" spans="1:8" x14ac:dyDescent="0.25">
      <c r="A993" s="2">
        <v>991</v>
      </c>
      <c r="B993" t="s">
        <v>2535</v>
      </c>
      <c r="C993" s="1">
        <v>45855</v>
      </c>
      <c r="D993" s="3">
        <v>46220</v>
      </c>
      <c r="E993" s="5">
        <v>105.1922</v>
      </c>
      <c r="F993" s="3">
        <v>45891</v>
      </c>
      <c r="G993">
        <v>65.059139999999999</v>
      </c>
      <c r="H993" s="1">
        <v>46199</v>
      </c>
    </row>
    <row r="994" spans="1:8" x14ac:dyDescent="0.25">
      <c r="A994" s="2">
        <v>992</v>
      </c>
      <c r="B994" t="s">
        <v>3731</v>
      </c>
      <c r="C994" s="1">
        <v>45855</v>
      </c>
      <c r="D994" s="3">
        <v>46220</v>
      </c>
      <c r="E994" s="5">
        <v>101.5188</v>
      </c>
      <c r="F994" s="3">
        <v>45910</v>
      </c>
      <c r="G994">
        <v>96.205950000000001</v>
      </c>
      <c r="H994" s="1">
        <v>45979</v>
      </c>
    </row>
    <row r="995" spans="1:8" x14ac:dyDescent="0.25">
      <c r="A995" s="2">
        <v>993</v>
      </c>
      <c r="B995" t="s">
        <v>3841</v>
      </c>
      <c r="C995" s="1">
        <v>45855</v>
      </c>
      <c r="D995" s="3">
        <v>46220</v>
      </c>
      <c r="E995" s="5">
        <v>103.254</v>
      </c>
      <c r="F995" s="3">
        <v>45874</v>
      </c>
      <c r="G995">
        <v>93.804959999999994</v>
      </c>
      <c r="H995" s="1">
        <v>45904</v>
      </c>
    </row>
    <row r="996" spans="1:8" x14ac:dyDescent="0.25">
      <c r="A996" s="2">
        <v>994</v>
      </c>
      <c r="B996" t="s">
        <v>661</v>
      </c>
      <c r="C996" s="1">
        <v>45855</v>
      </c>
      <c r="D996" s="3">
        <v>46220</v>
      </c>
      <c r="E996" s="5">
        <v>104.06189999999999</v>
      </c>
      <c r="F996" s="3">
        <v>45946</v>
      </c>
      <c r="G996">
        <v>99.560919999999996</v>
      </c>
      <c r="H996" s="1">
        <v>46161</v>
      </c>
    </row>
    <row r="997" spans="1:8" x14ac:dyDescent="0.25">
      <c r="A997" s="2">
        <v>995</v>
      </c>
      <c r="B997" t="s">
        <v>659</v>
      </c>
      <c r="C997" s="1">
        <v>45855</v>
      </c>
      <c r="D997" s="3">
        <v>46220</v>
      </c>
      <c r="E997" s="5">
        <v>103.21380000000001</v>
      </c>
      <c r="F997" s="3">
        <v>45946</v>
      </c>
      <c r="G997">
        <v>100.3633</v>
      </c>
      <c r="H997" s="1">
        <v>46216</v>
      </c>
    </row>
    <row r="998" spans="1:8" x14ac:dyDescent="0.25">
      <c r="A998" s="2">
        <v>996</v>
      </c>
      <c r="B998" t="s">
        <v>178</v>
      </c>
      <c r="C998" s="1">
        <v>45855</v>
      </c>
      <c r="D998" s="3">
        <v>46220</v>
      </c>
      <c r="E998" s="5">
        <v>105.226</v>
      </c>
      <c r="F998" s="3">
        <v>45884</v>
      </c>
      <c r="G998">
        <v>101.93600000000001</v>
      </c>
      <c r="H998" s="1">
        <v>46066</v>
      </c>
    </row>
    <row r="999" spans="1:8" x14ac:dyDescent="0.25">
      <c r="A999" s="2">
        <v>997</v>
      </c>
      <c r="B999" t="s">
        <v>176</v>
      </c>
      <c r="C999" s="1">
        <v>45855</v>
      </c>
      <c r="D999" s="3">
        <v>46220</v>
      </c>
      <c r="E999" s="5">
        <v>103.9927</v>
      </c>
      <c r="F999" s="3">
        <v>45922</v>
      </c>
      <c r="G999">
        <v>90.411000000000001</v>
      </c>
      <c r="H999" s="1">
        <v>46066</v>
      </c>
    </row>
    <row r="1000" spans="1:8" x14ac:dyDescent="0.25">
      <c r="A1000" s="2">
        <v>998</v>
      </c>
      <c r="B1000" t="s">
        <v>3326</v>
      </c>
      <c r="C1000" s="1">
        <v>45855</v>
      </c>
      <c r="D1000" s="3">
        <v>46220</v>
      </c>
      <c r="E1000" s="5">
        <v>103.04</v>
      </c>
      <c r="F1000" s="3">
        <v>45922</v>
      </c>
      <c r="G1000">
        <v>89.144099999999995</v>
      </c>
      <c r="H1000" s="1">
        <v>46154</v>
      </c>
    </row>
    <row r="1001" spans="1:8" x14ac:dyDescent="0.25">
      <c r="A1001" s="2">
        <v>999</v>
      </c>
      <c r="B1001" t="s">
        <v>232</v>
      </c>
      <c r="C1001" s="1">
        <v>45855</v>
      </c>
      <c r="D1001" s="3">
        <v>46220</v>
      </c>
      <c r="E1001" s="5">
        <v>107.37269999999999</v>
      </c>
      <c r="F1001" s="3">
        <v>45905</v>
      </c>
      <c r="G1001">
        <v>92.370199999999997</v>
      </c>
      <c r="H1001" s="1">
        <v>46199</v>
      </c>
    </row>
    <row r="1002" spans="1:8" x14ac:dyDescent="0.25">
      <c r="A1002" s="2">
        <v>1000</v>
      </c>
      <c r="B1002" t="s">
        <v>2149</v>
      </c>
      <c r="C1002" s="1">
        <v>45855</v>
      </c>
      <c r="D1002" s="3">
        <v>46220</v>
      </c>
      <c r="E1002" s="5">
        <v>104.10850000000001</v>
      </c>
      <c r="F1002" s="3">
        <v>45946</v>
      </c>
      <c r="G1002">
        <v>101.652</v>
      </c>
      <c r="H1002" s="1">
        <v>46216</v>
      </c>
    </row>
    <row r="1003" spans="1:8" x14ac:dyDescent="0.25">
      <c r="A1003" s="2">
        <v>1001</v>
      </c>
      <c r="B1003" t="s">
        <v>540</v>
      </c>
      <c r="C1003" s="1">
        <v>45855</v>
      </c>
      <c r="D1003" s="3">
        <v>46220</v>
      </c>
      <c r="E1003" s="5">
        <v>103.86620000000001</v>
      </c>
      <c r="F1003" s="3">
        <v>45896</v>
      </c>
      <c r="G1003">
        <v>77.924239999999998</v>
      </c>
      <c r="H1003" s="1">
        <v>46094</v>
      </c>
    </row>
    <row r="1004" spans="1:8" x14ac:dyDescent="0.25">
      <c r="A1004" s="2">
        <v>1002</v>
      </c>
      <c r="B1004" t="s">
        <v>3672</v>
      </c>
      <c r="C1004" s="1">
        <v>45855</v>
      </c>
      <c r="D1004" s="3">
        <v>46220</v>
      </c>
      <c r="E1004" s="5">
        <v>103.60980000000001</v>
      </c>
      <c r="F1004" s="3">
        <v>45869</v>
      </c>
      <c r="G1004">
        <v>101.1048</v>
      </c>
      <c r="H1004" s="1">
        <v>45882</v>
      </c>
    </row>
    <row r="1005" spans="1:8" x14ac:dyDescent="0.25">
      <c r="A1005" s="2">
        <v>1003</v>
      </c>
      <c r="B1005" t="s">
        <v>3420</v>
      </c>
      <c r="C1005" s="1">
        <v>45855</v>
      </c>
      <c r="D1005" s="3">
        <v>46220</v>
      </c>
      <c r="E1005" s="5">
        <v>104.13</v>
      </c>
      <c r="F1005" s="3">
        <v>45894</v>
      </c>
      <c r="G1005">
        <v>102.7517</v>
      </c>
      <c r="H1005" s="1">
        <v>46162</v>
      </c>
    </row>
    <row r="1006" spans="1:8" x14ac:dyDescent="0.25">
      <c r="A1006" s="2">
        <v>1004</v>
      </c>
      <c r="B1006" t="s">
        <v>2289</v>
      </c>
      <c r="C1006" s="1">
        <v>45855</v>
      </c>
      <c r="D1006" s="3">
        <v>46220</v>
      </c>
      <c r="E1006" s="5">
        <v>101.1771</v>
      </c>
      <c r="F1006" s="3">
        <v>45868</v>
      </c>
      <c r="G1006">
        <v>89.89622</v>
      </c>
      <c r="H1006" s="1">
        <v>46157</v>
      </c>
    </row>
    <row r="1007" spans="1:8" x14ac:dyDescent="0.25">
      <c r="A1007" s="2">
        <v>1005</v>
      </c>
      <c r="B1007" t="s">
        <v>657</v>
      </c>
      <c r="C1007" s="1">
        <v>45855</v>
      </c>
      <c r="D1007" s="3">
        <v>46220</v>
      </c>
      <c r="E1007" s="5">
        <v>103.75069999999999</v>
      </c>
      <c r="F1007" s="3">
        <v>45952</v>
      </c>
      <c r="G1007">
        <v>99.804029999999997</v>
      </c>
      <c r="H1007" s="1">
        <v>46220</v>
      </c>
    </row>
    <row r="1008" spans="1:8" x14ac:dyDescent="0.25">
      <c r="A1008" s="2">
        <v>1006</v>
      </c>
      <c r="B1008" t="s">
        <v>2147</v>
      </c>
      <c r="C1008" s="1">
        <v>45855</v>
      </c>
      <c r="D1008" s="3">
        <v>46220</v>
      </c>
      <c r="E1008" s="5">
        <v>104.0809</v>
      </c>
      <c r="F1008" s="3">
        <v>46080</v>
      </c>
      <c r="G1008">
        <v>99.911630000000002</v>
      </c>
      <c r="H1008" s="1">
        <v>46161</v>
      </c>
    </row>
    <row r="1009" spans="1:8" x14ac:dyDescent="0.25">
      <c r="A1009" s="2">
        <v>1007</v>
      </c>
      <c r="B1009" t="s">
        <v>1386</v>
      </c>
      <c r="C1009" s="1">
        <v>45855</v>
      </c>
      <c r="D1009" s="3">
        <v>46220</v>
      </c>
      <c r="E1009" s="5">
        <v>93.139430000000004</v>
      </c>
      <c r="F1009" s="3">
        <v>45902</v>
      </c>
      <c r="G1009">
        <v>71.762410000000003</v>
      </c>
      <c r="H1009" s="1">
        <v>46002</v>
      </c>
    </row>
    <row r="1010" spans="1:8" x14ac:dyDescent="0.25">
      <c r="A1010" s="2">
        <v>1008</v>
      </c>
      <c r="B1010" t="s">
        <v>310</v>
      </c>
      <c r="C1010" s="1">
        <v>45855</v>
      </c>
      <c r="D1010" s="3">
        <v>46220</v>
      </c>
      <c r="E1010" s="5">
        <v>33.021979999999999</v>
      </c>
      <c r="F1010" s="3">
        <v>45856</v>
      </c>
      <c r="G1010">
        <v>5.3079700000000001</v>
      </c>
      <c r="H1010" s="1">
        <v>46021</v>
      </c>
    </row>
    <row r="1011" spans="1:8" x14ac:dyDescent="0.25">
      <c r="A1011" s="2">
        <v>1009</v>
      </c>
      <c r="B1011" t="s">
        <v>481</v>
      </c>
      <c r="C1011" s="1">
        <v>45855</v>
      </c>
      <c r="D1011" s="3">
        <v>46220</v>
      </c>
      <c r="E1011" s="5">
        <v>71.593999999999994</v>
      </c>
      <c r="F1011" s="3">
        <v>45861</v>
      </c>
      <c r="G1011">
        <v>26.695119999999999</v>
      </c>
      <c r="H1011" s="1">
        <v>46101</v>
      </c>
    </row>
    <row r="1012" spans="1:8" x14ac:dyDescent="0.25">
      <c r="A1012" s="2">
        <v>1010</v>
      </c>
      <c r="B1012" t="s">
        <v>921</v>
      </c>
      <c r="C1012" s="1">
        <v>45855</v>
      </c>
      <c r="D1012" s="3">
        <v>46220</v>
      </c>
      <c r="E1012" s="5">
        <v>111.7617</v>
      </c>
      <c r="F1012" s="3">
        <v>45861</v>
      </c>
      <c r="G1012">
        <v>99.920370000000005</v>
      </c>
      <c r="H1012" s="1">
        <v>46073</v>
      </c>
    </row>
    <row r="1013" spans="1:8" x14ac:dyDescent="0.25">
      <c r="A1013" s="2">
        <v>1011</v>
      </c>
      <c r="B1013" t="s">
        <v>1796</v>
      </c>
      <c r="C1013" s="1">
        <v>45855</v>
      </c>
      <c r="D1013" s="3">
        <v>46220</v>
      </c>
      <c r="E1013" s="5">
        <v>75.750140000000002</v>
      </c>
      <c r="F1013" s="3">
        <v>46212</v>
      </c>
      <c r="G1013">
        <v>75.750140000000002</v>
      </c>
      <c r="H1013" s="1">
        <v>46212</v>
      </c>
    </row>
    <row r="1014" spans="1:8" x14ac:dyDescent="0.25">
      <c r="A1014" s="2">
        <v>1012</v>
      </c>
      <c r="B1014" t="s">
        <v>477</v>
      </c>
      <c r="C1014" s="1">
        <v>45855</v>
      </c>
      <c r="D1014" s="3">
        <v>46220</v>
      </c>
      <c r="E1014" s="5">
        <v>61.211489999999998</v>
      </c>
      <c r="F1014" s="3">
        <v>45861</v>
      </c>
      <c r="G1014">
        <v>25.065359999999998</v>
      </c>
      <c r="H1014" s="1">
        <v>46113</v>
      </c>
    </row>
    <row r="1015" spans="1:8" x14ac:dyDescent="0.25">
      <c r="A1015" s="2">
        <v>1013</v>
      </c>
      <c r="B1015" t="s">
        <v>1364</v>
      </c>
      <c r="C1015" s="1">
        <v>45855</v>
      </c>
      <c r="D1015" s="3">
        <v>46220</v>
      </c>
      <c r="E1015" s="5">
        <v>91.296554999999998</v>
      </c>
      <c r="F1015" s="3">
        <v>46220</v>
      </c>
      <c r="G1015">
        <v>86.447370000000006</v>
      </c>
      <c r="H1015" s="1">
        <v>46175</v>
      </c>
    </row>
    <row r="1016" spans="1:8" x14ac:dyDescent="0.25">
      <c r="A1016" s="2">
        <v>1014</v>
      </c>
      <c r="B1016" t="s">
        <v>2572</v>
      </c>
      <c r="C1016" s="1">
        <v>45855</v>
      </c>
      <c r="D1016" s="3">
        <v>46220</v>
      </c>
      <c r="E1016" s="5">
        <v>104.10890000000001</v>
      </c>
      <c r="F1016" s="3">
        <v>45930</v>
      </c>
      <c r="G1016">
        <v>94.093885</v>
      </c>
      <c r="H1016" s="1">
        <v>46220</v>
      </c>
    </row>
    <row r="1017" spans="1:8" x14ac:dyDescent="0.25">
      <c r="A1017" s="2">
        <v>1015</v>
      </c>
      <c r="B1017" t="s">
        <v>655</v>
      </c>
      <c r="C1017" s="1">
        <v>45855</v>
      </c>
      <c r="D1017" s="3">
        <v>46220</v>
      </c>
      <c r="E1017" s="5">
        <v>102.59990000000001</v>
      </c>
      <c r="F1017" s="3">
        <v>45916</v>
      </c>
      <c r="G1017">
        <v>99.237409999999997</v>
      </c>
      <c r="H1017" s="1">
        <v>46217</v>
      </c>
    </row>
    <row r="1018" spans="1:8" x14ac:dyDescent="0.25">
      <c r="A1018" s="2">
        <v>1016</v>
      </c>
      <c r="B1018" t="s">
        <v>653</v>
      </c>
      <c r="C1018" s="1">
        <v>45855</v>
      </c>
      <c r="D1018" s="3">
        <v>46220</v>
      </c>
      <c r="E1018" s="5">
        <v>103.8599</v>
      </c>
      <c r="F1018" s="3">
        <v>45952</v>
      </c>
      <c r="G1018">
        <v>98.870189999999994</v>
      </c>
      <c r="H1018" s="1">
        <v>46104</v>
      </c>
    </row>
    <row r="1019" spans="1:8" x14ac:dyDescent="0.25">
      <c r="A1019" s="2">
        <v>1017</v>
      </c>
      <c r="B1019" t="s">
        <v>651</v>
      </c>
      <c r="C1019" s="1">
        <v>45855</v>
      </c>
      <c r="D1019" s="3">
        <v>46220</v>
      </c>
      <c r="E1019" s="5">
        <v>103.7993</v>
      </c>
      <c r="F1019" s="3">
        <v>45952</v>
      </c>
      <c r="G1019">
        <v>93.242459999999994</v>
      </c>
      <c r="H1019" s="1">
        <v>46104</v>
      </c>
    </row>
    <row r="1020" spans="1:8" x14ac:dyDescent="0.25">
      <c r="A1020" s="2">
        <v>1018</v>
      </c>
      <c r="B1020" t="s">
        <v>649</v>
      </c>
      <c r="C1020" s="1">
        <v>45855</v>
      </c>
      <c r="D1020" s="3">
        <v>46220</v>
      </c>
      <c r="E1020" s="5">
        <v>100.339</v>
      </c>
      <c r="F1020" s="3">
        <v>45946</v>
      </c>
      <c r="G1020">
        <v>96.484030000000004</v>
      </c>
      <c r="H1020" s="1">
        <v>46161</v>
      </c>
    </row>
    <row r="1021" spans="1:8" x14ac:dyDescent="0.25">
      <c r="A1021" s="2">
        <v>1019</v>
      </c>
      <c r="B1021" t="s">
        <v>647</v>
      </c>
      <c r="C1021" s="1">
        <v>45855</v>
      </c>
      <c r="D1021" s="3">
        <v>46220</v>
      </c>
      <c r="E1021" s="5">
        <v>98.408720000000002</v>
      </c>
      <c r="F1021" s="3">
        <v>45946</v>
      </c>
      <c r="G1021">
        <v>94.515370000000004</v>
      </c>
      <c r="H1021" s="1">
        <v>46161</v>
      </c>
    </row>
    <row r="1022" spans="1:8" x14ac:dyDescent="0.25">
      <c r="A1022" s="2">
        <v>1020</v>
      </c>
      <c r="B1022" t="s">
        <v>1204</v>
      </c>
      <c r="C1022" s="1">
        <v>45855</v>
      </c>
      <c r="D1022" s="3">
        <v>46220</v>
      </c>
      <c r="E1022" s="5">
        <v>104.7976</v>
      </c>
      <c r="F1022" s="3">
        <v>45915</v>
      </c>
      <c r="G1022">
        <v>92.65643</v>
      </c>
      <c r="H1022" s="1">
        <v>46211</v>
      </c>
    </row>
    <row r="1023" spans="1:8" x14ac:dyDescent="0.25">
      <c r="A1023" s="2">
        <v>1021</v>
      </c>
      <c r="B1023" t="s">
        <v>37</v>
      </c>
      <c r="C1023" s="1">
        <v>45855</v>
      </c>
      <c r="D1023" s="3">
        <v>46220</v>
      </c>
      <c r="E1023" s="5">
        <v>97.220619999999997</v>
      </c>
      <c r="F1023" s="3">
        <v>45855</v>
      </c>
      <c r="G1023">
        <v>60.078899999999997</v>
      </c>
      <c r="H1023" s="1">
        <v>46196</v>
      </c>
    </row>
    <row r="1024" spans="1:8" x14ac:dyDescent="0.25">
      <c r="A1024" s="2">
        <v>1022</v>
      </c>
      <c r="B1024" t="s">
        <v>1243</v>
      </c>
      <c r="C1024" s="1">
        <v>45855</v>
      </c>
      <c r="D1024" s="3">
        <v>46220</v>
      </c>
      <c r="E1024" s="5">
        <v>89.886600000000001</v>
      </c>
      <c r="F1024" s="3">
        <v>46028</v>
      </c>
      <c r="G1024">
        <v>79.741749999999996</v>
      </c>
      <c r="H1024" s="1">
        <v>46090</v>
      </c>
    </row>
    <row r="1025" spans="1:8" x14ac:dyDescent="0.25">
      <c r="A1025" s="2">
        <v>1023</v>
      </c>
      <c r="B1025" t="s">
        <v>645</v>
      </c>
      <c r="C1025" s="1">
        <v>45855</v>
      </c>
      <c r="D1025" s="3">
        <v>46220</v>
      </c>
      <c r="E1025" s="5">
        <v>102.5658</v>
      </c>
      <c r="F1025" s="3">
        <v>45916</v>
      </c>
      <c r="G1025">
        <v>99.77037</v>
      </c>
      <c r="H1025" s="1">
        <v>46211</v>
      </c>
    </row>
    <row r="1026" spans="1:8" x14ac:dyDescent="0.25">
      <c r="A1026" s="2">
        <v>1024</v>
      </c>
      <c r="B1026" t="s">
        <v>643</v>
      </c>
      <c r="C1026" s="1">
        <v>45855</v>
      </c>
      <c r="D1026" s="3">
        <v>46220</v>
      </c>
      <c r="E1026" s="5">
        <v>104.191</v>
      </c>
      <c r="F1026" s="3">
        <v>45952</v>
      </c>
      <c r="G1026">
        <v>98.756230000000002</v>
      </c>
      <c r="H1026" s="1">
        <v>46219</v>
      </c>
    </row>
    <row r="1027" spans="1:8" x14ac:dyDescent="0.25">
      <c r="A1027" s="2">
        <v>1025</v>
      </c>
      <c r="B1027" t="s">
        <v>641</v>
      </c>
      <c r="C1027" s="1">
        <v>45855</v>
      </c>
      <c r="D1027" s="3">
        <v>46220</v>
      </c>
      <c r="E1027" s="5">
        <v>96.457310000000007</v>
      </c>
      <c r="F1027" s="3">
        <v>45958</v>
      </c>
      <c r="G1027">
        <v>86.718789999999998</v>
      </c>
      <c r="H1027" s="1">
        <v>46105</v>
      </c>
    </row>
    <row r="1028" spans="1:8" x14ac:dyDescent="0.25">
      <c r="A1028" s="2">
        <v>1026</v>
      </c>
      <c r="B1028" t="s">
        <v>3451</v>
      </c>
      <c r="C1028" s="1">
        <v>45855</v>
      </c>
      <c r="D1028" s="3">
        <v>46220</v>
      </c>
      <c r="E1028" s="5">
        <v>99.978549999999998</v>
      </c>
      <c r="F1028" s="3">
        <v>45989</v>
      </c>
      <c r="G1028">
        <v>89.213840000000005</v>
      </c>
      <c r="H1028" s="1">
        <v>46111</v>
      </c>
    </row>
    <row r="1029" spans="1:8" x14ac:dyDescent="0.25">
      <c r="A1029" s="2">
        <v>1027</v>
      </c>
      <c r="B1029" t="s">
        <v>1573</v>
      </c>
      <c r="C1029" s="1">
        <v>45855</v>
      </c>
      <c r="D1029" s="3">
        <v>46220</v>
      </c>
      <c r="E1029" s="5">
        <v>91.516080000000002</v>
      </c>
      <c r="F1029" s="3">
        <v>46171</v>
      </c>
      <c r="G1029">
        <v>79.310289999999995</v>
      </c>
      <c r="H1029" s="1">
        <v>46042</v>
      </c>
    </row>
    <row r="1030" spans="1:8" x14ac:dyDescent="0.25">
      <c r="A1030" s="2">
        <v>1028</v>
      </c>
      <c r="B1030" t="s">
        <v>2531</v>
      </c>
      <c r="C1030" s="1">
        <v>45855</v>
      </c>
      <c r="D1030" s="3">
        <v>46220</v>
      </c>
      <c r="E1030" s="5">
        <v>96.14143</v>
      </c>
      <c r="F1030" s="3">
        <v>45868</v>
      </c>
      <c r="G1030">
        <v>62.889679999999998</v>
      </c>
      <c r="H1030" s="1">
        <v>46202</v>
      </c>
    </row>
    <row r="1031" spans="1:8" x14ac:dyDescent="0.25">
      <c r="A1031" s="2">
        <v>1029</v>
      </c>
      <c r="B1031" t="s">
        <v>1514</v>
      </c>
      <c r="C1031" s="1">
        <v>45855</v>
      </c>
      <c r="D1031" s="3">
        <v>46220</v>
      </c>
      <c r="E1031" s="5">
        <v>100.74169999999999</v>
      </c>
      <c r="F1031" s="3">
        <v>45894</v>
      </c>
      <c r="G1031">
        <v>83.614320000000006</v>
      </c>
      <c r="H1031" s="1">
        <v>46038</v>
      </c>
    </row>
    <row r="1032" spans="1:8" x14ac:dyDescent="0.25">
      <c r="A1032" s="2">
        <v>1030</v>
      </c>
      <c r="B1032" t="s">
        <v>1512</v>
      </c>
      <c r="C1032" s="1">
        <v>45855</v>
      </c>
      <c r="D1032" s="3">
        <v>46220</v>
      </c>
      <c r="E1032" s="5">
        <v>101.221</v>
      </c>
      <c r="F1032" s="3">
        <v>45888</v>
      </c>
      <c r="G1032">
        <v>82.603999999999999</v>
      </c>
      <c r="H1032" s="1">
        <v>46041</v>
      </c>
    </row>
    <row r="1033" spans="1:8" x14ac:dyDescent="0.25">
      <c r="A1033" s="2">
        <v>1031</v>
      </c>
      <c r="B1033" t="s">
        <v>3708</v>
      </c>
      <c r="C1033" s="1">
        <v>45855</v>
      </c>
      <c r="D1033" s="3">
        <v>46220</v>
      </c>
      <c r="E1033" s="5">
        <v>106.9344</v>
      </c>
      <c r="F1033" s="3">
        <v>45915</v>
      </c>
      <c r="G1033">
        <v>99.397080000000003</v>
      </c>
      <c r="H1033" s="1">
        <v>46183</v>
      </c>
    </row>
    <row r="1034" spans="1:8" x14ac:dyDescent="0.25">
      <c r="A1034" s="2">
        <v>1032</v>
      </c>
      <c r="B1034" t="s">
        <v>1712</v>
      </c>
      <c r="C1034" s="1">
        <v>45855</v>
      </c>
      <c r="D1034" s="3">
        <v>46220</v>
      </c>
      <c r="E1034" s="5">
        <v>85.207809999999995</v>
      </c>
      <c r="F1034" s="3">
        <v>45882</v>
      </c>
      <c r="G1034">
        <v>76.036739999999995</v>
      </c>
      <c r="H1034" s="1">
        <v>46185</v>
      </c>
    </row>
    <row r="1035" spans="1:8" x14ac:dyDescent="0.25">
      <c r="A1035" s="2">
        <v>1033</v>
      </c>
      <c r="B1035" t="s">
        <v>3645</v>
      </c>
      <c r="C1035" s="1">
        <v>45855</v>
      </c>
      <c r="D1035" s="3">
        <v>46220</v>
      </c>
      <c r="E1035" s="5">
        <v>102.5415</v>
      </c>
      <c r="F1035" s="3">
        <v>45945</v>
      </c>
      <c r="G1035">
        <v>97.401470000000003</v>
      </c>
      <c r="H1035" s="1">
        <v>45855</v>
      </c>
    </row>
    <row r="1036" spans="1:8" x14ac:dyDescent="0.25">
      <c r="A1036" s="2">
        <v>1034</v>
      </c>
      <c r="B1036" t="s">
        <v>1708</v>
      </c>
      <c r="C1036" s="1">
        <v>45855</v>
      </c>
      <c r="D1036" s="3">
        <v>46220</v>
      </c>
      <c r="E1036" s="5">
        <v>38.563459999999999</v>
      </c>
      <c r="F1036" s="3">
        <v>46001</v>
      </c>
      <c r="G1036">
        <v>18.85849</v>
      </c>
      <c r="H1036" s="1">
        <v>46218</v>
      </c>
    </row>
    <row r="1037" spans="1:8" x14ac:dyDescent="0.25">
      <c r="A1037" s="2">
        <v>1035</v>
      </c>
      <c r="B1037" t="s">
        <v>3189</v>
      </c>
      <c r="C1037" s="1">
        <v>45855</v>
      </c>
      <c r="D1037" s="3">
        <v>46220</v>
      </c>
      <c r="E1037" s="5">
        <v>108.8627</v>
      </c>
      <c r="F1037" s="3">
        <v>45866</v>
      </c>
      <c r="G1037">
        <v>99.65746</v>
      </c>
      <c r="H1037" s="1">
        <v>46195</v>
      </c>
    </row>
    <row r="1038" spans="1:8" x14ac:dyDescent="0.25">
      <c r="A1038" s="2">
        <v>1036</v>
      </c>
      <c r="B1038" t="s">
        <v>535</v>
      </c>
      <c r="C1038" s="1">
        <v>45855</v>
      </c>
      <c r="D1038" s="3">
        <v>46220</v>
      </c>
      <c r="E1038" s="5">
        <v>105.8691</v>
      </c>
      <c r="F1038" s="3">
        <v>45859</v>
      </c>
      <c r="G1038">
        <v>82.188320000000004</v>
      </c>
      <c r="H1038" s="1">
        <v>46094</v>
      </c>
    </row>
    <row r="1039" spans="1:8" x14ac:dyDescent="0.25">
      <c r="A1039" s="2">
        <v>1037</v>
      </c>
      <c r="B1039" t="s">
        <v>2596</v>
      </c>
      <c r="C1039" s="1">
        <v>45855</v>
      </c>
      <c r="D1039" s="3">
        <v>46220</v>
      </c>
      <c r="E1039" s="5">
        <v>84.677800000000005</v>
      </c>
      <c r="F1039" s="3">
        <v>45855</v>
      </c>
      <c r="G1039">
        <v>52</v>
      </c>
      <c r="H1039" s="1">
        <v>46073</v>
      </c>
    </row>
    <row r="1040" spans="1:8" x14ac:dyDescent="0.25">
      <c r="A1040" s="2">
        <v>1038</v>
      </c>
      <c r="B1040" t="s">
        <v>3747</v>
      </c>
      <c r="C1040" s="1">
        <v>45855</v>
      </c>
      <c r="D1040" s="3">
        <v>46220</v>
      </c>
      <c r="E1040" s="5">
        <v>109.2621</v>
      </c>
      <c r="F1040" s="3">
        <v>46022</v>
      </c>
      <c r="G1040">
        <v>104.0792</v>
      </c>
      <c r="H1040" s="1">
        <v>45877</v>
      </c>
    </row>
    <row r="1041" spans="1:8" x14ac:dyDescent="0.25">
      <c r="A1041" s="2">
        <v>1039</v>
      </c>
      <c r="B1041" t="s">
        <v>1039</v>
      </c>
      <c r="C1041" s="1">
        <v>45855</v>
      </c>
      <c r="D1041" s="3">
        <v>46220</v>
      </c>
      <c r="E1041" s="5">
        <v>101.6078</v>
      </c>
      <c r="F1041" s="3">
        <v>45867</v>
      </c>
      <c r="G1041">
        <v>96.883780000000002</v>
      </c>
      <c r="H1041" s="1">
        <v>46101</v>
      </c>
    </row>
    <row r="1042" spans="1:8" x14ac:dyDescent="0.25">
      <c r="A1042" s="2">
        <v>1040</v>
      </c>
      <c r="B1042" t="s">
        <v>1273</v>
      </c>
      <c r="C1042" s="1">
        <v>45855</v>
      </c>
      <c r="D1042" s="3">
        <v>46220</v>
      </c>
      <c r="E1042" s="5">
        <v>107.1016</v>
      </c>
      <c r="F1042" s="3">
        <v>45911</v>
      </c>
      <c r="G1042">
        <v>88.788719999999998</v>
      </c>
      <c r="H1042" s="1">
        <v>46161</v>
      </c>
    </row>
    <row r="1043" spans="1:8" x14ac:dyDescent="0.25">
      <c r="A1043" s="2">
        <v>1041</v>
      </c>
      <c r="B1043" t="s">
        <v>2543</v>
      </c>
      <c r="C1043" s="1">
        <v>45855</v>
      </c>
      <c r="D1043" s="3">
        <v>46220</v>
      </c>
      <c r="E1043" s="5">
        <v>92.878159999999994</v>
      </c>
      <c r="F1043" s="3">
        <v>46191</v>
      </c>
      <c r="G1043">
        <v>67.787859999999995</v>
      </c>
      <c r="H1043" s="1">
        <v>46002</v>
      </c>
    </row>
    <row r="1044" spans="1:8" x14ac:dyDescent="0.25">
      <c r="A1044" s="2">
        <v>1042</v>
      </c>
      <c r="B1044" t="s">
        <v>566</v>
      </c>
      <c r="C1044" s="1">
        <v>45855</v>
      </c>
      <c r="D1044" s="3">
        <v>46220</v>
      </c>
      <c r="E1044" s="5">
        <v>102.3954</v>
      </c>
      <c r="F1044" s="3">
        <v>46209</v>
      </c>
      <c r="G1044">
        <v>50.861789999999999</v>
      </c>
      <c r="H1044" s="1">
        <v>46044</v>
      </c>
    </row>
    <row r="1045" spans="1:8" x14ac:dyDescent="0.25">
      <c r="A1045" s="2">
        <v>1043</v>
      </c>
      <c r="B1045" t="s">
        <v>635</v>
      </c>
      <c r="C1045" s="1">
        <v>45855</v>
      </c>
      <c r="D1045" s="3">
        <v>46220</v>
      </c>
      <c r="E1045" s="5">
        <v>111.3223</v>
      </c>
      <c r="F1045" s="3">
        <v>45952</v>
      </c>
      <c r="G1045">
        <v>105.7568</v>
      </c>
      <c r="H1045" s="1">
        <v>46108</v>
      </c>
    </row>
    <row r="1046" spans="1:8" x14ac:dyDescent="0.25">
      <c r="A1046" s="2">
        <v>1044</v>
      </c>
      <c r="B1046" t="s">
        <v>633</v>
      </c>
      <c r="C1046" s="1">
        <v>45855</v>
      </c>
      <c r="D1046" s="3">
        <v>46220</v>
      </c>
      <c r="E1046" s="5">
        <v>105.372</v>
      </c>
      <c r="F1046" s="3">
        <v>45952</v>
      </c>
      <c r="G1046">
        <v>102.1434</v>
      </c>
      <c r="H1046" s="1">
        <v>46216</v>
      </c>
    </row>
    <row r="1047" spans="1:8" x14ac:dyDescent="0.25">
      <c r="A1047" s="2">
        <v>1045</v>
      </c>
      <c r="B1047" t="s">
        <v>1510</v>
      </c>
      <c r="C1047" s="1">
        <v>45855</v>
      </c>
      <c r="D1047" s="3">
        <v>46220</v>
      </c>
      <c r="E1047" s="5">
        <v>101.90219999999999</v>
      </c>
      <c r="F1047" s="3">
        <v>45869</v>
      </c>
      <c r="G1047">
        <v>65.537909999999997</v>
      </c>
      <c r="H1047" s="1">
        <v>46024</v>
      </c>
    </row>
    <row r="1048" spans="1:8" x14ac:dyDescent="0.25">
      <c r="A1048" s="2">
        <v>1046</v>
      </c>
      <c r="B1048" t="s">
        <v>1508</v>
      </c>
      <c r="C1048" s="1">
        <v>45855</v>
      </c>
      <c r="D1048" s="3">
        <v>46220</v>
      </c>
      <c r="E1048" s="5">
        <v>101.67100000000001</v>
      </c>
      <c r="F1048" s="3">
        <v>45868</v>
      </c>
      <c r="G1048">
        <v>71.869</v>
      </c>
      <c r="H1048" s="1">
        <v>46041</v>
      </c>
    </row>
    <row r="1049" spans="1:8" x14ac:dyDescent="0.25">
      <c r="A1049" s="2">
        <v>1047</v>
      </c>
      <c r="B1049" t="s">
        <v>2145</v>
      </c>
      <c r="C1049" s="1">
        <v>45855</v>
      </c>
      <c r="D1049" s="3">
        <v>46220</v>
      </c>
      <c r="E1049" s="5">
        <v>108.84050000000001</v>
      </c>
      <c r="F1049" s="3">
        <v>46080</v>
      </c>
      <c r="G1049">
        <v>102.7345</v>
      </c>
      <c r="H1049" s="1">
        <v>45866</v>
      </c>
    </row>
    <row r="1050" spans="1:8" x14ac:dyDescent="0.25">
      <c r="A1050" s="2">
        <v>1048</v>
      </c>
      <c r="B1050" t="s">
        <v>3807</v>
      </c>
      <c r="C1050" s="1">
        <v>45855</v>
      </c>
      <c r="D1050" s="3">
        <v>46220</v>
      </c>
      <c r="E1050" s="5">
        <v>108.81529999999999</v>
      </c>
      <c r="F1050" s="3">
        <v>45915</v>
      </c>
      <c r="G1050">
        <v>104.8865</v>
      </c>
      <c r="H1050" s="1">
        <v>46217</v>
      </c>
    </row>
    <row r="1051" spans="1:8" x14ac:dyDescent="0.25">
      <c r="A1051" s="2">
        <v>1049</v>
      </c>
      <c r="B1051" t="s">
        <v>2143</v>
      </c>
      <c r="C1051" s="1">
        <v>45855</v>
      </c>
      <c r="D1051" s="3">
        <v>46220</v>
      </c>
      <c r="E1051" s="5">
        <v>121.84480000000001</v>
      </c>
      <c r="F1051" s="3">
        <v>46199</v>
      </c>
      <c r="G1051">
        <v>107.9316</v>
      </c>
      <c r="H1051" s="1">
        <v>45855</v>
      </c>
    </row>
    <row r="1052" spans="1:8" x14ac:dyDescent="0.25">
      <c r="A1052" s="2">
        <v>1050</v>
      </c>
      <c r="B1052" t="s">
        <v>97</v>
      </c>
      <c r="C1052" s="1">
        <v>45855</v>
      </c>
      <c r="D1052" s="3">
        <v>46220</v>
      </c>
      <c r="E1052" s="5">
        <v>90.592169999999996</v>
      </c>
      <c r="F1052" s="3">
        <v>45912</v>
      </c>
      <c r="G1052">
        <v>45.537419999999997</v>
      </c>
      <c r="H1052" s="1">
        <v>46147</v>
      </c>
    </row>
    <row r="1053" spans="1:8" x14ac:dyDescent="0.25">
      <c r="A1053" s="2">
        <v>1051</v>
      </c>
      <c r="B1053" t="s">
        <v>2141</v>
      </c>
      <c r="C1053" s="1">
        <v>45855</v>
      </c>
      <c r="D1053" s="3">
        <v>46220</v>
      </c>
      <c r="E1053" s="5">
        <v>101.0008</v>
      </c>
      <c r="F1053" s="3">
        <v>45905</v>
      </c>
      <c r="G1053">
        <v>100.02549999999999</v>
      </c>
      <c r="H1053" s="1">
        <v>46220</v>
      </c>
    </row>
    <row r="1054" spans="1:8" x14ac:dyDescent="0.25">
      <c r="A1054" s="2">
        <v>1052</v>
      </c>
      <c r="B1054" t="s">
        <v>631</v>
      </c>
      <c r="C1054" s="1">
        <v>45855</v>
      </c>
      <c r="D1054" s="3">
        <v>46220</v>
      </c>
      <c r="E1054" s="5">
        <v>98.941029999999998</v>
      </c>
      <c r="F1054" s="3">
        <v>45943</v>
      </c>
      <c r="G1054">
        <v>96.270920000000004</v>
      </c>
      <c r="H1054" s="1">
        <v>46161</v>
      </c>
    </row>
    <row r="1055" spans="1:8" x14ac:dyDescent="0.25">
      <c r="A1055" s="2">
        <v>1053</v>
      </c>
      <c r="B1055" t="s">
        <v>629</v>
      </c>
      <c r="C1055" s="1">
        <v>45855</v>
      </c>
      <c r="D1055" s="3">
        <v>46220</v>
      </c>
      <c r="E1055" s="5">
        <v>98.669499999999999</v>
      </c>
      <c r="F1055" s="3">
        <v>45946</v>
      </c>
      <c r="G1055">
        <v>95.630520000000004</v>
      </c>
      <c r="H1055" s="1">
        <v>46161</v>
      </c>
    </row>
    <row r="1056" spans="1:8" x14ac:dyDescent="0.25">
      <c r="A1056" s="2">
        <v>1054</v>
      </c>
      <c r="B1056" t="s">
        <v>627</v>
      </c>
      <c r="C1056" s="1">
        <v>45855</v>
      </c>
      <c r="D1056" s="3">
        <v>46220</v>
      </c>
      <c r="E1056" s="5">
        <v>98.235209999999995</v>
      </c>
      <c r="F1056" s="3">
        <v>45946</v>
      </c>
      <c r="G1056">
        <v>94.864379999999997</v>
      </c>
      <c r="H1056" s="1">
        <v>46161</v>
      </c>
    </row>
    <row r="1057" spans="1:8" x14ac:dyDescent="0.25">
      <c r="A1057" s="2">
        <v>1055</v>
      </c>
      <c r="B1057" t="s">
        <v>625</v>
      </c>
      <c r="C1057" s="1">
        <v>45855</v>
      </c>
      <c r="D1057" s="3">
        <v>46220</v>
      </c>
      <c r="E1057" s="5">
        <v>95.288659999999993</v>
      </c>
      <c r="F1057" s="3">
        <v>45911</v>
      </c>
      <c r="G1057">
        <v>91.176339999999996</v>
      </c>
      <c r="H1057" s="1">
        <v>46162</v>
      </c>
    </row>
    <row r="1058" spans="1:8" x14ac:dyDescent="0.25">
      <c r="A1058" s="2">
        <v>1056</v>
      </c>
      <c r="B1058" t="s">
        <v>2448</v>
      </c>
      <c r="C1058" s="1">
        <v>45855</v>
      </c>
      <c r="D1058" s="3">
        <v>46220</v>
      </c>
      <c r="E1058" s="5">
        <v>84.69426</v>
      </c>
      <c r="F1058" s="3">
        <v>45855</v>
      </c>
      <c r="G1058">
        <v>34.468069999999997</v>
      </c>
      <c r="H1058" s="1">
        <v>45940</v>
      </c>
    </row>
    <row r="1059" spans="1:8" x14ac:dyDescent="0.25">
      <c r="A1059" s="2">
        <v>1057</v>
      </c>
      <c r="B1059" t="s">
        <v>137</v>
      </c>
      <c r="C1059" s="1">
        <v>45855</v>
      </c>
      <c r="D1059" s="3">
        <v>46220</v>
      </c>
      <c r="E1059" s="5">
        <v>104.5898</v>
      </c>
      <c r="F1059" s="3">
        <v>45891</v>
      </c>
      <c r="G1059">
        <v>102.4953</v>
      </c>
      <c r="H1059" s="1">
        <v>45945</v>
      </c>
    </row>
    <row r="1060" spans="1:8" x14ac:dyDescent="0.25">
      <c r="A1060" s="2">
        <v>1058</v>
      </c>
      <c r="B1060" t="s">
        <v>2580</v>
      </c>
      <c r="C1060" s="1">
        <v>45855</v>
      </c>
      <c r="D1060" s="3">
        <v>46220</v>
      </c>
      <c r="E1060" s="5">
        <v>100.31870000000001</v>
      </c>
      <c r="F1060" s="3">
        <v>46205</v>
      </c>
      <c r="G1060">
        <v>93.065820000000002</v>
      </c>
      <c r="H1060" s="1">
        <v>45873</v>
      </c>
    </row>
    <row r="1061" spans="1:8" x14ac:dyDescent="0.25">
      <c r="A1061" s="2">
        <v>1059</v>
      </c>
      <c r="B1061" t="s">
        <v>2139</v>
      </c>
      <c r="C1061" s="1">
        <v>45855</v>
      </c>
      <c r="D1061" s="3">
        <v>46220</v>
      </c>
      <c r="E1061" s="5">
        <v>103.6645</v>
      </c>
      <c r="F1061" s="3">
        <v>45946</v>
      </c>
      <c r="G1061">
        <v>101.11879999999999</v>
      </c>
      <c r="H1061" s="1">
        <v>46216</v>
      </c>
    </row>
    <row r="1062" spans="1:8" x14ac:dyDescent="0.25">
      <c r="A1062" s="2">
        <v>1060</v>
      </c>
      <c r="B1062" t="s">
        <v>2076</v>
      </c>
      <c r="C1062" s="1">
        <v>45855</v>
      </c>
      <c r="D1062" s="3">
        <v>46220</v>
      </c>
      <c r="E1062" s="5">
        <v>101.2606</v>
      </c>
      <c r="F1062" s="3">
        <v>45867</v>
      </c>
      <c r="G1062">
        <v>41.1571</v>
      </c>
      <c r="H1062" s="1">
        <v>46122</v>
      </c>
    </row>
    <row r="1063" spans="1:8" x14ac:dyDescent="0.25">
      <c r="A1063" s="2">
        <v>1061</v>
      </c>
      <c r="B1063" t="s">
        <v>2136</v>
      </c>
      <c r="C1063" s="1">
        <v>45855</v>
      </c>
      <c r="D1063" s="3">
        <v>46220</v>
      </c>
      <c r="E1063" s="5">
        <v>104.2861</v>
      </c>
      <c r="F1063" s="3">
        <v>45967</v>
      </c>
      <c r="G1063">
        <v>98.180925000000002</v>
      </c>
      <c r="H1063" s="1">
        <v>46220</v>
      </c>
    </row>
    <row r="1064" spans="1:8" x14ac:dyDescent="0.25">
      <c r="A1064" s="2">
        <v>1062</v>
      </c>
      <c r="B1064" t="s">
        <v>2134</v>
      </c>
      <c r="C1064" s="1">
        <v>45855</v>
      </c>
      <c r="D1064" s="3">
        <v>46220</v>
      </c>
      <c r="E1064" s="5">
        <v>102.79179999999999</v>
      </c>
      <c r="F1064" s="3">
        <v>45973</v>
      </c>
      <c r="G1064">
        <v>90.572810000000004</v>
      </c>
      <c r="H1064" s="1">
        <v>45866</v>
      </c>
    </row>
    <row r="1065" spans="1:8" x14ac:dyDescent="0.25">
      <c r="A1065" s="2">
        <v>1063</v>
      </c>
      <c r="B1065" t="s">
        <v>1291</v>
      </c>
      <c r="C1065" s="1">
        <v>45855</v>
      </c>
      <c r="D1065" s="3">
        <v>46220</v>
      </c>
      <c r="E1065" s="5">
        <v>106.7328</v>
      </c>
      <c r="F1065" s="3">
        <v>45917</v>
      </c>
      <c r="G1065">
        <v>86.416970000000006</v>
      </c>
      <c r="H1065" s="1">
        <v>46108</v>
      </c>
    </row>
    <row r="1066" spans="1:8" x14ac:dyDescent="0.25">
      <c r="A1066" s="2">
        <v>1064</v>
      </c>
      <c r="B1066" t="s">
        <v>428</v>
      </c>
      <c r="C1066" s="1">
        <v>45855</v>
      </c>
      <c r="D1066" s="3">
        <v>46220</v>
      </c>
      <c r="E1066" s="5">
        <v>99.915049999999994</v>
      </c>
      <c r="F1066" s="3">
        <v>45931</v>
      </c>
      <c r="G1066">
        <v>81.416560000000004</v>
      </c>
      <c r="H1066" s="1">
        <v>46204</v>
      </c>
    </row>
    <row r="1067" spans="1:8" x14ac:dyDescent="0.25">
      <c r="A1067" s="2">
        <v>1065</v>
      </c>
      <c r="B1067" t="s">
        <v>228</v>
      </c>
      <c r="C1067" s="1">
        <v>45855</v>
      </c>
      <c r="D1067" s="3">
        <v>46220</v>
      </c>
      <c r="E1067" s="5">
        <v>104.3779</v>
      </c>
      <c r="F1067" s="3">
        <v>45898</v>
      </c>
      <c r="G1067">
        <v>94.911010000000005</v>
      </c>
      <c r="H1067" s="1">
        <v>46108</v>
      </c>
    </row>
    <row r="1068" spans="1:8" x14ac:dyDescent="0.25">
      <c r="A1068" s="2">
        <v>1066</v>
      </c>
      <c r="B1068" t="s">
        <v>3865</v>
      </c>
      <c r="C1068" s="1">
        <v>45855</v>
      </c>
      <c r="D1068" s="3">
        <v>46220</v>
      </c>
      <c r="E1068" s="5">
        <v>124.34269999999999</v>
      </c>
      <c r="F1068" s="3">
        <v>45855</v>
      </c>
      <c r="G1068">
        <v>88.983559999999997</v>
      </c>
      <c r="H1068" s="1">
        <v>45904</v>
      </c>
    </row>
    <row r="1069" spans="1:8" x14ac:dyDescent="0.25">
      <c r="A1069" s="2">
        <v>1067</v>
      </c>
      <c r="B1069" t="s">
        <v>44</v>
      </c>
      <c r="C1069" s="1">
        <v>45855</v>
      </c>
      <c r="D1069" s="3">
        <v>46220</v>
      </c>
      <c r="E1069" s="5">
        <v>101.0187</v>
      </c>
      <c r="F1069" s="3">
        <v>45855</v>
      </c>
      <c r="G1069">
        <v>62.459694999999897</v>
      </c>
      <c r="H1069" s="1">
        <v>46220</v>
      </c>
    </row>
    <row r="1070" spans="1:8" x14ac:dyDescent="0.25">
      <c r="A1070" s="2">
        <v>1068</v>
      </c>
      <c r="B1070" t="s">
        <v>623</v>
      </c>
      <c r="C1070" s="1">
        <v>45855</v>
      </c>
      <c r="D1070" s="3">
        <v>46220</v>
      </c>
      <c r="E1070" s="5">
        <v>100.70359999999999</v>
      </c>
      <c r="F1070" s="3">
        <v>45952</v>
      </c>
      <c r="G1070">
        <v>98.351500000000001</v>
      </c>
      <c r="H1070" s="1">
        <v>46105</v>
      </c>
    </row>
    <row r="1071" spans="1:8" x14ac:dyDescent="0.25">
      <c r="A1071" s="2">
        <v>1069</v>
      </c>
      <c r="B1071" t="s">
        <v>621</v>
      </c>
      <c r="C1071" s="1">
        <v>45855</v>
      </c>
      <c r="D1071" s="3">
        <v>46220</v>
      </c>
      <c r="E1071" s="5">
        <v>100.4425</v>
      </c>
      <c r="F1071" s="3">
        <v>45952</v>
      </c>
      <c r="G1071">
        <v>96.331699999999998</v>
      </c>
      <c r="H1071" s="1">
        <v>46104</v>
      </c>
    </row>
    <row r="1072" spans="1:8" x14ac:dyDescent="0.25">
      <c r="A1072" s="2">
        <v>1070</v>
      </c>
      <c r="B1072" t="s">
        <v>2564</v>
      </c>
      <c r="C1072" s="1">
        <v>45855</v>
      </c>
      <c r="D1072" s="3">
        <v>46220</v>
      </c>
      <c r="E1072" s="5">
        <v>92.624170000000007</v>
      </c>
      <c r="F1072" s="3">
        <v>45863</v>
      </c>
      <c r="G1072">
        <v>55.980800000000002</v>
      </c>
      <c r="H1072" s="1">
        <v>46064</v>
      </c>
    </row>
    <row r="1073" spans="1:8" x14ac:dyDescent="0.25">
      <c r="A1073" s="2">
        <v>1071</v>
      </c>
      <c r="B1073" t="s">
        <v>2335</v>
      </c>
      <c r="C1073" s="1">
        <v>45855</v>
      </c>
      <c r="D1073" s="3">
        <v>46220</v>
      </c>
      <c r="E1073" s="5">
        <v>101.92570000000001</v>
      </c>
      <c r="F1073" s="3">
        <v>45916</v>
      </c>
      <c r="G1073">
        <v>84.612200000000001</v>
      </c>
      <c r="H1073" s="1">
        <v>46154</v>
      </c>
    </row>
    <row r="1074" spans="1:8" x14ac:dyDescent="0.25">
      <c r="A1074" s="2">
        <v>1072</v>
      </c>
      <c r="B1074" t="s">
        <v>2333</v>
      </c>
      <c r="C1074" s="1">
        <v>45855</v>
      </c>
      <c r="D1074" s="3">
        <v>46220</v>
      </c>
      <c r="E1074" s="5">
        <v>101.01049999999999</v>
      </c>
      <c r="F1074" s="3">
        <v>45916</v>
      </c>
      <c r="G1074">
        <v>69.581149999999994</v>
      </c>
      <c r="H1074" s="1">
        <v>46101</v>
      </c>
    </row>
    <row r="1075" spans="1:8" x14ac:dyDescent="0.25">
      <c r="A1075" s="2">
        <v>1073</v>
      </c>
      <c r="B1075" t="s">
        <v>1241</v>
      </c>
      <c r="C1075" s="1">
        <v>45855</v>
      </c>
      <c r="D1075" s="3">
        <v>46220</v>
      </c>
      <c r="E1075" s="5">
        <v>94.866</v>
      </c>
      <c r="F1075" s="3">
        <v>45868</v>
      </c>
      <c r="G1075">
        <v>83.775000000000006</v>
      </c>
      <c r="H1075" s="1">
        <v>46090</v>
      </c>
    </row>
    <row r="1076" spans="1:8" x14ac:dyDescent="0.25">
      <c r="A1076" s="2">
        <v>1074</v>
      </c>
      <c r="B1076" t="s">
        <v>3416</v>
      </c>
      <c r="C1076" s="1">
        <v>45855</v>
      </c>
      <c r="D1076" s="3">
        <v>46220</v>
      </c>
      <c r="E1076" s="5">
        <v>107.39870000000001</v>
      </c>
      <c r="F1076" s="3">
        <v>46076</v>
      </c>
      <c r="G1076">
        <v>103.5934</v>
      </c>
      <c r="H1076" s="1">
        <v>46161</v>
      </c>
    </row>
    <row r="1077" spans="1:8" x14ac:dyDescent="0.25">
      <c r="A1077" s="2">
        <v>1075</v>
      </c>
      <c r="B1077" t="s">
        <v>2132</v>
      </c>
      <c r="C1077" s="1">
        <v>45855</v>
      </c>
      <c r="D1077" s="3">
        <v>46220</v>
      </c>
      <c r="E1077" s="5">
        <v>103.0351</v>
      </c>
      <c r="F1077" s="3">
        <v>45916</v>
      </c>
      <c r="G1077">
        <v>100.9894</v>
      </c>
      <c r="H1077" s="1">
        <v>46216</v>
      </c>
    </row>
    <row r="1078" spans="1:8" x14ac:dyDescent="0.25">
      <c r="A1078" s="2">
        <v>1076</v>
      </c>
      <c r="B1078" t="s">
        <v>2130</v>
      </c>
      <c r="C1078" s="1">
        <v>45855</v>
      </c>
      <c r="D1078" s="3">
        <v>46220</v>
      </c>
      <c r="E1078" s="5">
        <v>105.2788</v>
      </c>
      <c r="F1078" s="3">
        <v>46080</v>
      </c>
      <c r="G1078">
        <v>100.7529</v>
      </c>
      <c r="H1078" s="1">
        <v>46216</v>
      </c>
    </row>
    <row r="1079" spans="1:8" x14ac:dyDescent="0.25">
      <c r="A1079" s="2">
        <v>1077</v>
      </c>
      <c r="B1079" t="s">
        <v>2128</v>
      </c>
      <c r="C1079" s="1">
        <v>45855</v>
      </c>
      <c r="D1079" s="3">
        <v>46220</v>
      </c>
      <c r="E1079" s="5">
        <v>102.9332</v>
      </c>
      <c r="F1079" s="3">
        <v>45958</v>
      </c>
      <c r="G1079">
        <v>99.212850000000003</v>
      </c>
      <c r="H1079" s="1">
        <v>46216</v>
      </c>
    </row>
    <row r="1080" spans="1:8" x14ac:dyDescent="0.25">
      <c r="A1080" s="2">
        <v>1078</v>
      </c>
      <c r="B1080" t="s">
        <v>2126</v>
      </c>
      <c r="C1080" s="1">
        <v>45855</v>
      </c>
      <c r="D1080" s="3">
        <v>46220</v>
      </c>
      <c r="E1080" s="5">
        <v>100.9268</v>
      </c>
      <c r="F1080" s="3">
        <v>45958</v>
      </c>
      <c r="G1080">
        <v>91.881010000000003</v>
      </c>
      <c r="H1080" s="1">
        <v>46161</v>
      </c>
    </row>
    <row r="1081" spans="1:8" x14ac:dyDescent="0.25">
      <c r="A1081" s="2">
        <v>1079</v>
      </c>
      <c r="B1081" t="s">
        <v>502</v>
      </c>
      <c r="C1081" s="1">
        <v>45855</v>
      </c>
      <c r="D1081" s="3">
        <v>46220</v>
      </c>
      <c r="E1081" s="5">
        <v>93.149420000000006</v>
      </c>
      <c r="F1081" s="3">
        <v>45867</v>
      </c>
      <c r="G1081">
        <v>44.451340000000002</v>
      </c>
      <c r="H1081" s="1">
        <v>46052</v>
      </c>
    </row>
    <row r="1082" spans="1:8" x14ac:dyDescent="0.25">
      <c r="A1082" s="2">
        <v>1080</v>
      </c>
      <c r="B1082" t="s">
        <v>617</v>
      </c>
      <c r="C1082" s="1">
        <v>45855</v>
      </c>
      <c r="D1082" s="3">
        <v>46220</v>
      </c>
      <c r="E1082" s="5">
        <v>101.62820000000001</v>
      </c>
      <c r="F1082" s="3">
        <v>45953</v>
      </c>
      <c r="G1082">
        <v>99.828159999999997</v>
      </c>
      <c r="H1082" s="1">
        <v>46104</v>
      </c>
    </row>
    <row r="1083" spans="1:8" x14ac:dyDescent="0.25">
      <c r="A1083" s="2">
        <v>1081</v>
      </c>
      <c r="B1083" t="s">
        <v>615</v>
      </c>
      <c r="C1083" s="1">
        <v>45855</v>
      </c>
      <c r="D1083" s="3">
        <v>46220</v>
      </c>
      <c r="E1083" s="5">
        <v>102.88500000000001</v>
      </c>
      <c r="F1083" s="3">
        <v>45952</v>
      </c>
      <c r="G1083">
        <v>98.284649999999999</v>
      </c>
      <c r="H1083" s="1">
        <v>46217</v>
      </c>
    </row>
    <row r="1084" spans="1:8" x14ac:dyDescent="0.25">
      <c r="A1084" s="2">
        <v>1082</v>
      </c>
      <c r="B1084" t="s">
        <v>613</v>
      </c>
      <c r="C1084" s="1">
        <v>45855</v>
      </c>
      <c r="D1084" s="3">
        <v>46220</v>
      </c>
      <c r="E1084" s="5">
        <v>93.426190000000005</v>
      </c>
      <c r="F1084" s="3">
        <v>45952</v>
      </c>
      <c r="G1084">
        <v>83.597930000000005</v>
      </c>
      <c r="H1084" s="1">
        <v>46101</v>
      </c>
    </row>
    <row r="1085" spans="1:8" x14ac:dyDescent="0.25">
      <c r="A1085" s="2">
        <v>1083</v>
      </c>
      <c r="B1085" t="s">
        <v>611</v>
      </c>
      <c r="C1085" s="1">
        <v>45855</v>
      </c>
      <c r="D1085" s="3">
        <v>46220</v>
      </c>
      <c r="E1085" s="5">
        <v>102.1374</v>
      </c>
      <c r="F1085" s="3">
        <v>45952</v>
      </c>
      <c r="G1085">
        <v>98.601010000000002</v>
      </c>
      <c r="H1085" s="1">
        <v>46105</v>
      </c>
    </row>
    <row r="1086" spans="1:8" x14ac:dyDescent="0.25">
      <c r="A1086" s="2">
        <v>1084</v>
      </c>
      <c r="B1086" t="s">
        <v>609</v>
      </c>
      <c r="C1086" s="1">
        <v>45855</v>
      </c>
      <c r="D1086" s="3">
        <v>46220</v>
      </c>
      <c r="E1086" s="5">
        <v>100.98650000000001</v>
      </c>
      <c r="F1086" s="3">
        <v>45952</v>
      </c>
      <c r="G1086">
        <v>95.885769999999994</v>
      </c>
      <c r="H1086" s="1">
        <v>46108</v>
      </c>
    </row>
    <row r="1087" spans="1:8" x14ac:dyDescent="0.25">
      <c r="A1087" s="2">
        <v>1085</v>
      </c>
      <c r="B1087" t="s">
        <v>607</v>
      </c>
      <c r="C1087" s="1">
        <v>45855</v>
      </c>
      <c r="D1087" s="3">
        <v>46220</v>
      </c>
      <c r="E1087" s="5">
        <v>93.049509999999998</v>
      </c>
      <c r="F1087" s="3">
        <v>45952</v>
      </c>
      <c r="G1087">
        <v>83.807500000000005</v>
      </c>
      <c r="H1087" s="1">
        <v>46104</v>
      </c>
    </row>
    <row r="1088" spans="1:8" x14ac:dyDescent="0.25">
      <c r="A1088" s="2">
        <v>1086</v>
      </c>
      <c r="B1088" t="s">
        <v>1506</v>
      </c>
      <c r="C1088" s="1">
        <v>45855</v>
      </c>
      <c r="D1088" s="3">
        <v>46220</v>
      </c>
      <c r="E1088" s="5">
        <v>102.971</v>
      </c>
      <c r="F1088" s="3">
        <v>45884</v>
      </c>
      <c r="G1088">
        <v>89.28</v>
      </c>
      <c r="H1088" s="1">
        <v>46041</v>
      </c>
    </row>
    <row r="1089" spans="1:8" x14ac:dyDescent="0.25">
      <c r="A1089" s="2">
        <v>1087</v>
      </c>
      <c r="B1089" t="s">
        <v>3727</v>
      </c>
      <c r="C1089" s="1">
        <v>45855</v>
      </c>
      <c r="D1089" s="3">
        <v>46220</v>
      </c>
      <c r="E1089" s="5">
        <v>101.04770000000001</v>
      </c>
      <c r="F1089" s="3">
        <v>45917</v>
      </c>
      <c r="G1089">
        <v>93.075969999999998</v>
      </c>
      <c r="H1089" s="1">
        <v>45979</v>
      </c>
    </row>
    <row r="1090" spans="1:8" x14ac:dyDescent="0.25">
      <c r="A1090" s="2">
        <v>1088</v>
      </c>
      <c r="B1090" t="s">
        <v>2446</v>
      </c>
      <c r="C1090" s="1">
        <v>45855</v>
      </c>
      <c r="D1090" s="3">
        <v>46220</v>
      </c>
      <c r="E1090" s="5">
        <v>75.511309999999995</v>
      </c>
      <c r="F1090" s="3">
        <v>45855</v>
      </c>
      <c r="G1090">
        <v>32.66957</v>
      </c>
      <c r="H1090" s="1">
        <v>45940</v>
      </c>
    </row>
    <row r="1091" spans="1:8" x14ac:dyDescent="0.25">
      <c r="A1091" s="2">
        <v>1089</v>
      </c>
      <c r="B1091" t="s">
        <v>1504</v>
      </c>
      <c r="C1091" s="1">
        <v>45855</v>
      </c>
      <c r="D1091" s="3">
        <v>46220</v>
      </c>
      <c r="E1091" s="5">
        <v>100.99290000000001</v>
      </c>
      <c r="F1091" s="3">
        <v>46169</v>
      </c>
      <c r="G1091">
        <v>85.946600000000004</v>
      </c>
      <c r="H1091" s="1">
        <v>46042</v>
      </c>
    </row>
    <row r="1092" spans="1:8" x14ac:dyDescent="0.25">
      <c r="A1092" s="2">
        <v>1090</v>
      </c>
      <c r="B1092" t="s">
        <v>3773</v>
      </c>
      <c r="C1092" s="1">
        <v>45855</v>
      </c>
      <c r="D1092" s="3">
        <v>46220</v>
      </c>
      <c r="E1092" s="5">
        <v>105.82380000000001</v>
      </c>
      <c r="F1092" s="3">
        <v>45908</v>
      </c>
      <c r="G1092">
        <v>102.55459999999999</v>
      </c>
      <c r="H1092" s="1">
        <v>46217</v>
      </c>
    </row>
    <row r="1093" spans="1:8" x14ac:dyDescent="0.25">
      <c r="A1093" s="2">
        <v>1091</v>
      </c>
      <c r="B1093" t="s">
        <v>3769</v>
      </c>
      <c r="C1093" s="1">
        <v>45855</v>
      </c>
      <c r="D1093" s="3">
        <v>46220</v>
      </c>
      <c r="E1093" s="5">
        <v>98.454130000000006</v>
      </c>
      <c r="F1093" s="3">
        <v>46125</v>
      </c>
      <c r="G1093">
        <v>71.335570000000004</v>
      </c>
      <c r="H1093" s="1">
        <v>45855</v>
      </c>
    </row>
    <row r="1094" spans="1:8" x14ac:dyDescent="0.25">
      <c r="A1094" s="2">
        <v>1092</v>
      </c>
      <c r="B1094" t="s">
        <v>1069</v>
      </c>
      <c r="C1094" s="1">
        <v>45855</v>
      </c>
      <c r="D1094" s="3">
        <v>46220</v>
      </c>
      <c r="E1094" s="5">
        <v>97.348240000000004</v>
      </c>
      <c r="F1094" s="3">
        <v>46049</v>
      </c>
      <c r="G1094">
        <v>93.183719999999994</v>
      </c>
      <c r="H1094" s="1">
        <v>45859</v>
      </c>
    </row>
    <row r="1095" spans="1:8" x14ac:dyDescent="0.25">
      <c r="A1095" s="2">
        <v>1093</v>
      </c>
      <c r="B1095" t="s">
        <v>1067</v>
      </c>
      <c r="C1095" s="1">
        <v>45855</v>
      </c>
      <c r="D1095" s="3">
        <v>46220</v>
      </c>
      <c r="E1095" s="5">
        <v>96.998000000000005</v>
      </c>
      <c r="F1095" s="3">
        <v>45877</v>
      </c>
      <c r="G1095">
        <v>86.083000183105398</v>
      </c>
      <c r="H1095" s="1">
        <v>46220</v>
      </c>
    </row>
    <row r="1096" spans="1:8" x14ac:dyDescent="0.25">
      <c r="A1096" s="2">
        <v>1094</v>
      </c>
      <c r="B1096" t="s">
        <v>164</v>
      </c>
      <c r="C1096" s="1">
        <v>45855</v>
      </c>
      <c r="D1096" s="3">
        <v>46220</v>
      </c>
      <c r="E1096" s="5">
        <v>99.901160000000004</v>
      </c>
      <c r="F1096" s="3">
        <v>46199</v>
      </c>
      <c r="G1096">
        <v>86.631159999999994</v>
      </c>
      <c r="H1096" s="1">
        <v>45855</v>
      </c>
    </row>
    <row r="1097" spans="1:8" x14ac:dyDescent="0.25">
      <c r="A1097" s="2">
        <v>1095</v>
      </c>
      <c r="B1097" t="s">
        <v>162</v>
      </c>
      <c r="C1097" s="1">
        <v>45855</v>
      </c>
      <c r="D1097" s="3">
        <v>46220</v>
      </c>
      <c r="E1097" s="5">
        <v>77.24624</v>
      </c>
      <c r="F1097" s="3">
        <v>46195</v>
      </c>
      <c r="G1097">
        <v>60.117040000000003</v>
      </c>
      <c r="H1097" s="1">
        <v>45937</v>
      </c>
    </row>
    <row r="1098" spans="1:8" x14ac:dyDescent="0.25">
      <c r="A1098" s="2">
        <v>1096</v>
      </c>
      <c r="B1098" t="s">
        <v>355</v>
      </c>
      <c r="C1098" s="1">
        <v>45855</v>
      </c>
      <c r="D1098" s="3">
        <v>46220</v>
      </c>
      <c r="E1098" s="5">
        <v>82.797430000000006</v>
      </c>
      <c r="F1098" s="3">
        <v>45936</v>
      </c>
      <c r="G1098">
        <v>17.806080000000001</v>
      </c>
      <c r="H1098" s="1">
        <v>46114</v>
      </c>
    </row>
    <row r="1099" spans="1:8" x14ac:dyDescent="0.25">
      <c r="A1099" s="2">
        <v>1097</v>
      </c>
      <c r="B1099" t="s">
        <v>1065</v>
      </c>
      <c r="C1099" s="1">
        <v>45855</v>
      </c>
      <c r="D1099" s="3">
        <v>46220</v>
      </c>
      <c r="E1099" s="5">
        <v>93.048370000000006</v>
      </c>
      <c r="F1099" s="3">
        <v>45919</v>
      </c>
      <c r="G1099">
        <v>81.728035000000006</v>
      </c>
      <c r="H1099" s="1">
        <v>46220</v>
      </c>
    </row>
    <row r="1100" spans="1:8" x14ac:dyDescent="0.25">
      <c r="A1100" s="2">
        <v>1098</v>
      </c>
      <c r="B1100" t="s">
        <v>2425</v>
      </c>
      <c r="C1100" s="1">
        <v>45855</v>
      </c>
      <c r="D1100" s="3">
        <v>46220</v>
      </c>
      <c r="E1100" s="5">
        <v>96.320679999999996</v>
      </c>
      <c r="F1100" s="3">
        <v>46057</v>
      </c>
      <c r="G1100">
        <v>66.577799999999996</v>
      </c>
      <c r="H1100" s="1">
        <v>45855</v>
      </c>
    </row>
    <row r="1101" spans="1:8" x14ac:dyDescent="0.25">
      <c r="A1101" s="2">
        <v>1099</v>
      </c>
      <c r="B1101" t="s">
        <v>2124</v>
      </c>
      <c r="C1101" s="1">
        <v>45855</v>
      </c>
      <c r="D1101" s="3">
        <v>46220</v>
      </c>
      <c r="E1101" s="5">
        <v>90.19941</v>
      </c>
      <c r="F1101" s="3">
        <v>46080</v>
      </c>
      <c r="G1101">
        <v>86.643860000000004</v>
      </c>
      <c r="H1101" s="1">
        <v>45855</v>
      </c>
    </row>
    <row r="1102" spans="1:8" x14ac:dyDescent="0.25">
      <c r="A1102" s="2">
        <v>1100</v>
      </c>
      <c r="B1102" t="s">
        <v>412</v>
      </c>
      <c r="C1102" s="1">
        <v>45855</v>
      </c>
      <c r="D1102" s="3">
        <v>46220</v>
      </c>
      <c r="E1102" s="5">
        <v>83.333879999999994</v>
      </c>
      <c r="F1102" s="3">
        <v>46129</v>
      </c>
      <c r="G1102">
        <v>69.461969999999994</v>
      </c>
      <c r="H1102" s="1">
        <v>45968</v>
      </c>
    </row>
    <row r="1103" spans="1:8" x14ac:dyDescent="0.25">
      <c r="A1103" s="2">
        <v>1101</v>
      </c>
      <c r="B1103" t="s">
        <v>260</v>
      </c>
      <c r="C1103" s="1">
        <v>45855</v>
      </c>
      <c r="D1103" s="3">
        <v>46220</v>
      </c>
      <c r="E1103" s="5">
        <v>68.0000000550001</v>
      </c>
      <c r="F1103" s="3">
        <v>46143</v>
      </c>
      <c r="G1103">
        <v>67.875</v>
      </c>
      <c r="H1103" s="1">
        <v>45855</v>
      </c>
    </row>
    <row r="1104" spans="1:8" x14ac:dyDescent="0.25">
      <c r="A1104" s="2">
        <v>1102</v>
      </c>
      <c r="B1104" t="s">
        <v>20</v>
      </c>
      <c r="C1104" s="1">
        <v>45855</v>
      </c>
      <c r="D1104" s="3">
        <v>46220</v>
      </c>
      <c r="E1104" s="5">
        <v>91.274720000000002</v>
      </c>
      <c r="F1104" s="3">
        <v>45994</v>
      </c>
      <c r="G1104">
        <v>80.392979999999994</v>
      </c>
      <c r="H1104" s="1">
        <v>46100</v>
      </c>
    </row>
    <row r="1105" spans="1:8" x14ac:dyDescent="0.25">
      <c r="A1105" s="2">
        <v>1103</v>
      </c>
      <c r="B1105" t="s">
        <v>22</v>
      </c>
      <c r="C1105" s="1">
        <v>45855</v>
      </c>
      <c r="D1105" s="3">
        <v>46220</v>
      </c>
      <c r="E1105" s="5">
        <v>75.854309999999998</v>
      </c>
      <c r="F1105" s="3">
        <v>45905</v>
      </c>
      <c r="G1105">
        <v>60.595840000000003</v>
      </c>
      <c r="H1105" s="1">
        <v>46181</v>
      </c>
    </row>
    <row r="1106" spans="1:8" x14ac:dyDescent="0.25">
      <c r="A1106" s="2">
        <v>1104</v>
      </c>
      <c r="B1106" t="s">
        <v>1037</v>
      </c>
      <c r="C1106" s="1">
        <v>45855</v>
      </c>
      <c r="D1106" s="3">
        <v>46220</v>
      </c>
      <c r="E1106" s="5">
        <v>100.057</v>
      </c>
      <c r="F1106" s="3">
        <v>46072</v>
      </c>
      <c r="G1106">
        <v>95.886619999999994</v>
      </c>
      <c r="H1106" s="1">
        <v>45870</v>
      </c>
    </row>
    <row r="1107" spans="1:8" x14ac:dyDescent="0.25">
      <c r="A1107" s="2">
        <v>1105</v>
      </c>
      <c r="B1107" t="s">
        <v>1384</v>
      </c>
      <c r="C1107" s="1">
        <v>45855</v>
      </c>
      <c r="D1107" s="3">
        <v>46220</v>
      </c>
      <c r="E1107" s="5">
        <v>80.218999999999994</v>
      </c>
      <c r="F1107" s="3">
        <v>45909</v>
      </c>
      <c r="G1107">
        <v>64.390998840332003</v>
      </c>
      <c r="H1107" s="1">
        <v>46220</v>
      </c>
    </row>
    <row r="1108" spans="1:8" x14ac:dyDescent="0.25">
      <c r="A1108" s="2">
        <v>1106</v>
      </c>
      <c r="B1108" t="s">
        <v>1380</v>
      </c>
      <c r="C1108" s="1">
        <v>45855</v>
      </c>
      <c r="D1108" s="3">
        <v>46220</v>
      </c>
      <c r="E1108" s="5">
        <v>81.203680000000006</v>
      </c>
      <c r="F1108" s="3">
        <v>45909</v>
      </c>
      <c r="G1108">
        <v>64.626530000000002</v>
      </c>
      <c r="H1108" s="1">
        <v>46007</v>
      </c>
    </row>
    <row r="1109" spans="1:8" x14ac:dyDescent="0.25">
      <c r="A1109" s="2">
        <v>1107</v>
      </c>
      <c r="B1109" t="s">
        <v>1499</v>
      </c>
      <c r="C1109" s="1">
        <v>45855</v>
      </c>
      <c r="D1109" s="3">
        <v>46220</v>
      </c>
      <c r="E1109" s="5">
        <v>99.242000000000004</v>
      </c>
      <c r="F1109" s="3">
        <v>46146</v>
      </c>
      <c r="G1109">
        <v>93.65</v>
      </c>
      <c r="H1109" s="1">
        <v>46003</v>
      </c>
    </row>
    <row r="1110" spans="1:8" x14ac:dyDescent="0.25">
      <c r="A1110" s="2">
        <v>1108</v>
      </c>
      <c r="B1110" t="s">
        <v>2285</v>
      </c>
      <c r="C1110" s="1">
        <v>45855</v>
      </c>
      <c r="D1110" s="3">
        <v>46220</v>
      </c>
      <c r="E1110" s="5">
        <v>100.4397</v>
      </c>
      <c r="F1110" s="3">
        <v>46218</v>
      </c>
      <c r="G1110">
        <v>97.482730000000004</v>
      </c>
      <c r="H1110" s="1">
        <v>46182</v>
      </c>
    </row>
    <row r="1111" spans="1:8" x14ac:dyDescent="0.25">
      <c r="A1111" s="2">
        <v>1109</v>
      </c>
      <c r="B1111" t="s">
        <v>605</v>
      </c>
      <c r="C1111" s="1">
        <v>45855</v>
      </c>
      <c r="D1111" s="3">
        <v>46220</v>
      </c>
      <c r="E1111" s="5">
        <v>98.718999999999994</v>
      </c>
      <c r="F1111" s="3">
        <v>46219</v>
      </c>
      <c r="G1111">
        <v>97.181560000000005</v>
      </c>
      <c r="H1111" s="1">
        <v>45966</v>
      </c>
    </row>
    <row r="1112" spans="1:8" x14ac:dyDescent="0.25">
      <c r="A1112" s="2">
        <v>1110</v>
      </c>
      <c r="B1112" t="s">
        <v>603</v>
      </c>
      <c r="C1112" s="1">
        <v>45855</v>
      </c>
      <c r="D1112" s="3">
        <v>46220</v>
      </c>
      <c r="E1112" s="5">
        <v>99.10651</v>
      </c>
      <c r="F1112" s="3">
        <v>46213</v>
      </c>
      <c r="G1112">
        <v>97.106020000000001</v>
      </c>
      <c r="H1112" s="1">
        <v>45855</v>
      </c>
    </row>
    <row r="1113" spans="1:8" x14ac:dyDescent="0.25">
      <c r="A1113" s="2">
        <v>1111</v>
      </c>
      <c r="B1113" t="s">
        <v>601</v>
      </c>
      <c r="C1113" s="1">
        <v>45855</v>
      </c>
      <c r="D1113" s="3">
        <v>46220</v>
      </c>
      <c r="E1113" s="5">
        <v>91.855710000000002</v>
      </c>
      <c r="F1113" s="3">
        <v>45958</v>
      </c>
      <c r="G1113">
        <v>88.734979999999993</v>
      </c>
      <c r="H1113" s="1">
        <v>46105</v>
      </c>
    </row>
    <row r="1114" spans="1:8" x14ac:dyDescent="0.25">
      <c r="A1114" s="2">
        <v>1112</v>
      </c>
      <c r="B1114" t="s">
        <v>599</v>
      </c>
      <c r="C1114" s="1">
        <v>45855</v>
      </c>
      <c r="D1114" s="3">
        <v>46220</v>
      </c>
      <c r="E1114" s="5">
        <v>75.016570000000002</v>
      </c>
      <c r="F1114" s="3">
        <v>45952</v>
      </c>
      <c r="G1114">
        <v>66.237970000000004</v>
      </c>
      <c r="H1114" s="1">
        <v>46101</v>
      </c>
    </row>
    <row r="1115" spans="1:8" x14ac:dyDescent="0.25">
      <c r="A1115" s="2">
        <v>1113</v>
      </c>
      <c r="B1115" t="s">
        <v>3536</v>
      </c>
      <c r="C1115" s="1">
        <v>45855</v>
      </c>
      <c r="D1115" s="3">
        <v>46220</v>
      </c>
      <c r="E1115" s="5">
        <v>44.615690000000001</v>
      </c>
      <c r="F1115" s="3">
        <v>46112</v>
      </c>
      <c r="G1115">
        <v>43.521929999999998</v>
      </c>
      <c r="H1115" s="1">
        <v>46094</v>
      </c>
    </row>
    <row r="1116" spans="1:8" x14ac:dyDescent="0.25">
      <c r="A1116" s="2">
        <v>1114</v>
      </c>
      <c r="B1116" t="s">
        <v>1742</v>
      </c>
      <c r="C1116" s="1">
        <v>45855</v>
      </c>
      <c r="D1116" s="3">
        <v>46220</v>
      </c>
      <c r="E1116" s="5">
        <v>77.360969999999995</v>
      </c>
      <c r="F1116" s="3">
        <v>45887</v>
      </c>
      <c r="G1116">
        <v>38.245780000000003</v>
      </c>
      <c r="H1116" s="1">
        <v>46064</v>
      </c>
    </row>
    <row r="1117" spans="1:8" x14ac:dyDescent="0.25">
      <c r="A1117" s="2">
        <v>1115</v>
      </c>
      <c r="B1117" t="s">
        <v>2588</v>
      </c>
      <c r="C1117" s="1">
        <v>45855</v>
      </c>
      <c r="D1117" s="3">
        <v>46220</v>
      </c>
      <c r="E1117" s="5">
        <v>101.53489999999999</v>
      </c>
      <c r="F1117" s="3">
        <v>45877</v>
      </c>
      <c r="G1117">
        <v>99.246020000000001</v>
      </c>
      <c r="H1117" s="1">
        <v>45890</v>
      </c>
    </row>
    <row r="1118" spans="1:8" x14ac:dyDescent="0.25">
      <c r="A1118" s="2">
        <v>1116</v>
      </c>
      <c r="B1118" t="s">
        <v>2271</v>
      </c>
      <c r="C1118" s="1">
        <v>45855</v>
      </c>
      <c r="D1118" s="3">
        <v>46220</v>
      </c>
      <c r="E1118" s="5">
        <v>104.078</v>
      </c>
      <c r="F1118" s="3">
        <v>45945</v>
      </c>
      <c r="G1118">
        <v>95.399940000000001</v>
      </c>
      <c r="H1118" s="1">
        <v>46217</v>
      </c>
    </row>
    <row r="1119" spans="1:8" x14ac:dyDescent="0.25">
      <c r="A1119" s="2">
        <v>1117</v>
      </c>
      <c r="B1119" t="s">
        <v>1239</v>
      </c>
      <c r="C1119" s="1">
        <v>45855</v>
      </c>
      <c r="D1119" s="3">
        <v>46220</v>
      </c>
      <c r="E1119" s="5">
        <v>98.158609999999996</v>
      </c>
      <c r="F1119" s="3">
        <v>45924</v>
      </c>
      <c r="G1119">
        <v>92.953379999999996</v>
      </c>
      <c r="H1119" s="1">
        <v>45979</v>
      </c>
    </row>
    <row r="1120" spans="1:8" x14ac:dyDescent="0.25">
      <c r="A1120" s="2">
        <v>1118</v>
      </c>
      <c r="B1120" t="s">
        <v>1235</v>
      </c>
      <c r="C1120" s="1">
        <v>45855</v>
      </c>
      <c r="D1120" s="3">
        <v>46220</v>
      </c>
      <c r="E1120" s="5">
        <v>97.456000000000003</v>
      </c>
      <c r="F1120" s="3">
        <v>46197</v>
      </c>
      <c r="G1120">
        <v>91.757999999999996</v>
      </c>
      <c r="H1120" s="1">
        <v>46090</v>
      </c>
    </row>
    <row r="1121" spans="1:8" x14ac:dyDescent="0.25">
      <c r="A1121" s="2">
        <v>1119</v>
      </c>
      <c r="B1121" t="s">
        <v>597</v>
      </c>
      <c r="C1121" s="1">
        <v>45855</v>
      </c>
      <c r="D1121" s="3">
        <v>46220</v>
      </c>
      <c r="E1121" s="5">
        <v>92.872249999999994</v>
      </c>
      <c r="F1121" s="3">
        <v>46076</v>
      </c>
      <c r="G1121">
        <v>91.219059999999999</v>
      </c>
      <c r="H1121" s="1">
        <v>46161</v>
      </c>
    </row>
    <row r="1122" spans="1:8" x14ac:dyDescent="0.25">
      <c r="A1122" s="2">
        <v>1120</v>
      </c>
      <c r="B1122" t="s">
        <v>594</v>
      </c>
      <c r="C1122" s="1">
        <v>45855</v>
      </c>
      <c r="D1122" s="3">
        <v>46220</v>
      </c>
      <c r="E1122" s="5">
        <v>96.183059999999998</v>
      </c>
      <c r="F1122" s="3">
        <v>45958</v>
      </c>
      <c r="G1122">
        <v>93.832530000000006</v>
      </c>
      <c r="H1122" s="1">
        <v>46105</v>
      </c>
    </row>
    <row r="1123" spans="1:8" x14ac:dyDescent="0.25">
      <c r="A1123" s="2">
        <v>1121</v>
      </c>
      <c r="B1123" t="s">
        <v>2438</v>
      </c>
      <c r="C1123" s="1">
        <v>45855</v>
      </c>
      <c r="D1123" s="3">
        <v>46220</v>
      </c>
      <c r="E1123" s="5">
        <v>73.159790000000001</v>
      </c>
      <c r="F1123" s="3">
        <v>45855</v>
      </c>
      <c r="G1123">
        <v>32.98104</v>
      </c>
      <c r="H1123" s="1">
        <v>45940</v>
      </c>
    </row>
    <row r="1124" spans="1:8" x14ac:dyDescent="0.25">
      <c r="A1124" s="2">
        <v>1122</v>
      </c>
      <c r="B1124" t="s">
        <v>2436</v>
      </c>
      <c r="C1124" s="1">
        <v>45855</v>
      </c>
      <c r="D1124" s="3">
        <v>46220</v>
      </c>
      <c r="E1124" s="5">
        <v>61.820439999999998</v>
      </c>
      <c r="F1124" s="3">
        <v>45882</v>
      </c>
      <c r="G1124">
        <v>31.215699999999998</v>
      </c>
      <c r="H1124" s="1">
        <v>45940</v>
      </c>
    </row>
    <row r="1125" spans="1:8" x14ac:dyDescent="0.25">
      <c r="A1125" s="2">
        <v>1123</v>
      </c>
      <c r="B1125" t="s">
        <v>440</v>
      </c>
      <c r="C1125" s="1">
        <v>45855</v>
      </c>
      <c r="D1125" s="3">
        <v>46220</v>
      </c>
      <c r="E1125" s="5">
        <v>90.371139999999997</v>
      </c>
      <c r="F1125" s="3">
        <v>46077</v>
      </c>
      <c r="G1125">
        <v>86.83417</v>
      </c>
      <c r="H1125" s="1">
        <v>45862</v>
      </c>
    </row>
    <row r="1126" spans="1:8" x14ac:dyDescent="0.25">
      <c r="A1126" s="2">
        <v>1124</v>
      </c>
      <c r="B1126" t="s">
        <v>436</v>
      </c>
      <c r="C1126" s="1">
        <v>45855</v>
      </c>
      <c r="D1126" s="3">
        <v>46220</v>
      </c>
      <c r="E1126" s="5">
        <v>95.157049999999998</v>
      </c>
      <c r="F1126" s="3">
        <v>46063</v>
      </c>
      <c r="G1126">
        <v>90.907939999999996</v>
      </c>
      <c r="H1126" s="1">
        <v>45981</v>
      </c>
    </row>
    <row r="1127" spans="1:8" x14ac:dyDescent="0.25">
      <c r="A1127" s="2">
        <v>1125</v>
      </c>
      <c r="B1127" t="s">
        <v>1839</v>
      </c>
      <c r="C1127" s="1">
        <v>45855</v>
      </c>
      <c r="D1127" s="3">
        <v>46220</v>
      </c>
      <c r="E1127" s="5">
        <v>7.2009999999999996</v>
      </c>
      <c r="F1127" s="3">
        <v>45877</v>
      </c>
      <c r="G1127">
        <v>2.226</v>
      </c>
      <c r="H1127" s="1">
        <v>46218</v>
      </c>
    </row>
    <row r="1128" spans="1:8" x14ac:dyDescent="0.25">
      <c r="A1128" s="2">
        <v>1126</v>
      </c>
      <c r="B1128" t="s">
        <v>1835</v>
      </c>
      <c r="C1128" s="1">
        <v>45855</v>
      </c>
      <c r="D1128" s="3">
        <v>46220</v>
      </c>
      <c r="E1128" s="5">
        <v>11.03125</v>
      </c>
      <c r="F1128" s="3">
        <v>45873</v>
      </c>
      <c r="G1128">
        <v>0.97639580000000004</v>
      </c>
      <c r="H1128" s="1">
        <v>46157</v>
      </c>
    </row>
    <row r="1129" spans="1:8" x14ac:dyDescent="0.25">
      <c r="A1129" s="2">
        <v>1127</v>
      </c>
      <c r="B1129" t="s">
        <v>3743</v>
      </c>
      <c r="C1129" s="1">
        <v>45855</v>
      </c>
      <c r="D1129" s="3">
        <v>46220</v>
      </c>
      <c r="E1129" s="5">
        <v>99.859909999999999</v>
      </c>
      <c r="F1129" s="3">
        <v>46043</v>
      </c>
      <c r="G1129">
        <v>63.649949999999997</v>
      </c>
      <c r="H1129" s="1">
        <v>45867</v>
      </c>
    </row>
    <row r="1130" spans="1:8" x14ac:dyDescent="0.25">
      <c r="A1130" s="2">
        <v>1128</v>
      </c>
      <c r="B1130" t="s">
        <v>1135</v>
      </c>
      <c r="C1130" s="1">
        <v>45855</v>
      </c>
      <c r="D1130" s="3">
        <v>46220</v>
      </c>
      <c r="E1130" s="5">
        <v>96.985879999999995</v>
      </c>
      <c r="F1130" s="3">
        <v>46147</v>
      </c>
      <c r="G1130">
        <v>81.52731</v>
      </c>
      <c r="H1130" s="1">
        <v>45855</v>
      </c>
    </row>
    <row r="1131" spans="1:8" x14ac:dyDescent="0.25">
      <c r="A1131" s="2">
        <v>1129</v>
      </c>
      <c r="B1131" t="s">
        <v>1027</v>
      </c>
      <c r="C1131" s="1">
        <v>45855</v>
      </c>
      <c r="D1131" s="3">
        <v>46220</v>
      </c>
      <c r="E1131" s="5">
        <v>86.060010000000005</v>
      </c>
      <c r="F1131" s="3">
        <v>46199</v>
      </c>
      <c r="G1131">
        <v>70.727999999999994</v>
      </c>
      <c r="H1131" s="1">
        <v>45881</v>
      </c>
    </row>
    <row r="1132" spans="1:8" x14ac:dyDescent="0.25">
      <c r="A1132" s="2">
        <v>1130</v>
      </c>
      <c r="B1132" t="s">
        <v>1005</v>
      </c>
      <c r="C1132" s="1">
        <v>45855</v>
      </c>
      <c r="D1132" s="3">
        <v>46220</v>
      </c>
      <c r="E1132" s="5">
        <v>90.974530000000001</v>
      </c>
      <c r="F1132" s="3">
        <v>46024</v>
      </c>
      <c r="G1132">
        <v>79.875600000000006</v>
      </c>
      <c r="H1132" s="1">
        <v>45890</v>
      </c>
    </row>
    <row r="1133" spans="1:8" x14ac:dyDescent="0.25">
      <c r="A1133" s="2">
        <v>1131</v>
      </c>
      <c r="B1133" t="s">
        <v>958</v>
      </c>
      <c r="C1133" s="1">
        <v>45855</v>
      </c>
      <c r="D1133" s="3">
        <v>46220</v>
      </c>
      <c r="E1133" s="5">
        <v>91.094120000000004</v>
      </c>
      <c r="F1133" s="3">
        <v>46073</v>
      </c>
      <c r="G1133">
        <v>78.562749999999994</v>
      </c>
      <c r="H1133" s="1">
        <v>45859</v>
      </c>
    </row>
    <row r="1134" spans="1:8" x14ac:dyDescent="0.25">
      <c r="A1134" s="2">
        <v>1132</v>
      </c>
      <c r="B1134" t="s">
        <v>2431</v>
      </c>
      <c r="C1134" s="1">
        <v>45855</v>
      </c>
      <c r="D1134" s="3">
        <v>46220</v>
      </c>
      <c r="E1134" s="5">
        <v>76.011390000000006</v>
      </c>
      <c r="F1134" s="3">
        <v>45905</v>
      </c>
      <c r="G1134">
        <v>53.182139999999997</v>
      </c>
      <c r="H1134" s="1">
        <v>45980</v>
      </c>
    </row>
    <row r="1135" spans="1:8" x14ac:dyDescent="0.25">
      <c r="A1135" s="2">
        <v>1133</v>
      </c>
      <c r="B1135" t="s">
        <v>210</v>
      </c>
      <c r="C1135" s="1">
        <v>45855</v>
      </c>
      <c r="D1135" s="3">
        <v>46220</v>
      </c>
      <c r="E1135" s="5">
        <v>101.6426</v>
      </c>
      <c r="F1135" s="3">
        <v>45930</v>
      </c>
      <c r="G1135">
        <v>87.361180000000004</v>
      </c>
      <c r="H1135" s="1">
        <v>45856</v>
      </c>
    </row>
    <row r="1136" spans="1:8" x14ac:dyDescent="0.25">
      <c r="A1136" s="2">
        <v>1134</v>
      </c>
      <c r="B1136" t="s">
        <v>1033</v>
      </c>
      <c r="C1136" s="1">
        <v>45855</v>
      </c>
      <c r="D1136" s="3">
        <v>46220</v>
      </c>
      <c r="E1136" s="5">
        <v>99.214579999999998</v>
      </c>
      <c r="F1136" s="3">
        <v>46220</v>
      </c>
      <c r="G1136">
        <v>97.193839999999994</v>
      </c>
      <c r="H1136" s="1">
        <v>46108</v>
      </c>
    </row>
    <row r="1137" spans="1:8" x14ac:dyDescent="0.25">
      <c r="A1137" s="2">
        <v>1135</v>
      </c>
      <c r="B1137" t="s">
        <v>2122</v>
      </c>
      <c r="C1137" s="1">
        <v>45855</v>
      </c>
      <c r="D1137" s="3">
        <v>46220</v>
      </c>
      <c r="E1137" s="5">
        <v>95.88449</v>
      </c>
      <c r="F1137" s="3">
        <v>46080</v>
      </c>
      <c r="G1137">
        <v>92.824330000000003</v>
      </c>
      <c r="H1137" s="1">
        <v>45855</v>
      </c>
    </row>
    <row r="1138" spans="1:8" x14ac:dyDescent="0.25">
      <c r="A1138" s="2">
        <v>1136</v>
      </c>
      <c r="B1138" t="s">
        <v>2117</v>
      </c>
      <c r="C1138" s="1">
        <v>45855</v>
      </c>
      <c r="D1138" s="3">
        <v>46220</v>
      </c>
      <c r="E1138" s="5">
        <v>73.515699999999995</v>
      </c>
      <c r="F1138" s="3">
        <v>45958</v>
      </c>
      <c r="G1138">
        <v>67.067819999999998</v>
      </c>
      <c r="H1138" s="1">
        <v>46161</v>
      </c>
    </row>
    <row r="1139" spans="1:8" x14ac:dyDescent="0.25">
      <c r="A1139" s="2">
        <v>1137</v>
      </c>
      <c r="B1139" t="s">
        <v>2331</v>
      </c>
      <c r="C1139" s="1">
        <v>45855</v>
      </c>
      <c r="D1139" s="3">
        <v>46220</v>
      </c>
      <c r="E1139" s="5">
        <v>95.313910000000007</v>
      </c>
      <c r="F1139" s="3">
        <v>45916</v>
      </c>
      <c r="G1139">
        <v>86.713999999999999</v>
      </c>
      <c r="H1139" s="1">
        <v>46007</v>
      </c>
    </row>
    <row r="1140" spans="1:8" x14ac:dyDescent="0.25">
      <c r="A1140" s="2">
        <v>1138</v>
      </c>
      <c r="B1140" t="s">
        <v>2327</v>
      </c>
      <c r="C1140" s="1">
        <v>45855</v>
      </c>
      <c r="D1140" s="3">
        <v>46220</v>
      </c>
      <c r="E1140" s="5">
        <v>78.938640000000007</v>
      </c>
      <c r="F1140" s="3">
        <v>45958</v>
      </c>
      <c r="G1140">
        <v>59.362009999999998</v>
      </c>
      <c r="H1140" s="1">
        <v>46101</v>
      </c>
    </row>
    <row r="1141" spans="1:8" x14ac:dyDescent="0.25">
      <c r="A1141" s="2">
        <v>1139</v>
      </c>
      <c r="B1141" t="s">
        <v>1023</v>
      </c>
      <c r="C1141" s="1">
        <v>45855</v>
      </c>
      <c r="D1141" s="3">
        <v>46220</v>
      </c>
      <c r="E1141" s="5">
        <v>74.177809999999994</v>
      </c>
      <c r="F1141" s="3">
        <v>46199</v>
      </c>
      <c r="G1141">
        <v>36.777209999999997</v>
      </c>
      <c r="H1141" s="1">
        <v>45855</v>
      </c>
    </row>
    <row r="1142" spans="1:8" x14ac:dyDescent="0.25">
      <c r="A1142" s="2">
        <v>1140</v>
      </c>
      <c r="B1142" t="s">
        <v>1063</v>
      </c>
      <c r="C1142" s="1">
        <v>45855</v>
      </c>
      <c r="D1142" s="3">
        <v>46220</v>
      </c>
      <c r="E1142" s="5">
        <v>93.545940000000002</v>
      </c>
      <c r="F1142" s="3">
        <v>46049</v>
      </c>
      <c r="G1142">
        <v>86.891329999999996</v>
      </c>
      <c r="H1142" s="1">
        <v>46220</v>
      </c>
    </row>
    <row r="1143" spans="1:8" x14ac:dyDescent="0.25">
      <c r="A1143" s="2">
        <v>1141</v>
      </c>
      <c r="B1143" t="s">
        <v>216</v>
      </c>
      <c r="C1143" s="1">
        <v>45855</v>
      </c>
      <c r="D1143" s="3">
        <v>46220</v>
      </c>
      <c r="E1143" s="5">
        <v>100.09050000000001</v>
      </c>
      <c r="F1143" s="3">
        <v>45964</v>
      </c>
      <c r="G1143">
        <v>77.813990000000004</v>
      </c>
      <c r="H1143" s="1">
        <v>46112</v>
      </c>
    </row>
    <row r="1144" spans="1:8" x14ac:dyDescent="0.25">
      <c r="A1144" s="2">
        <v>1142</v>
      </c>
      <c r="B1144" t="s">
        <v>586</v>
      </c>
      <c r="C1144" s="1">
        <v>45855</v>
      </c>
      <c r="D1144" s="3">
        <v>46220</v>
      </c>
      <c r="E1144" s="5">
        <v>88.638379999999998</v>
      </c>
      <c r="F1144" s="3">
        <v>46197</v>
      </c>
      <c r="G1144">
        <v>81.960859999999997</v>
      </c>
      <c r="H1144" s="1">
        <v>46014</v>
      </c>
    </row>
    <row r="1145" spans="1:8" x14ac:dyDescent="0.25">
      <c r="A1145" s="2">
        <v>1143</v>
      </c>
      <c r="B1145" t="s">
        <v>131</v>
      </c>
      <c r="C1145" s="1">
        <v>45855</v>
      </c>
      <c r="D1145" s="3">
        <v>46220</v>
      </c>
      <c r="E1145" s="5">
        <v>101.4682</v>
      </c>
      <c r="F1145" s="3">
        <v>45904</v>
      </c>
      <c r="G1145">
        <v>96.274699999999996</v>
      </c>
      <c r="H1145" s="1">
        <v>46105</v>
      </c>
    </row>
    <row r="1146" spans="1:8" x14ac:dyDescent="0.25">
      <c r="A1146" s="2">
        <v>1144</v>
      </c>
      <c r="B1146" t="s">
        <v>1131</v>
      </c>
      <c r="C1146" s="1">
        <v>45855</v>
      </c>
      <c r="D1146" s="3">
        <v>46220</v>
      </c>
      <c r="E1146" s="5">
        <v>98.296899999999994</v>
      </c>
      <c r="F1146" s="3">
        <v>46170</v>
      </c>
      <c r="G1146">
        <v>91.887</v>
      </c>
      <c r="H1146" s="1">
        <v>45945</v>
      </c>
    </row>
    <row r="1147" spans="1:8" x14ac:dyDescent="0.25">
      <c r="A1147" s="2">
        <v>1145</v>
      </c>
      <c r="B1147" t="s">
        <v>1061</v>
      </c>
      <c r="C1147" s="1">
        <v>45855</v>
      </c>
      <c r="D1147" s="3">
        <v>46220</v>
      </c>
      <c r="E1147" s="5">
        <v>99.038110000000003</v>
      </c>
      <c r="F1147" s="3">
        <v>45912</v>
      </c>
      <c r="G1147">
        <v>92.087594999999993</v>
      </c>
      <c r="H1147" s="1">
        <v>46220</v>
      </c>
    </row>
    <row r="1148" spans="1:8" x14ac:dyDescent="0.25">
      <c r="A1148" s="2">
        <v>1146</v>
      </c>
      <c r="B1148" t="s">
        <v>1057</v>
      </c>
      <c r="C1148" s="1">
        <v>45855</v>
      </c>
      <c r="D1148" s="3">
        <v>46220</v>
      </c>
      <c r="E1148" s="5">
        <v>98.847449999999995</v>
      </c>
      <c r="F1148" s="3">
        <v>46049</v>
      </c>
      <c r="G1148">
        <v>94.480419999999995</v>
      </c>
      <c r="H1148" s="1">
        <v>46220</v>
      </c>
    </row>
    <row r="1149" spans="1:8" x14ac:dyDescent="0.25">
      <c r="A1149" s="2">
        <v>1147</v>
      </c>
      <c r="B1149" t="s">
        <v>135</v>
      </c>
      <c r="C1149" s="1">
        <v>45855</v>
      </c>
      <c r="D1149" s="3">
        <v>46220</v>
      </c>
      <c r="E1149" s="5">
        <v>95.062560000000005</v>
      </c>
      <c r="F1149" s="3">
        <v>46001</v>
      </c>
      <c r="G1149">
        <v>85.251080000000002</v>
      </c>
      <c r="H1149" s="1">
        <v>46099</v>
      </c>
    </row>
    <row r="1150" spans="1:8" x14ac:dyDescent="0.25">
      <c r="A1150" s="2">
        <v>1148</v>
      </c>
      <c r="B1150" t="s">
        <v>29</v>
      </c>
      <c r="C1150" s="1">
        <v>45855</v>
      </c>
      <c r="D1150" s="3">
        <v>46220</v>
      </c>
      <c r="E1150" s="5">
        <v>84.071960000000004</v>
      </c>
      <c r="F1150" s="3">
        <v>45996</v>
      </c>
      <c r="G1150">
        <v>69.39049</v>
      </c>
      <c r="H1150" s="1">
        <v>46178</v>
      </c>
    </row>
    <row r="1151" spans="1:8" x14ac:dyDescent="0.25">
      <c r="A1151" s="2">
        <v>1149</v>
      </c>
      <c r="B1151" t="s">
        <v>2539</v>
      </c>
      <c r="C1151" s="1">
        <v>45855</v>
      </c>
      <c r="D1151" s="3">
        <v>46220</v>
      </c>
      <c r="E1151" s="5">
        <v>89.491</v>
      </c>
      <c r="F1151" s="3">
        <v>45931</v>
      </c>
      <c r="G1151">
        <v>82.068150000000003</v>
      </c>
      <c r="H1151" s="1">
        <v>46064</v>
      </c>
    </row>
  </sheetData>
  <autoFilter ref="A1:F1032" xr:uid="{21DF6E22-85EB-4CCE-871A-B06D677062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21BC-A133-44E2-BBB1-C9BE32A8A6ED}">
  <dimension ref="A1:B392"/>
  <sheetViews>
    <sheetView workbookViewId="0"/>
  </sheetViews>
  <sheetFormatPr defaultRowHeight="15" x14ac:dyDescent="0.25"/>
  <cols>
    <col min="1" max="1" width="10" bestFit="1" customWidth="1"/>
    <col min="2" max="2" width="69.140625" bestFit="1" customWidth="1"/>
  </cols>
  <sheetData>
    <row r="1" spans="1:2" x14ac:dyDescent="0.25">
      <c r="A1" t="s">
        <v>3900</v>
      </c>
      <c r="B1" t="s">
        <v>3901</v>
      </c>
    </row>
    <row r="2" spans="1:2" x14ac:dyDescent="0.25">
      <c r="A2" t="s">
        <v>2713</v>
      </c>
      <c r="B2" t="s">
        <v>2713</v>
      </c>
    </row>
    <row r="3" spans="1:2" x14ac:dyDescent="0.25">
      <c r="A3" t="s">
        <v>2713</v>
      </c>
      <c r="B3" t="s">
        <v>3015</v>
      </c>
    </row>
    <row r="4" spans="1:2" x14ac:dyDescent="0.25">
      <c r="A4" t="s">
        <v>2713</v>
      </c>
      <c r="B4" t="s">
        <v>2997</v>
      </c>
    </row>
    <row r="5" spans="1:2" x14ac:dyDescent="0.25">
      <c r="A5" t="s">
        <v>2713</v>
      </c>
      <c r="B5" t="s">
        <v>2889</v>
      </c>
    </row>
    <row r="6" spans="1:2" x14ac:dyDescent="0.25">
      <c r="A6" t="s">
        <v>2713</v>
      </c>
      <c r="B6" t="s">
        <v>3716</v>
      </c>
    </row>
    <row r="7" spans="1:2" x14ac:dyDescent="0.25">
      <c r="A7" t="s">
        <v>2713</v>
      </c>
      <c r="B7" t="s">
        <v>2932</v>
      </c>
    </row>
    <row r="8" spans="1:2" x14ac:dyDescent="0.25">
      <c r="A8" t="s">
        <v>2713</v>
      </c>
      <c r="B8" t="s">
        <v>2947</v>
      </c>
    </row>
    <row r="9" spans="1:2" x14ac:dyDescent="0.25">
      <c r="A9" t="s">
        <v>2713</v>
      </c>
      <c r="B9" t="s">
        <v>2970</v>
      </c>
    </row>
    <row r="10" spans="1:2" x14ac:dyDescent="0.25">
      <c r="A10" t="s">
        <v>2713</v>
      </c>
      <c r="B10" t="s">
        <v>2871</v>
      </c>
    </row>
    <row r="11" spans="1:2" x14ac:dyDescent="0.25">
      <c r="A11" t="s">
        <v>2713</v>
      </c>
      <c r="B11" t="s">
        <v>3067</v>
      </c>
    </row>
    <row r="12" spans="1:2" x14ac:dyDescent="0.25">
      <c r="A12" t="s">
        <v>2713</v>
      </c>
      <c r="B12" t="s">
        <v>2958</v>
      </c>
    </row>
    <row r="13" spans="1:2" x14ac:dyDescent="0.25">
      <c r="A13" t="s">
        <v>2713</v>
      </c>
      <c r="B13" t="s">
        <v>2952</v>
      </c>
    </row>
    <row r="14" spans="1:2" x14ac:dyDescent="0.25">
      <c r="A14" t="s">
        <v>2713</v>
      </c>
      <c r="B14" t="s">
        <v>2858</v>
      </c>
    </row>
    <row r="15" spans="1:2" x14ac:dyDescent="0.25">
      <c r="A15" t="s">
        <v>2713</v>
      </c>
      <c r="B15" t="s">
        <v>2913</v>
      </c>
    </row>
    <row r="16" spans="1:2" x14ac:dyDescent="0.25">
      <c r="A16" t="s">
        <v>2713</v>
      </c>
      <c r="B16" t="s">
        <v>2741</v>
      </c>
    </row>
    <row r="17" spans="1:2" x14ac:dyDescent="0.25">
      <c r="A17" t="s">
        <v>2713</v>
      </c>
      <c r="B17" t="s">
        <v>3902</v>
      </c>
    </row>
    <row r="18" spans="1:2" x14ac:dyDescent="0.25">
      <c r="A18" t="s">
        <v>2713</v>
      </c>
      <c r="B18" t="s">
        <v>1157</v>
      </c>
    </row>
    <row r="19" spans="1:2" x14ac:dyDescent="0.25">
      <c r="A19" t="s">
        <v>2713</v>
      </c>
      <c r="B19" t="s">
        <v>2869</v>
      </c>
    </row>
    <row r="20" spans="1:2" x14ac:dyDescent="0.25">
      <c r="A20" t="s">
        <v>2713</v>
      </c>
      <c r="B20" t="s">
        <v>2807</v>
      </c>
    </row>
    <row r="21" spans="1:2" x14ac:dyDescent="0.25">
      <c r="A21" t="s">
        <v>2713</v>
      </c>
      <c r="B21" t="s">
        <v>2720</v>
      </c>
    </row>
    <row r="22" spans="1:2" x14ac:dyDescent="0.25">
      <c r="A22" t="s">
        <v>2713</v>
      </c>
      <c r="B22" t="s">
        <v>2743</v>
      </c>
    </row>
    <row r="23" spans="1:2" x14ac:dyDescent="0.25">
      <c r="A23" t="s">
        <v>2713</v>
      </c>
      <c r="B23" t="s">
        <v>3076</v>
      </c>
    </row>
    <row r="24" spans="1:2" x14ac:dyDescent="0.25">
      <c r="A24" t="s">
        <v>2713</v>
      </c>
      <c r="B24" t="s">
        <v>2787</v>
      </c>
    </row>
    <row r="25" spans="1:2" x14ac:dyDescent="0.25">
      <c r="A25" t="s">
        <v>2713</v>
      </c>
      <c r="B25" t="s">
        <v>2717</v>
      </c>
    </row>
    <row r="26" spans="1:2" x14ac:dyDescent="0.25">
      <c r="A26" t="s">
        <v>2713</v>
      </c>
      <c r="B26" t="s">
        <v>3054</v>
      </c>
    </row>
    <row r="27" spans="1:2" x14ac:dyDescent="0.25">
      <c r="A27" t="s">
        <v>2713</v>
      </c>
      <c r="B27" t="s">
        <v>2863</v>
      </c>
    </row>
    <row r="28" spans="1:2" x14ac:dyDescent="0.25">
      <c r="A28" t="s">
        <v>2713</v>
      </c>
      <c r="B28" t="s">
        <v>2745</v>
      </c>
    </row>
    <row r="29" spans="1:2" x14ac:dyDescent="0.25">
      <c r="A29" t="s">
        <v>2713</v>
      </c>
      <c r="B29" t="s">
        <v>3085</v>
      </c>
    </row>
    <row r="30" spans="1:2" x14ac:dyDescent="0.25">
      <c r="A30" t="s">
        <v>2713</v>
      </c>
      <c r="B30" t="s">
        <v>3903</v>
      </c>
    </row>
    <row r="31" spans="1:2" x14ac:dyDescent="0.25">
      <c r="A31" t="s">
        <v>2713</v>
      </c>
      <c r="B31" t="s">
        <v>3070</v>
      </c>
    </row>
    <row r="32" spans="1:2" x14ac:dyDescent="0.25">
      <c r="A32" t="s">
        <v>2713</v>
      </c>
      <c r="B32" t="s">
        <v>2962</v>
      </c>
    </row>
    <row r="33" spans="1:2" x14ac:dyDescent="0.25">
      <c r="A33" t="s">
        <v>2713</v>
      </c>
      <c r="B33" t="s">
        <v>3717</v>
      </c>
    </row>
    <row r="34" spans="1:2" x14ac:dyDescent="0.25">
      <c r="A34" t="s">
        <v>2713</v>
      </c>
      <c r="B34" t="s">
        <v>2815</v>
      </c>
    </row>
    <row r="35" spans="1:2" x14ac:dyDescent="0.25">
      <c r="A35" t="s">
        <v>2713</v>
      </c>
      <c r="B35" t="s">
        <v>3021</v>
      </c>
    </row>
    <row r="36" spans="1:2" x14ac:dyDescent="0.25">
      <c r="A36" t="s">
        <v>2713</v>
      </c>
      <c r="B36" t="s">
        <v>2769</v>
      </c>
    </row>
    <row r="37" spans="1:2" x14ac:dyDescent="0.25">
      <c r="A37" t="s">
        <v>2713</v>
      </c>
      <c r="B37" t="s">
        <v>2837</v>
      </c>
    </row>
    <row r="38" spans="1:2" x14ac:dyDescent="0.25">
      <c r="A38" t="s">
        <v>2713</v>
      </c>
      <c r="B38" t="s">
        <v>2951</v>
      </c>
    </row>
    <row r="39" spans="1:2" x14ac:dyDescent="0.25">
      <c r="A39" t="s">
        <v>2713</v>
      </c>
      <c r="B39" t="s">
        <v>2884</v>
      </c>
    </row>
    <row r="40" spans="1:2" x14ac:dyDescent="0.25">
      <c r="A40" t="s">
        <v>2713</v>
      </c>
      <c r="B40" t="s">
        <v>2940</v>
      </c>
    </row>
    <row r="41" spans="1:2" x14ac:dyDescent="0.25">
      <c r="A41" t="s">
        <v>2713</v>
      </c>
      <c r="B41" t="s">
        <v>2770</v>
      </c>
    </row>
    <row r="42" spans="1:2" x14ac:dyDescent="0.25">
      <c r="A42" t="s">
        <v>2713</v>
      </c>
      <c r="B42" t="s">
        <v>2949</v>
      </c>
    </row>
    <row r="43" spans="1:2" x14ac:dyDescent="0.25">
      <c r="A43" t="s">
        <v>2713</v>
      </c>
      <c r="B43" t="s">
        <v>2991</v>
      </c>
    </row>
    <row r="44" spans="1:2" x14ac:dyDescent="0.25">
      <c r="A44" t="s">
        <v>2713</v>
      </c>
      <c r="B44" t="s">
        <v>2758</v>
      </c>
    </row>
    <row r="45" spans="1:2" x14ac:dyDescent="0.25">
      <c r="A45" t="s">
        <v>2713</v>
      </c>
      <c r="B45" t="s">
        <v>2776</v>
      </c>
    </row>
    <row r="46" spans="1:2" x14ac:dyDescent="0.25">
      <c r="A46" t="s">
        <v>2713</v>
      </c>
      <c r="B46" t="s">
        <v>2786</v>
      </c>
    </row>
    <row r="47" spans="1:2" x14ac:dyDescent="0.25">
      <c r="A47" t="s">
        <v>2713</v>
      </c>
      <c r="B47" t="s">
        <v>2992</v>
      </c>
    </row>
    <row r="48" spans="1:2" x14ac:dyDescent="0.25">
      <c r="A48" t="s">
        <v>2713</v>
      </c>
      <c r="B48" t="s">
        <v>3033</v>
      </c>
    </row>
    <row r="49" spans="1:2" x14ac:dyDescent="0.25">
      <c r="A49" t="s">
        <v>2713</v>
      </c>
      <c r="B49" t="s">
        <v>2865</v>
      </c>
    </row>
    <row r="50" spans="1:2" x14ac:dyDescent="0.25">
      <c r="A50" t="s">
        <v>2713</v>
      </c>
      <c r="B50" t="s">
        <v>3074</v>
      </c>
    </row>
    <row r="51" spans="1:2" x14ac:dyDescent="0.25">
      <c r="A51" t="s">
        <v>2713</v>
      </c>
      <c r="B51" t="s">
        <v>2838</v>
      </c>
    </row>
    <row r="52" spans="1:2" x14ac:dyDescent="0.25">
      <c r="A52" t="s">
        <v>2713</v>
      </c>
      <c r="B52" t="s">
        <v>2918</v>
      </c>
    </row>
    <row r="53" spans="1:2" x14ac:dyDescent="0.25">
      <c r="A53" t="s">
        <v>2713</v>
      </c>
      <c r="B53" t="s">
        <v>2792</v>
      </c>
    </row>
    <row r="54" spans="1:2" x14ac:dyDescent="0.25">
      <c r="A54" t="s">
        <v>2713</v>
      </c>
      <c r="B54" t="s">
        <v>3043</v>
      </c>
    </row>
    <row r="55" spans="1:2" x14ac:dyDescent="0.25">
      <c r="A55" t="s">
        <v>2713</v>
      </c>
      <c r="B55" t="s">
        <v>2734</v>
      </c>
    </row>
    <row r="56" spans="1:2" x14ac:dyDescent="0.25">
      <c r="A56" t="s">
        <v>2713</v>
      </c>
      <c r="B56" t="s">
        <v>3030</v>
      </c>
    </row>
    <row r="57" spans="1:2" x14ac:dyDescent="0.25">
      <c r="A57" t="s">
        <v>2713</v>
      </c>
      <c r="B57" t="s">
        <v>2855</v>
      </c>
    </row>
    <row r="58" spans="1:2" x14ac:dyDescent="0.25">
      <c r="A58" t="s">
        <v>2713</v>
      </c>
      <c r="B58" t="s">
        <v>2879</v>
      </c>
    </row>
    <row r="59" spans="1:2" x14ac:dyDescent="0.25">
      <c r="A59" t="s">
        <v>2713</v>
      </c>
      <c r="B59" t="s">
        <v>2757</v>
      </c>
    </row>
    <row r="60" spans="1:2" x14ac:dyDescent="0.25">
      <c r="A60" t="s">
        <v>2713</v>
      </c>
      <c r="B60" t="s">
        <v>3028</v>
      </c>
    </row>
    <row r="61" spans="1:2" x14ac:dyDescent="0.25">
      <c r="A61" t="s">
        <v>2713</v>
      </c>
      <c r="B61" t="s">
        <v>3057</v>
      </c>
    </row>
    <row r="62" spans="1:2" x14ac:dyDescent="0.25">
      <c r="A62" t="s">
        <v>2713</v>
      </c>
      <c r="B62" t="s">
        <v>2738</v>
      </c>
    </row>
    <row r="63" spans="1:2" x14ac:dyDescent="0.25">
      <c r="A63" t="s">
        <v>2713</v>
      </c>
      <c r="B63" t="s">
        <v>3002</v>
      </c>
    </row>
    <row r="64" spans="1:2" x14ac:dyDescent="0.25">
      <c r="A64" t="s">
        <v>2713</v>
      </c>
      <c r="B64" t="s">
        <v>2930</v>
      </c>
    </row>
    <row r="65" spans="1:2" x14ac:dyDescent="0.25">
      <c r="A65" t="s">
        <v>2713</v>
      </c>
      <c r="B65" t="s">
        <v>2831</v>
      </c>
    </row>
    <row r="66" spans="1:2" x14ac:dyDescent="0.25">
      <c r="A66" t="s">
        <v>2713</v>
      </c>
      <c r="B66" t="s">
        <v>3098</v>
      </c>
    </row>
    <row r="67" spans="1:2" x14ac:dyDescent="0.25">
      <c r="A67" t="s">
        <v>2713</v>
      </c>
      <c r="B67" t="s">
        <v>2844</v>
      </c>
    </row>
    <row r="68" spans="1:2" x14ac:dyDescent="0.25">
      <c r="A68" t="s">
        <v>2713</v>
      </c>
      <c r="B68" t="s">
        <v>2983</v>
      </c>
    </row>
    <row r="69" spans="1:2" x14ac:dyDescent="0.25">
      <c r="A69" t="s">
        <v>2713</v>
      </c>
      <c r="B69" t="s">
        <v>2801</v>
      </c>
    </row>
    <row r="70" spans="1:2" x14ac:dyDescent="0.25">
      <c r="A70" t="s">
        <v>2713</v>
      </c>
      <c r="B70" t="s">
        <v>2931</v>
      </c>
    </row>
    <row r="71" spans="1:2" x14ac:dyDescent="0.25">
      <c r="A71" t="s">
        <v>2713</v>
      </c>
      <c r="B71" t="s">
        <v>2783</v>
      </c>
    </row>
    <row r="72" spans="1:2" x14ac:dyDescent="0.25">
      <c r="A72" t="s">
        <v>2713</v>
      </c>
      <c r="B72" t="s">
        <v>2936</v>
      </c>
    </row>
    <row r="73" spans="1:2" x14ac:dyDescent="0.25">
      <c r="A73" t="s">
        <v>2713</v>
      </c>
      <c r="B73" t="s">
        <v>2728</v>
      </c>
    </row>
    <row r="74" spans="1:2" x14ac:dyDescent="0.25">
      <c r="A74" t="s">
        <v>2713</v>
      </c>
      <c r="B74" t="s">
        <v>2938</v>
      </c>
    </row>
    <row r="75" spans="1:2" x14ac:dyDescent="0.25">
      <c r="A75" t="s">
        <v>2713</v>
      </c>
      <c r="B75" t="s">
        <v>2754</v>
      </c>
    </row>
    <row r="76" spans="1:2" x14ac:dyDescent="0.25">
      <c r="A76" t="s">
        <v>2713</v>
      </c>
      <c r="B76" t="s">
        <v>2849</v>
      </c>
    </row>
    <row r="77" spans="1:2" x14ac:dyDescent="0.25">
      <c r="A77" t="s">
        <v>2713</v>
      </c>
      <c r="B77" t="s">
        <v>2739</v>
      </c>
    </row>
    <row r="78" spans="1:2" x14ac:dyDescent="0.25">
      <c r="A78" t="s">
        <v>2713</v>
      </c>
      <c r="B78" t="s">
        <v>2774</v>
      </c>
    </row>
    <row r="79" spans="1:2" x14ac:dyDescent="0.25">
      <c r="A79" t="s">
        <v>2713</v>
      </c>
      <c r="B79" t="s">
        <v>2759</v>
      </c>
    </row>
    <row r="80" spans="1:2" x14ac:dyDescent="0.25">
      <c r="A80" t="s">
        <v>2713</v>
      </c>
      <c r="B80" t="s">
        <v>3904</v>
      </c>
    </row>
    <row r="81" spans="1:2" x14ac:dyDescent="0.25">
      <c r="A81" t="s">
        <v>2713</v>
      </c>
      <c r="B81" t="s">
        <v>3017</v>
      </c>
    </row>
    <row r="82" spans="1:2" x14ac:dyDescent="0.25">
      <c r="A82" t="s">
        <v>2713</v>
      </c>
      <c r="B82" t="s">
        <v>3023</v>
      </c>
    </row>
    <row r="83" spans="1:2" x14ac:dyDescent="0.25">
      <c r="A83" t="s">
        <v>2713</v>
      </c>
      <c r="B83" t="s">
        <v>2846</v>
      </c>
    </row>
    <row r="84" spans="1:2" x14ac:dyDescent="0.25">
      <c r="A84" t="s">
        <v>2713</v>
      </c>
      <c r="B84" t="s">
        <v>3006</v>
      </c>
    </row>
    <row r="85" spans="1:2" x14ac:dyDescent="0.25">
      <c r="A85" t="s">
        <v>2713</v>
      </c>
      <c r="B85" t="s">
        <v>2919</v>
      </c>
    </row>
    <row r="86" spans="1:2" x14ac:dyDescent="0.25">
      <c r="A86" t="s">
        <v>2713</v>
      </c>
      <c r="B86" t="s">
        <v>3079</v>
      </c>
    </row>
    <row r="87" spans="1:2" x14ac:dyDescent="0.25">
      <c r="A87" t="s">
        <v>2713</v>
      </c>
      <c r="B87" t="s">
        <v>2820</v>
      </c>
    </row>
    <row r="88" spans="1:2" x14ac:dyDescent="0.25">
      <c r="A88" t="s">
        <v>2713</v>
      </c>
      <c r="B88" t="s">
        <v>2747</v>
      </c>
    </row>
    <row r="89" spans="1:2" x14ac:dyDescent="0.25">
      <c r="A89" t="s">
        <v>2713</v>
      </c>
      <c r="B89" t="s">
        <v>2768</v>
      </c>
    </row>
    <row r="90" spans="1:2" x14ac:dyDescent="0.25">
      <c r="A90" t="s">
        <v>2713</v>
      </c>
      <c r="B90" t="s">
        <v>3905</v>
      </c>
    </row>
    <row r="91" spans="1:2" x14ac:dyDescent="0.25">
      <c r="A91" t="s">
        <v>2713</v>
      </c>
      <c r="B91" t="s">
        <v>3036</v>
      </c>
    </row>
    <row r="92" spans="1:2" x14ac:dyDescent="0.25">
      <c r="A92" t="s">
        <v>2713</v>
      </c>
      <c r="B92" t="s">
        <v>3049</v>
      </c>
    </row>
    <row r="93" spans="1:2" x14ac:dyDescent="0.25">
      <c r="A93" t="s">
        <v>2713</v>
      </c>
      <c r="B93" t="s">
        <v>2735</v>
      </c>
    </row>
    <row r="94" spans="1:2" x14ac:dyDescent="0.25">
      <c r="A94" t="s">
        <v>2713</v>
      </c>
      <c r="B94" t="s">
        <v>2828</v>
      </c>
    </row>
    <row r="95" spans="1:2" x14ac:dyDescent="0.25">
      <c r="A95" t="s">
        <v>2713</v>
      </c>
      <c r="B95" t="s">
        <v>2806</v>
      </c>
    </row>
    <row r="96" spans="1:2" x14ac:dyDescent="0.25">
      <c r="A96" t="s">
        <v>2713</v>
      </c>
      <c r="B96" t="s">
        <v>3001</v>
      </c>
    </row>
    <row r="97" spans="1:2" x14ac:dyDescent="0.25">
      <c r="A97" t="s">
        <v>2713</v>
      </c>
      <c r="B97" t="s">
        <v>2866</v>
      </c>
    </row>
    <row r="98" spans="1:2" x14ac:dyDescent="0.25">
      <c r="A98" t="s">
        <v>2713</v>
      </c>
      <c r="B98" t="s">
        <v>3906</v>
      </c>
    </row>
    <row r="99" spans="1:2" x14ac:dyDescent="0.25">
      <c r="A99" t="s">
        <v>2713</v>
      </c>
      <c r="B99" t="s">
        <v>3907</v>
      </c>
    </row>
    <row r="100" spans="1:2" x14ac:dyDescent="0.25">
      <c r="A100" t="s">
        <v>2713</v>
      </c>
      <c r="B100" t="s">
        <v>2847</v>
      </c>
    </row>
    <row r="101" spans="1:2" x14ac:dyDescent="0.25">
      <c r="A101" t="s">
        <v>2713</v>
      </c>
      <c r="B101" t="s">
        <v>2818</v>
      </c>
    </row>
    <row r="102" spans="1:2" x14ac:dyDescent="0.25">
      <c r="A102" t="s">
        <v>2713</v>
      </c>
      <c r="B102" t="s">
        <v>3068</v>
      </c>
    </row>
    <row r="103" spans="1:2" x14ac:dyDescent="0.25">
      <c r="A103" t="s">
        <v>2713</v>
      </c>
      <c r="B103" t="s">
        <v>2834</v>
      </c>
    </row>
    <row r="104" spans="1:2" x14ac:dyDescent="0.25">
      <c r="A104" t="s">
        <v>2713</v>
      </c>
      <c r="B104" t="s">
        <v>2906</v>
      </c>
    </row>
    <row r="105" spans="1:2" x14ac:dyDescent="0.25">
      <c r="A105" t="s">
        <v>2713</v>
      </c>
      <c r="B105" t="s">
        <v>2969</v>
      </c>
    </row>
    <row r="106" spans="1:2" x14ac:dyDescent="0.25">
      <c r="A106" t="s">
        <v>2713</v>
      </c>
      <c r="B106" t="s">
        <v>2953</v>
      </c>
    </row>
    <row r="107" spans="1:2" x14ac:dyDescent="0.25">
      <c r="A107" t="s">
        <v>2713</v>
      </c>
      <c r="B107" t="s">
        <v>2775</v>
      </c>
    </row>
    <row r="108" spans="1:2" x14ac:dyDescent="0.25">
      <c r="A108" t="s">
        <v>2713</v>
      </c>
      <c r="B108" t="s">
        <v>3908</v>
      </c>
    </row>
    <row r="109" spans="1:2" x14ac:dyDescent="0.25">
      <c r="A109" t="s">
        <v>2713</v>
      </c>
      <c r="B109" t="s">
        <v>2755</v>
      </c>
    </row>
    <row r="110" spans="1:2" x14ac:dyDescent="0.25">
      <c r="A110" t="s">
        <v>2713</v>
      </c>
      <c r="B110" t="s">
        <v>2835</v>
      </c>
    </row>
    <row r="111" spans="1:2" x14ac:dyDescent="0.25">
      <c r="A111" t="s">
        <v>2713</v>
      </c>
      <c r="B111" t="s">
        <v>2718</v>
      </c>
    </row>
    <row r="112" spans="1:2" x14ac:dyDescent="0.25">
      <c r="A112" t="s">
        <v>2713</v>
      </c>
      <c r="B112" t="s">
        <v>3094</v>
      </c>
    </row>
    <row r="113" spans="1:2" x14ac:dyDescent="0.25">
      <c r="A113" t="s">
        <v>2713</v>
      </c>
      <c r="B113" t="s">
        <v>2854</v>
      </c>
    </row>
    <row r="114" spans="1:2" x14ac:dyDescent="0.25">
      <c r="A114" t="s">
        <v>2713</v>
      </c>
      <c r="B114" t="s">
        <v>3718</v>
      </c>
    </row>
    <row r="115" spans="1:2" x14ac:dyDescent="0.25">
      <c r="A115" t="s">
        <v>2713</v>
      </c>
      <c r="B115" t="s">
        <v>3042</v>
      </c>
    </row>
    <row r="116" spans="1:2" x14ac:dyDescent="0.25">
      <c r="A116" t="s">
        <v>2713</v>
      </c>
      <c r="B116" t="s">
        <v>2796</v>
      </c>
    </row>
    <row r="117" spans="1:2" x14ac:dyDescent="0.25">
      <c r="A117" t="s">
        <v>2713</v>
      </c>
      <c r="B117" t="s">
        <v>2927</v>
      </c>
    </row>
    <row r="118" spans="1:2" x14ac:dyDescent="0.25">
      <c r="A118" t="s">
        <v>2713</v>
      </c>
      <c r="B118" t="s">
        <v>2724</v>
      </c>
    </row>
    <row r="119" spans="1:2" x14ac:dyDescent="0.25">
      <c r="A119" t="s">
        <v>2713</v>
      </c>
      <c r="B119" t="s">
        <v>3658</v>
      </c>
    </row>
    <row r="120" spans="1:2" x14ac:dyDescent="0.25">
      <c r="A120" t="s">
        <v>2713</v>
      </c>
      <c r="B120" t="s">
        <v>3092</v>
      </c>
    </row>
    <row r="121" spans="1:2" x14ac:dyDescent="0.25">
      <c r="A121" t="s">
        <v>2713</v>
      </c>
      <c r="B121" t="s">
        <v>2803</v>
      </c>
    </row>
    <row r="122" spans="1:2" x14ac:dyDescent="0.25">
      <c r="A122" t="s">
        <v>2713</v>
      </c>
      <c r="B122" t="s">
        <v>2980</v>
      </c>
    </row>
    <row r="123" spans="1:2" x14ac:dyDescent="0.25">
      <c r="A123" t="s">
        <v>2713</v>
      </c>
      <c r="B123" t="s">
        <v>2813</v>
      </c>
    </row>
    <row r="124" spans="1:2" x14ac:dyDescent="0.25">
      <c r="A124" t="s">
        <v>2713</v>
      </c>
      <c r="B124" t="s">
        <v>2829</v>
      </c>
    </row>
    <row r="125" spans="1:2" x14ac:dyDescent="0.25">
      <c r="A125" t="s">
        <v>2713</v>
      </c>
      <c r="B125" t="s">
        <v>2719</v>
      </c>
    </row>
    <row r="126" spans="1:2" x14ac:dyDescent="0.25">
      <c r="A126" t="s">
        <v>2713</v>
      </c>
      <c r="B126" t="s">
        <v>3059</v>
      </c>
    </row>
    <row r="127" spans="1:2" x14ac:dyDescent="0.25">
      <c r="A127" t="s">
        <v>2713</v>
      </c>
      <c r="B127" t="s">
        <v>3009</v>
      </c>
    </row>
    <row r="128" spans="1:2" x14ac:dyDescent="0.25">
      <c r="A128" t="s">
        <v>2713</v>
      </c>
      <c r="B128" t="s">
        <v>3055</v>
      </c>
    </row>
    <row r="129" spans="1:2" x14ac:dyDescent="0.25">
      <c r="A129" t="s">
        <v>2713</v>
      </c>
      <c r="B129" t="s">
        <v>3082</v>
      </c>
    </row>
    <row r="130" spans="1:2" x14ac:dyDescent="0.25">
      <c r="A130" t="s">
        <v>2713</v>
      </c>
      <c r="B130" t="s">
        <v>2943</v>
      </c>
    </row>
    <row r="131" spans="1:2" x14ac:dyDescent="0.25">
      <c r="A131" t="s">
        <v>2713</v>
      </c>
      <c r="B131" t="s">
        <v>2929</v>
      </c>
    </row>
    <row r="132" spans="1:2" x14ac:dyDescent="0.25">
      <c r="A132" t="s">
        <v>2713</v>
      </c>
      <c r="B132" t="s">
        <v>2910</v>
      </c>
    </row>
    <row r="133" spans="1:2" x14ac:dyDescent="0.25">
      <c r="A133" t="s">
        <v>2713</v>
      </c>
      <c r="B133" t="s">
        <v>2788</v>
      </c>
    </row>
    <row r="134" spans="1:2" x14ac:dyDescent="0.25">
      <c r="A134" t="s">
        <v>2713</v>
      </c>
      <c r="B134" t="s">
        <v>2714</v>
      </c>
    </row>
    <row r="135" spans="1:2" x14ac:dyDescent="0.25">
      <c r="A135" t="s">
        <v>2713</v>
      </c>
      <c r="B135" t="s">
        <v>2928</v>
      </c>
    </row>
    <row r="136" spans="1:2" x14ac:dyDescent="0.25">
      <c r="A136" t="s">
        <v>2713</v>
      </c>
      <c r="B136" t="s">
        <v>2762</v>
      </c>
    </row>
    <row r="137" spans="1:2" x14ac:dyDescent="0.25">
      <c r="A137" t="s">
        <v>2713</v>
      </c>
      <c r="B137" t="s">
        <v>2819</v>
      </c>
    </row>
    <row r="138" spans="1:2" x14ac:dyDescent="0.25">
      <c r="A138" t="s">
        <v>2713</v>
      </c>
      <c r="B138" t="s">
        <v>3101</v>
      </c>
    </row>
    <row r="139" spans="1:2" x14ac:dyDescent="0.25">
      <c r="A139" t="s">
        <v>2713</v>
      </c>
      <c r="B139" t="s">
        <v>2920</v>
      </c>
    </row>
    <row r="140" spans="1:2" x14ac:dyDescent="0.25">
      <c r="A140" t="s">
        <v>2713</v>
      </c>
      <c r="B140" t="s">
        <v>2914</v>
      </c>
    </row>
    <row r="141" spans="1:2" x14ac:dyDescent="0.25">
      <c r="A141" t="s">
        <v>2713</v>
      </c>
      <c r="B141" t="s">
        <v>2924</v>
      </c>
    </row>
    <row r="142" spans="1:2" x14ac:dyDescent="0.25">
      <c r="A142" t="s">
        <v>2713</v>
      </c>
      <c r="B142" t="s">
        <v>3097</v>
      </c>
    </row>
    <row r="143" spans="1:2" x14ac:dyDescent="0.25">
      <c r="A143" t="s">
        <v>2713</v>
      </c>
      <c r="B143" t="s">
        <v>2961</v>
      </c>
    </row>
    <row r="144" spans="1:2" x14ac:dyDescent="0.25">
      <c r="A144" t="s">
        <v>2713</v>
      </c>
      <c r="B144" t="s">
        <v>2950</v>
      </c>
    </row>
    <row r="145" spans="1:2" x14ac:dyDescent="0.25">
      <c r="A145" t="s">
        <v>2713</v>
      </c>
      <c r="B145" t="s">
        <v>3909</v>
      </c>
    </row>
    <row r="146" spans="1:2" x14ac:dyDescent="0.25">
      <c r="A146" t="s">
        <v>2713</v>
      </c>
      <c r="B146" t="s">
        <v>2868</v>
      </c>
    </row>
    <row r="147" spans="1:2" x14ac:dyDescent="0.25">
      <c r="A147" t="s">
        <v>2713</v>
      </c>
      <c r="B147" t="s">
        <v>2897</v>
      </c>
    </row>
    <row r="148" spans="1:2" x14ac:dyDescent="0.25">
      <c r="A148" t="s">
        <v>2713</v>
      </c>
      <c r="B148" t="s">
        <v>2781</v>
      </c>
    </row>
    <row r="149" spans="1:2" x14ac:dyDescent="0.25">
      <c r="A149" t="s">
        <v>2713</v>
      </c>
      <c r="B149" t="s">
        <v>2890</v>
      </c>
    </row>
    <row r="150" spans="1:2" x14ac:dyDescent="0.25">
      <c r="A150" t="s">
        <v>2713</v>
      </c>
      <c r="B150" t="s">
        <v>3910</v>
      </c>
    </row>
    <row r="151" spans="1:2" x14ac:dyDescent="0.25">
      <c r="A151" t="s">
        <v>2713</v>
      </c>
      <c r="B151" t="s">
        <v>2782</v>
      </c>
    </row>
    <row r="152" spans="1:2" x14ac:dyDescent="0.25">
      <c r="A152" t="s">
        <v>2713</v>
      </c>
      <c r="B152" t="s">
        <v>3065</v>
      </c>
    </row>
    <row r="153" spans="1:2" x14ac:dyDescent="0.25">
      <c r="A153" t="s">
        <v>2713</v>
      </c>
      <c r="B153" t="s">
        <v>3016</v>
      </c>
    </row>
    <row r="154" spans="1:2" x14ac:dyDescent="0.25">
      <c r="A154" t="s">
        <v>2713</v>
      </c>
      <c r="B154" t="s">
        <v>2839</v>
      </c>
    </row>
    <row r="155" spans="1:2" x14ac:dyDescent="0.25">
      <c r="A155" t="s">
        <v>2713</v>
      </c>
      <c r="B155" t="s">
        <v>2842</v>
      </c>
    </row>
    <row r="156" spans="1:2" x14ac:dyDescent="0.25">
      <c r="A156" t="s">
        <v>2713</v>
      </c>
      <c r="B156" t="s">
        <v>2939</v>
      </c>
    </row>
    <row r="157" spans="1:2" x14ac:dyDescent="0.25">
      <c r="A157" t="s">
        <v>2713</v>
      </c>
      <c r="B157" t="s">
        <v>2892</v>
      </c>
    </row>
    <row r="158" spans="1:2" x14ac:dyDescent="0.25">
      <c r="A158" t="s">
        <v>2713</v>
      </c>
      <c r="B158" t="s">
        <v>3050</v>
      </c>
    </row>
    <row r="159" spans="1:2" x14ac:dyDescent="0.25">
      <c r="A159" t="s">
        <v>2713</v>
      </c>
      <c r="B159" t="s">
        <v>3011</v>
      </c>
    </row>
    <row r="160" spans="1:2" x14ac:dyDescent="0.25">
      <c r="A160" t="s">
        <v>2713</v>
      </c>
      <c r="B160" t="s">
        <v>3053</v>
      </c>
    </row>
    <row r="161" spans="1:2" x14ac:dyDescent="0.25">
      <c r="A161" t="s">
        <v>2713</v>
      </c>
      <c r="B161" t="s">
        <v>2812</v>
      </c>
    </row>
    <row r="162" spans="1:2" x14ac:dyDescent="0.25">
      <c r="A162" t="s">
        <v>2713</v>
      </c>
      <c r="B162" t="s">
        <v>2873</v>
      </c>
    </row>
    <row r="163" spans="1:2" x14ac:dyDescent="0.25">
      <c r="A163" t="s">
        <v>2713</v>
      </c>
      <c r="B163" t="s">
        <v>2998</v>
      </c>
    </row>
    <row r="164" spans="1:2" x14ac:dyDescent="0.25">
      <c r="A164" t="s">
        <v>2713</v>
      </c>
      <c r="B164" t="s">
        <v>3051</v>
      </c>
    </row>
    <row r="165" spans="1:2" x14ac:dyDescent="0.25">
      <c r="A165" t="s">
        <v>2713</v>
      </c>
      <c r="B165" t="s">
        <v>3041</v>
      </c>
    </row>
    <row r="166" spans="1:2" x14ac:dyDescent="0.25">
      <c r="A166" t="s">
        <v>2713</v>
      </c>
      <c r="B166" t="s">
        <v>3010</v>
      </c>
    </row>
    <row r="167" spans="1:2" x14ac:dyDescent="0.25">
      <c r="A167" t="s">
        <v>2713</v>
      </c>
      <c r="B167" t="s">
        <v>2721</v>
      </c>
    </row>
    <row r="168" spans="1:2" x14ac:dyDescent="0.25">
      <c r="A168" t="s">
        <v>2713</v>
      </c>
      <c r="B168" t="s">
        <v>3061</v>
      </c>
    </row>
    <row r="169" spans="1:2" x14ac:dyDescent="0.25">
      <c r="A169" t="s">
        <v>2713</v>
      </c>
      <c r="B169" t="s">
        <v>2872</v>
      </c>
    </row>
    <row r="170" spans="1:2" x14ac:dyDescent="0.25">
      <c r="A170" t="s">
        <v>2713</v>
      </c>
      <c r="B170" t="s">
        <v>3014</v>
      </c>
    </row>
    <row r="171" spans="1:2" x14ac:dyDescent="0.25">
      <c r="A171" t="s">
        <v>2713</v>
      </c>
      <c r="B171" t="s">
        <v>2361</v>
      </c>
    </row>
    <row r="172" spans="1:2" x14ac:dyDescent="0.25">
      <c r="A172" t="s">
        <v>2713</v>
      </c>
      <c r="B172" t="s">
        <v>3659</v>
      </c>
    </row>
    <row r="173" spans="1:2" x14ac:dyDescent="0.25">
      <c r="A173" t="s">
        <v>2713</v>
      </c>
      <c r="B173" t="s">
        <v>2791</v>
      </c>
    </row>
    <row r="174" spans="1:2" x14ac:dyDescent="0.25">
      <c r="A174" t="s">
        <v>2713</v>
      </c>
      <c r="B174" t="s">
        <v>78</v>
      </c>
    </row>
    <row r="175" spans="1:2" x14ac:dyDescent="0.25">
      <c r="A175" t="s">
        <v>2713</v>
      </c>
      <c r="B175" t="s">
        <v>2750</v>
      </c>
    </row>
    <row r="176" spans="1:2" x14ac:dyDescent="0.25">
      <c r="A176" t="s">
        <v>2713</v>
      </c>
      <c r="B176" t="s">
        <v>2827</v>
      </c>
    </row>
    <row r="177" spans="1:2" x14ac:dyDescent="0.25">
      <c r="A177" t="s">
        <v>2713</v>
      </c>
      <c r="B177" t="s">
        <v>3100</v>
      </c>
    </row>
    <row r="178" spans="1:2" x14ac:dyDescent="0.25">
      <c r="A178" t="s">
        <v>2713</v>
      </c>
      <c r="B178" t="s">
        <v>2733</v>
      </c>
    </row>
    <row r="179" spans="1:2" x14ac:dyDescent="0.25">
      <c r="A179" t="s">
        <v>2713</v>
      </c>
      <c r="B179" t="s">
        <v>3911</v>
      </c>
    </row>
    <row r="180" spans="1:2" x14ac:dyDescent="0.25">
      <c r="A180" t="s">
        <v>2713</v>
      </c>
      <c r="B180" t="s">
        <v>3093</v>
      </c>
    </row>
    <row r="181" spans="1:2" x14ac:dyDescent="0.25">
      <c r="A181" t="s">
        <v>2713</v>
      </c>
      <c r="B181" t="s">
        <v>3035</v>
      </c>
    </row>
    <row r="182" spans="1:2" x14ac:dyDescent="0.25">
      <c r="A182" t="s">
        <v>2713</v>
      </c>
      <c r="B182" t="s">
        <v>3912</v>
      </c>
    </row>
    <row r="183" spans="1:2" x14ac:dyDescent="0.25">
      <c r="A183" t="s">
        <v>2713</v>
      </c>
      <c r="B183" t="s">
        <v>3034</v>
      </c>
    </row>
    <row r="184" spans="1:2" x14ac:dyDescent="0.25">
      <c r="A184" t="s">
        <v>2713</v>
      </c>
      <c r="B184" t="s">
        <v>2778</v>
      </c>
    </row>
    <row r="185" spans="1:2" x14ac:dyDescent="0.25">
      <c r="A185" t="s">
        <v>2713</v>
      </c>
      <c r="B185" t="s">
        <v>3081</v>
      </c>
    </row>
    <row r="186" spans="1:2" x14ac:dyDescent="0.25">
      <c r="A186" t="s">
        <v>2713</v>
      </c>
      <c r="B186" t="s">
        <v>2917</v>
      </c>
    </row>
    <row r="187" spans="1:2" x14ac:dyDescent="0.25">
      <c r="A187" t="s">
        <v>2713</v>
      </c>
      <c r="B187" t="s">
        <v>3090</v>
      </c>
    </row>
    <row r="188" spans="1:2" x14ac:dyDescent="0.25">
      <c r="A188" t="s">
        <v>2713</v>
      </c>
      <c r="B188" t="s">
        <v>3037</v>
      </c>
    </row>
    <row r="189" spans="1:2" x14ac:dyDescent="0.25">
      <c r="A189" t="s">
        <v>2713</v>
      </c>
      <c r="B189" t="s">
        <v>3044</v>
      </c>
    </row>
    <row r="190" spans="1:2" x14ac:dyDescent="0.25">
      <c r="A190" t="s">
        <v>2713</v>
      </c>
      <c r="B190" t="s">
        <v>3913</v>
      </c>
    </row>
    <row r="191" spans="1:2" x14ac:dyDescent="0.25">
      <c r="A191" t="s">
        <v>2713</v>
      </c>
      <c r="B191" t="s">
        <v>3914</v>
      </c>
    </row>
    <row r="192" spans="1:2" x14ac:dyDescent="0.25">
      <c r="A192" t="s">
        <v>2713</v>
      </c>
      <c r="B192" t="s">
        <v>3915</v>
      </c>
    </row>
    <row r="193" spans="1:2" x14ac:dyDescent="0.25">
      <c r="A193" t="s">
        <v>2713</v>
      </c>
      <c r="B193" t="s">
        <v>3719</v>
      </c>
    </row>
    <row r="194" spans="1:2" x14ac:dyDescent="0.25">
      <c r="A194" t="s">
        <v>2713</v>
      </c>
      <c r="B194" t="s">
        <v>3720</v>
      </c>
    </row>
    <row r="195" spans="1:2" x14ac:dyDescent="0.25">
      <c r="A195" t="s">
        <v>2713</v>
      </c>
      <c r="B195" t="s">
        <v>2841</v>
      </c>
    </row>
    <row r="196" spans="1:2" x14ac:dyDescent="0.25">
      <c r="A196" t="s">
        <v>2713</v>
      </c>
      <c r="B196" t="s">
        <v>3025</v>
      </c>
    </row>
    <row r="197" spans="1:2" x14ac:dyDescent="0.25">
      <c r="A197" t="s">
        <v>2713</v>
      </c>
      <c r="B197" t="s">
        <v>2921</v>
      </c>
    </row>
    <row r="198" spans="1:2" x14ac:dyDescent="0.25">
      <c r="A198" t="s">
        <v>2713</v>
      </c>
      <c r="B198" t="s">
        <v>2941</v>
      </c>
    </row>
    <row r="199" spans="1:2" x14ac:dyDescent="0.25">
      <c r="A199" t="s">
        <v>2713</v>
      </c>
      <c r="B199" t="s">
        <v>2772</v>
      </c>
    </row>
    <row r="200" spans="1:2" x14ac:dyDescent="0.25">
      <c r="A200" t="s">
        <v>2713</v>
      </c>
      <c r="B200" t="s">
        <v>3012</v>
      </c>
    </row>
    <row r="201" spans="1:2" x14ac:dyDescent="0.25">
      <c r="A201" t="s">
        <v>2713</v>
      </c>
      <c r="B201" t="s">
        <v>2848</v>
      </c>
    </row>
    <row r="202" spans="1:2" x14ac:dyDescent="0.25">
      <c r="A202" t="s">
        <v>2713</v>
      </c>
      <c r="B202" t="s">
        <v>3048</v>
      </c>
    </row>
    <row r="203" spans="1:2" x14ac:dyDescent="0.25">
      <c r="A203" t="s">
        <v>2713</v>
      </c>
      <c r="B203" t="s">
        <v>3916</v>
      </c>
    </row>
    <row r="204" spans="1:2" x14ac:dyDescent="0.25">
      <c r="A204" t="s">
        <v>2713</v>
      </c>
      <c r="B204" t="s">
        <v>2982</v>
      </c>
    </row>
    <row r="205" spans="1:2" x14ac:dyDescent="0.25">
      <c r="A205" t="s">
        <v>2713</v>
      </c>
      <c r="B205" t="s">
        <v>3077</v>
      </c>
    </row>
    <row r="206" spans="1:2" x14ac:dyDescent="0.25">
      <c r="A206" t="s">
        <v>2713</v>
      </c>
      <c r="B206" t="s">
        <v>3917</v>
      </c>
    </row>
    <row r="207" spans="1:2" x14ac:dyDescent="0.25">
      <c r="A207" t="s">
        <v>2713</v>
      </c>
      <c r="B207" t="s">
        <v>2899</v>
      </c>
    </row>
    <row r="208" spans="1:2" x14ac:dyDescent="0.25">
      <c r="A208" t="s">
        <v>2713</v>
      </c>
      <c r="B208" t="s">
        <v>2725</v>
      </c>
    </row>
    <row r="209" spans="1:2" x14ac:dyDescent="0.25">
      <c r="A209" t="s">
        <v>2713</v>
      </c>
      <c r="B209" t="s">
        <v>3069</v>
      </c>
    </row>
    <row r="210" spans="1:2" x14ac:dyDescent="0.25">
      <c r="A210" t="s">
        <v>2713</v>
      </c>
      <c r="B210" t="s">
        <v>3019</v>
      </c>
    </row>
    <row r="211" spans="1:2" x14ac:dyDescent="0.25">
      <c r="A211" t="s">
        <v>2713</v>
      </c>
      <c r="B211" t="s">
        <v>3032</v>
      </c>
    </row>
    <row r="212" spans="1:2" x14ac:dyDescent="0.25">
      <c r="A212" t="s">
        <v>2713</v>
      </c>
      <c r="B212" t="s">
        <v>2966</v>
      </c>
    </row>
    <row r="213" spans="1:2" x14ac:dyDescent="0.25">
      <c r="A213" t="s">
        <v>2713</v>
      </c>
      <c r="B213" t="s">
        <v>2715</v>
      </c>
    </row>
    <row r="214" spans="1:2" x14ac:dyDescent="0.25">
      <c r="A214" t="s">
        <v>2713</v>
      </c>
      <c r="B214" t="s">
        <v>2901</v>
      </c>
    </row>
    <row r="215" spans="1:2" x14ac:dyDescent="0.25">
      <c r="A215" t="s">
        <v>2713</v>
      </c>
      <c r="B215" t="s">
        <v>2959</v>
      </c>
    </row>
    <row r="216" spans="1:2" x14ac:dyDescent="0.25">
      <c r="A216" t="s">
        <v>2713</v>
      </c>
      <c r="B216" t="s">
        <v>3918</v>
      </c>
    </row>
    <row r="217" spans="1:2" x14ac:dyDescent="0.25">
      <c r="A217" t="s">
        <v>2713</v>
      </c>
      <c r="B217" t="s">
        <v>3091</v>
      </c>
    </row>
    <row r="218" spans="1:2" x14ac:dyDescent="0.25">
      <c r="A218" t="s">
        <v>2713</v>
      </c>
      <c r="B218" t="s">
        <v>2727</v>
      </c>
    </row>
    <row r="219" spans="1:2" x14ac:dyDescent="0.25">
      <c r="A219" t="s">
        <v>2713</v>
      </c>
      <c r="B219" t="s">
        <v>2972</v>
      </c>
    </row>
    <row r="220" spans="1:2" x14ac:dyDescent="0.25">
      <c r="A220" t="s">
        <v>2713</v>
      </c>
      <c r="B220" t="s">
        <v>2979</v>
      </c>
    </row>
    <row r="221" spans="1:2" x14ac:dyDescent="0.25">
      <c r="A221" t="s">
        <v>2713</v>
      </c>
      <c r="B221" t="s">
        <v>2988</v>
      </c>
    </row>
    <row r="222" spans="1:2" x14ac:dyDescent="0.25">
      <c r="A222" t="s">
        <v>2713</v>
      </c>
      <c r="B222" t="s">
        <v>2896</v>
      </c>
    </row>
    <row r="223" spans="1:2" x14ac:dyDescent="0.25">
      <c r="A223" t="s">
        <v>2713</v>
      </c>
      <c r="B223" t="s">
        <v>2742</v>
      </c>
    </row>
    <row r="224" spans="1:2" x14ac:dyDescent="0.25">
      <c r="A224" t="s">
        <v>2713</v>
      </c>
      <c r="B224" t="s">
        <v>2814</v>
      </c>
    </row>
    <row r="225" spans="1:2" x14ac:dyDescent="0.25">
      <c r="A225" t="s">
        <v>2713</v>
      </c>
      <c r="B225" t="s">
        <v>2793</v>
      </c>
    </row>
    <row r="226" spans="1:2" x14ac:dyDescent="0.25">
      <c r="A226" t="s">
        <v>2713</v>
      </c>
      <c r="B226" t="s">
        <v>3089</v>
      </c>
    </row>
    <row r="227" spans="1:2" x14ac:dyDescent="0.25">
      <c r="A227" t="s">
        <v>2713</v>
      </c>
      <c r="B227" t="s">
        <v>3088</v>
      </c>
    </row>
    <row r="228" spans="1:2" x14ac:dyDescent="0.25">
      <c r="A228" t="s">
        <v>2713</v>
      </c>
      <c r="B228" t="s">
        <v>2885</v>
      </c>
    </row>
    <row r="229" spans="1:2" x14ac:dyDescent="0.25">
      <c r="A229" t="s">
        <v>2713</v>
      </c>
      <c r="B229" t="s">
        <v>2957</v>
      </c>
    </row>
    <row r="230" spans="1:2" x14ac:dyDescent="0.25">
      <c r="A230" t="s">
        <v>2713</v>
      </c>
      <c r="B230" t="s">
        <v>2763</v>
      </c>
    </row>
    <row r="231" spans="1:2" x14ac:dyDescent="0.25">
      <c r="A231" t="s">
        <v>2713</v>
      </c>
      <c r="B231" t="s">
        <v>2876</v>
      </c>
    </row>
    <row r="232" spans="1:2" x14ac:dyDescent="0.25">
      <c r="A232" t="s">
        <v>2713</v>
      </c>
      <c r="B232" t="s">
        <v>2875</v>
      </c>
    </row>
    <row r="233" spans="1:2" x14ac:dyDescent="0.25">
      <c r="A233" t="s">
        <v>2713</v>
      </c>
      <c r="B233" t="s">
        <v>1361</v>
      </c>
    </row>
    <row r="234" spans="1:2" x14ac:dyDescent="0.25">
      <c r="A234" t="s">
        <v>2713</v>
      </c>
      <c r="B234" t="s">
        <v>2845</v>
      </c>
    </row>
    <row r="235" spans="1:2" x14ac:dyDescent="0.25">
      <c r="A235" t="s">
        <v>2713</v>
      </c>
      <c r="B235" t="s">
        <v>2989</v>
      </c>
    </row>
    <row r="236" spans="1:2" x14ac:dyDescent="0.25">
      <c r="A236" t="s">
        <v>2713</v>
      </c>
      <c r="B236" t="s">
        <v>2995</v>
      </c>
    </row>
    <row r="237" spans="1:2" x14ac:dyDescent="0.25">
      <c r="A237" t="s">
        <v>2713</v>
      </c>
      <c r="B237" t="s">
        <v>3022</v>
      </c>
    </row>
    <row r="238" spans="1:2" x14ac:dyDescent="0.25">
      <c r="A238" t="s">
        <v>2713</v>
      </c>
      <c r="B238" t="s">
        <v>3919</v>
      </c>
    </row>
    <row r="239" spans="1:2" x14ac:dyDescent="0.25">
      <c r="A239" t="s">
        <v>2713</v>
      </c>
      <c r="B239" t="s">
        <v>2900</v>
      </c>
    </row>
    <row r="240" spans="1:2" x14ac:dyDescent="0.25">
      <c r="A240" t="s">
        <v>2713</v>
      </c>
      <c r="B240" t="s">
        <v>2893</v>
      </c>
    </row>
    <row r="241" spans="1:2" x14ac:dyDescent="0.25">
      <c r="A241" t="s">
        <v>2713</v>
      </c>
      <c r="B241" t="s">
        <v>2981</v>
      </c>
    </row>
    <row r="242" spans="1:2" x14ac:dyDescent="0.25">
      <c r="A242" t="s">
        <v>2713</v>
      </c>
      <c r="B242" t="s">
        <v>1994</v>
      </c>
    </row>
    <row r="243" spans="1:2" x14ac:dyDescent="0.25">
      <c r="A243" t="s">
        <v>2713</v>
      </c>
      <c r="B243" t="s">
        <v>2902</v>
      </c>
    </row>
    <row r="244" spans="1:2" x14ac:dyDescent="0.25">
      <c r="A244" t="s">
        <v>2713</v>
      </c>
      <c r="B244" t="s">
        <v>2935</v>
      </c>
    </row>
    <row r="245" spans="1:2" x14ac:dyDescent="0.25">
      <c r="A245" t="s">
        <v>2713</v>
      </c>
      <c r="B245" t="s">
        <v>2853</v>
      </c>
    </row>
    <row r="246" spans="1:2" x14ac:dyDescent="0.25">
      <c r="A246" t="s">
        <v>2713</v>
      </c>
      <c r="B246" t="s">
        <v>2912</v>
      </c>
    </row>
    <row r="247" spans="1:2" x14ac:dyDescent="0.25">
      <c r="A247" t="s">
        <v>2713</v>
      </c>
      <c r="B247" t="s">
        <v>2870</v>
      </c>
    </row>
    <row r="248" spans="1:2" x14ac:dyDescent="0.25">
      <c r="A248" t="s">
        <v>2713</v>
      </c>
      <c r="B248" t="s">
        <v>3920</v>
      </c>
    </row>
    <row r="249" spans="1:2" x14ac:dyDescent="0.25">
      <c r="A249" t="s">
        <v>2713</v>
      </c>
      <c r="B249" t="s">
        <v>2886</v>
      </c>
    </row>
    <row r="250" spans="1:2" x14ac:dyDescent="0.25">
      <c r="A250" t="s">
        <v>2713</v>
      </c>
      <c r="B250" t="s">
        <v>2760</v>
      </c>
    </row>
    <row r="251" spans="1:2" x14ac:dyDescent="0.25">
      <c r="A251" t="s">
        <v>2713</v>
      </c>
      <c r="B251" t="s">
        <v>2766</v>
      </c>
    </row>
    <row r="252" spans="1:2" x14ac:dyDescent="0.25">
      <c r="A252" t="s">
        <v>2713</v>
      </c>
      <c r="B252" t="s">
        <v>3921</v>
      </c>
    </row>
    <row r="253" spans="1:2" x14ac:dyDescent="0.25">
      <c r="A253" t="s">
        <v>2713</v>
      </c>
      <c r="B253" t="s">
        <v>3052</v>
      </c>
    </row>
    <row r="254" spans="1:2" x14ac:dyDescent="0.25">
      <c r="A254" t="s">
        <v>2713</v>
      </c>
      <c r="B254" t="s">
        <v>2937</v>
      </c>
    </row>
    <row r="255" spans="1:2" x14ac:dyDescent="0.25">
      <c r="A255" t="s">
        <v>2713</v>
      </c>
      <c r="B255" t="s">
        <v>2925</v>
      </c>
    </row>
    <row r="256" spans="1:2" x14ac:dyDescent="0.25">
      <c r="A256" t="s">
        <v>2713</v>
      </c>
      <c r="B256" t="s">
        <v>2907</v>
      </c>
    </row>
    <row r="257" spans="1:2" x14ac:dyDescent="0.25">
      <c r="A257" t="s">
        <v>2713</v>
      </c>
      <c r="B257" t="s">
        <v>3721</v>
      </c>
    </row>
    <row r="258" spans="1:2" x14ac:dyDescent="0.25">
      <c r="A258" t="s">
        <v>2713</v>
      </c>
      <c r="B258" t="s">
        <v>3096</v>
      </c>
    </row>
    <row r="259" spans="1:2" x14ac:dyDescent="0.25">
      <c r="A259" t="s">
        <v>2713</v>
      </c>
      <c r="B259" t="s">
        <v>3005</v>
      </c>
    </row>
    <row r="260" spans="1:2" x14ac:dyDescent="0.25">
      <c r="A260" t="s">
        <v>2713</v>
      </c>
      <c r="B260" t="s">
        <v>2823</v>
      </c>
    </row>
    <row r="261" spans="1:2" x14ac:dyDescent="0.25">
      <c r="A261" t="s">
        <v>2713</v>
      </c>
      <c r="B261" t="s">
        <v>2985</v>
      </c>
    </row>
    <row r="262" spans="1:2" x14ac:dyDescent="0.25">
      <c r="A262" t="s">
        <v>3003</v>
      </c>
      <c r="B262" t="s">
        <v>2757</v>
      </c>
    </row>
    <row r="263" spans="1:2" x14ac:dyDescent="0.25">
      <c r="A263" t="s">
        <v>2923</v>
      </c>
      <c r="B263" t="s">
        <v>2757</v>
      </c>
    </row>
    <row r="264" spans="1:2" x14ac:dyDescent="0.25">
      <c r="A264" t="s">
        <v>3722</v>
      </c>
      <c r="B264" t="s">
        <v>3723</v>
      </c>
    </row>
    <row r="265" spans="1:2" x14ac:dyDescent="0.25">
      <c r="A265" t="s">
        <v>2851</v>
      </c>
      <c r="B265" t="s">
        <v>2757</v>
      </c>
    </row>
    <row r="266" spans="1:2" x14ac:dyDescent="0.25">
      <c r="A266" t="s">
        <v>2756</v>
      </c>
      <c r="B266" t="s">
        <v>2757</v>
      </c>
    </row>
    <row r="267" spans="1:2" x14ac:dyDescent="0.25">
      <c r="A267" t="s">
        <v>3020</v>
      </c>
      <c r="B267" t="s">
        <v>78</v>
      </c>
    </row>
    <row r="268" spans="1:2" x14ac:dyDescent="0.25">
      <c r="A268" t="s">
        <v>3078</v>
      </c>
      <c r="B268" t="s">
        <v>2883</v>
      </c>
    </row>
    <row r="269" spans="1:2" x14ac:dyDescent="0.25">
      <c r="A269" t="s">
        <v>3056</v>
      </c>
      <c r="B269" t="s">
        <v>2811</v>
      </c>
    </row>
    <row r="270" spans="1:2" x14ac:dyDescent="0.25">
      <c r="A270" t="s">
        <v>2797</v>
      </c>
      <c r="B270" t="s">
        <v>78</v>
      </c>
    </row>
    <row r="271" spans="1:2" x14ac:dyDescent="0.25">
      <c r="A271" t="s">
        <v>2976</v>
      </c>
      <c r="B271" t="s">
        <v>2977</v>
      </c>
    </row>
    <row r="272" spans="1:2" x14ac:dyDescent="0.25">
      <c r="A272" t="s">
        <v>2965</v>
      </c>
      <c r="B272" t="s">
        <v>2752</v>
      </c>
    </row>
    <row r="273" spans="1:2" x14ac:dyDescent="0.25">
      <c r="A273" t="s">
        <v>2751</v>
      </c>
      <c r="B273" t="s">
        <v>2752</v>
      </c>
    </row>
    <row r="274" spans="1:2" x14ac:dyDescent="0.25">
      <c r="A274" t="s">
        <v>3099</v>
      </c>
      <c r="B274" t="s">
        <v>2752</v>
      </c>
    </row>
    <row r="275" spans="1:2" x14ac:dyDescent="0.25">
      <c r="A275" t="s">
        <v>2859</v>
      </c>
      <c r="B275" t="s">
        <v>78</v>
      </c>
    </row>
    <row r="276" spans="1:2" x14ac:dyDescent="0.25">
      <c r="A276" t="s">
        <v>3922</v>
      </c>
      <c r="B276" t="s">
        <v>3923</v>
      </c>
    </row>
    <row r="277" spans="1:2" x14ac:dyDescent="0.25">
      <c r="A277" t="s">
        <v>3660</v>
      </c>
      <c r="B277" t="s">
        <v>2723</v>
      </c>
    </row>
    <row r="278" spans="1:2" x14ac:dyDescent="0.25">
      <c r="A278" t="s">
        <v>3661</v>
      </c>
      <c r="B278" t="s">
        <v>2723</v>
      </c>
    </row>
    <row r="279" spans="1:2" x14ac:dyDescent="0.25">
      <c r="A279" t="s">
        <v>3924</v>
      </c>
      <c r="B279" t="s">
        <v>77</v>
      </c>
    </row>
    <row r="280" spans="1:2" x14ac:dyDescent="0.25">
      <c r="A280" t="s">
        <v>2880</v>
      </c>
      <c r="B280" t="s">
        <v>2881</v>
      </c>
    </row>
    <row r="281" spans="1:2" x14ac:dyDescent="0.25">
      <c r="A281" t="s">
        <v>2795</v>
      </c>
      <c r="B281" t="s">
        <v>78</v>
      </c>
    </row>
    <row r="282" spans="1:2" x14ac:dyDescent="0.25">
      <c r="A282" t="s">
        <v>2993</v>
      </c>
      <c r="B282" t="s">
        <v>78</v>
      </c>
    </row>
    <row r="283" spans="1:2" x14ac:dyDescent="0.25">
      <c r="A283" t="s">
        <v>2967</v>
      </c>
      <c r="B283" t="s">
        <v>2968</v>
      </c>
    </row>
    <row r="284" spans="1:2" x14ac:dyDescent="0.25">
      <c r="A284" t="s">
        <v>2973</v>
      </c>
      <c r="B284" t="s">
        <v>476</v>
      </c>
    </row>
    <row r="285" spans="1:2" x14ac:dyDescent="0.25">
      <c r="A285" t="s">
        <v>2915</v>
      </c>
      <c r="B285" t="s">
        <v>2916</v>
      </c>
    </row>
    <row r="286" spans="1:2" x14ac:dyDescent="0.25">
      <c r="A286" t="s">
        <v>2784</v>
      </c>
      <c r="B286" t="s">
        <v>2785</v>
      </c>
    </row>
    <row r="287" spans="1:2" x14ac:dyDescent="0.25">
      <c r="A287" t="s">
        <v>2994</v>
      </c>
      <c r="B287" t="s">
        <v>1834</v>
      </c>
    </row>
    <row r="288" spans="1:2" x14ac:dyDescent="0.25">
      <c r="A288" t="s">
        <v>2895</v>
      </c>
      <c r="B288" t="s">
        <v>2896</v>
      </c>
    </row>
    <row r="289" spans="1:2" x14ac:dyDescent="0.25">
      <c r="A289" t="s">
        <v>2926</v>
      </c>
      <c r="B289" t="s">
        <v>2896</v>
      </c>
    </row>
    <row r="290" spans="1:2" x14ac:dyDescent="0.25">
      <c r="A290" t="s">
        <v>2974</v>
      </c>
      <c r="B290" t="s">
        <v>2975</v>
      </c>
    </row>
    <row r="291" spans="1:2" x14ac:dyDescent="0.25">
      <c r="A291" t="s">
        <v>3080</v>
      </c>
      <c r="B291" t="s">
        <v>994</v>
      </c>
    </row>
    <row r="292" spans="1:2" x14ac:dyDescent="0.25">
      <c r="A292" t="s">
        <v>3084</v>
      </c>
      <c r="B292" t="s">
        <v>2905</v>
      </c>
    </row>
    <row r="293" spans="1:2" x14ac:dyDescent="0.25">
      <c r="A293" t="s">
        <v>2773</v>
      </c>
      <c r="B293" t="s">
        <v>3925</v>
      </c>
    </row>
    <row r="294" spans="1:2" x14ac:dyDescent="0.25">
      <c r="A294" t="s">
        <v>3071</v>
      </c>
      <c r="B294" t="s">
        <v>3072</v>
      </c>
    </row>
    <row r="295" spans="1:2" x14ac:dyDescent="0.25">
      <c r="A295" t="s">
        <v>3095</v>
      </c>
      <c r="B295" t="s">
        <v>1361</v>
      </c>
    </row>
    <row r="296" spans="1:2" x14ac:dyDescent="0.25">
      <c r="A296" t="s">
        <v>2802</v>
      </c>
      <c r="B296" t="s">
        <v>2800</v>
      </c>
    </row>
    <row r="297" spans="1:2" x14ac:dyDescent="0.25">
      <c r="A297" t="s">
        <v>2794</v>
      </c>
      <c r="B297" t="s">
        <v>1356</v>
      </c>
    </row>
    <row r="298" spans="1:2" x14ac:dyDescent="0.25">
      <c r="A298" t="s">
        <v>2777</v>
      </c>
      <c r="B298" t="s">
        <v>1600</v>
      </c>
    </row>
    <row r="299" spans="1:2" x14ac:dyDescent="0.25">
      <c r="A299" t="s">
        <v>2945</v>
      </c>
      <c r="B299" t="s">
        <v>2946</v>
      </c>
    </row>
    <row r="300" spans="1:2" x14ac:dyDescent="0.25">
      <c r="A300" t="s">
        <v>3045</v>
      </c>
      <c r="B300" t="s">
        <v>3046</v>
      </c>
    </row>
    <row r="301" spans="1:2" x14ac:dyDescent="0.25">
      <c r="A301" t="s">
        <v>2856</v>
      </c>
      <c r="B301" t="s">
        <v>2857</v>
      </c>
    </row>
    <row r="302" spans="1:2" x14ac:dyDescent="0.25">
      <c r="A302" t="s">
        <v>3064</v>
      </c>
      <c r="B302" t="s">
        <v>2732</v>
      </c>
    </row>
    <row r="303" spans="1:2" x14ac:dyDescent="0.25">
      <c r="A303" t="s">
        <v>2987</v>
      </c>
      <c r="B303" t="s">
        <v>2732</v>
      </c>
    </row>
    <row r="304" spans="1:2" x14ac:dyDescent="0.25">
      <c r="A304" t="s">
        <v>2799</v>
      </c>
      <c r="B304" t="s">
        <v>2800</v>
      </c>
    </row>
    <row r="305" spans="1:2" x14ac:dyDescent="0.25">
      <c r="A305" t="s">
        <v>2942</v>
      </c>
      <c r="B305" t="s">
        <v>2725</v>
      </c>
    </row>
    <row r="306" spans="1:2" x14ac:dyDescent="0.25">
      <c r="A306" t="s">
        <v>2810</v>
      </c>
      <c r="B306" t="s">
        <v>2811</v>
      </c>
    </row>
    <row r="307" spans="1:2" x14ac:dyDescent="0.25">
      <c r="A307" t="s">
        <v>3073</v>
      </c>
      <c r="B307" t="s">
        <v>3034</v>
      </c>
    </row>
    <row r="308" spans="1:2" x14ac:dyDescent="0.25">
      <c r="A308" t="s">
        <v>3013</v>
      </c>
      <c r="B308" t="s">
        <v>2732</v>
      </c>
    </row>
    <row r="309" spans="1:2" x14ac:dyDescent="0.25">
      <c r="A309" t="s">
        <v>2798</v>
      </c>
      <c r="B309" t="s">
        <v>2732</v>
      </c>
    </row>
    <row r="310" spans="1:2" x14ac:dyDescent="0.25">
      <c r="A310" t="s">
        <v>2908</v>
      </c>
      <c r="B310" t="s">
        <v>2909</v>
      </c>
    </row>
    <row r="311" spans="1:2" x14ac:dyDescent="0.25">
      <c r="A311" t="s">
        <v>2867</v>
      </c>
      <c r="B311" t="s">
        <v>2855</v>
      </c>
    </row>
    <row r="312" spans="1:2" x14ac:dyDescent="0.25">
      <c r="A312" t="s">
        <v>2716</v>
      </c>
      <c r="B312" t="s">
        <v>2360</v>
      </c>
    </row>
    <row r="313" spans="1:2" x14ac:dyDescent="0.25">
      <c r="A313" t="s">
        <v>2887</v>
      </c>
      <c r="B313" t="s">
        <v>2888</v>
      </c>
    </row>
    <row r="314" spans="1:2" x14ac:dyDescent="0.25">
      <c r="A314" t="s">
        <v>2990</v>
      </c>
      <c r="B314" t="s">
        <v>2955</v>
      </c>
    </row>
    <row r="315" spans="1:2" x14ac:dyDescent="0.25">
      <c r="A315" t="s">
        <v>2954</v>
      </c>
      <c r="B315" t="s">
        <v>2955</v>
      </c>
    </row>
    <row r="316" spans="1:2" x14ac:dyDescent="0.25">
      <c r="A316" t="s">
        <v>2894</v>
      </c>
      <c r="B316" t="s">
        <v>2809</v>
      </c>
    </row>
    <row r="317" spans="1:2" x14ac:dyDescent="0.25">
      <c r="A317" t="s">
        <v>3086</v>
      </c>
      <c r="B317" t="s">
        <v>3087</v>
      </c>
    </row>
    <row r="318" spans="1:2" x14ac:dyDescent="0.25">
      <c r="A318" t="s">
        <v>2843</v>
      </c>
      <c r="B318" t="s">
        <v>1363</v>
      </c>
    </row>
    <row r="319" spans="1:2" x14ac:dyDescent="0.25">
      <c r="A319" t="s">
        <v>2898</v>
      </c>
      <c r="B319" t="s">
        <v>955</v>
      </c>
    </row>
    <row r="320" spans="1:2" x14ac:dyDescent="0.25">
      <c r="A320" t="s">
        <v>2729</v>
      </c>
      <c r="B320" t="s">
        <v>2730</v>
      </c>
    </row>
    <row r="321" spans="1:2" x14ac:dyDescent="0.25">
      <c r="A321" t="s">
        <v>2978</v>
      </c>
      <c r="B321" t="s">
        <v>2947</v>
      </c>
    </row>
    <row r="322" spans="1:2" x14ac:dyDescent="0.25">
      <c r="A322" t="s">
        <v>2804</v>
      </c>
      <c r="B322" t="s">
        <v>2805</v>
      </c>
    </row>
    <row r="323" spans="1:2" x14ac:dyDescent="0.25">
      <c r="A323" t="s">
        <v>2731</v>
      </c>
      <c r="B323" t="s">
        <v>2732</v>
      </c>
    </row>
    <row r="324" spans="1:2" x14ac:dyDescent="0.25">
      <c r="A324" t="s">
        <v>2944</v>
      </c>
      <c r="B324" t="s">
        <v>2732</v>
      </c>
    </row>
    <row r="325" spans="1:2" x14ac:dyDescent="0.25">
      <c r="A325" t="s">
        <v>3662</v>
      </c>
      <c r="B325" t="s">
        <v>3663</v>
      </c>
    </row>
    <row r="326" spans="1:2" x14ac:dyDescent="0.25">
      <c r="A326" t="s">
        <v>2824</v>
      </c>
      <c r="B326" t="s">
        <v>2825</v>
      </c>
    </row>
    <row r="327" spans="1:2" x14ac:dyDescent="0.25">
      <c r="A327" t="s">
        <v>3000</v>
      </c>
      <c r="B327" t="s">
        <v>2825</v>
      </c>
    </row>
    <row r="328" spans="1:2" x14ac:dyDescent="0.25">
      <c r="A328" t="s">
        <v>2933</v>
      </c>
      <c r="B328" t="s">
        <v>2934</v>
      </c>
    </row>
    <row r="329" spans="1:2" x14ac:dyDescent="0.25">
      <c r="A329" t="s">
        <v>3026</v>
      </c>
      <c r="B329" t="s">
        <v>3027</v>
      </c>
    </row>
    <row r="330" spans="1:2" x14ac:dyDescent="0.25">
      <c r="A330" t="s">
        <v>2748</v>
      </c>
      <c r="B330" t="s">
        <v>2347</v>
      </c>
    </row>
    <row r="331" spans="1:2" x14ac:dyDescent="0.25">
      <c r="A331" t="s">
        <v>2860</v>
      </c>
      <c r="B331" t="s">
        <v>347</v>
      </c>
    </row>
    <row r="332" spans="1:2" x14ac:dyDescent="0.25">
      <c r="A332" t="s">
        <v>2753</v>
      </c>
      <c r="B332" t="s">
        <v>1582</v>
      </c>
    </row>
    <row r="333" spans="1:2" x14ac:dyDescent="0.25">
      <c r="A333" t="s">
        <v>3060</v>
      </c>
      <c r="B333" t="s">
        <v>1582</v>
      </c>
    </row>
    <row r="334" spans="1:2" x14ac:dyDescent="0.25">
      <c r="A334" t="s">
        <v>2826</v>
      </c>
      <c r="B334" t="s">
        <v>2780</v>
      </c>
    </row>
    <row r="335" spans="1:2" x14ac:dyDescent="0.25">
      <c r="A335" t="s">
        <v>3066</v>
      </c>
      <c r="B335" t="s">
        <v>2780</v>
      </c>
    </row>
    <row r="336" spans="1:2" x14ac:dyDescent="0.25">
      <c r="A336" t="s">
        <v>3024</v>
      </c>
      <c r="B336" t="s">
        <v>2780</v>
      </c>
    </row>
    <row r="337" spans="1:2" x14ac:dyDescent="0.25">
      <c r="A337" t="s">
        <v>2779</v>
      </c>
      <c r="B337" t="s">
        <v>2780</v>
      </c>
    </row>
    <row r="338" spans="1:2" x14ac:dyDescent="0.25">
      <c r="A338" t="s">
        <v>2832</v>
      </c>
      <c r="B338" t="s">
        <v>2833</v>
      </c>
    </row>
    <row r="339" spans="1:2" x14ac:dyDescent="0.25">
      <c r="A339" t="s">
        <v>2744</v>
      </c>
      <c r="B339" t="s">
        <v>1994</v>
      </c>
    </row>
    <row r="340" spans="1:2" x14ac:dyDescent="0.25">
      <c r="A340" t="s">
        <v>2767</v>
      </c>
      <c r="B340" t="s">
        <v>263</v>
      </c>
    </row>
    <row r="341" spans="1:2" x14ac:dyDescent="0.25">
      <c r="A341" t="s">
        <v>2922</v>
      </c>
      <c r="B341" t="s">
        <v>77</v>
      </c>
    </row>
    <row r="342" spans="1:2" x14ac:dyDescent="0.25">
      <c r="A342" t="s">
        <v>2726</v>
      </c>
      <c r="B342" t="s">
        <v>1727</v>
      </c>
    </row>
    <row r="343" spans="1:2" x14ac:dyDescent="0.25">
      <c r="A343" t="s">
        <v>2840</v>
      </c>
      <c r="B343" t="s">
        <v>2775</v>
      </c>
    </row>
    <row r="344" spans="1:2" x14ac:dyDescent="0.25">
      <c r="A344" t="s">
        <v>2986</v>
      </c>
      <c r="B344" t="s">
        <v>3724</v>
      </c>
    </row>
    <row r="345" spans="1:2" x14ac:dyDescent="0.25">
      <c r="A345" t="s">
        <v>3083</v>
      </c>
      <c r="B345" t="s">
        <v>3724</v>
      </c>
    </row>
    <row r="346" spans="1:2" x14ac:dyDescent="0.25">
      <c r="A346" t="s">
        <v>2948</v>
      </c>
      <c r="B346" t="s">
        <v>2899</v>
      </c>
    </row>
    <row r="347" spans="1:2" x14ac:dyDescent="0.25">
      <c r="A347" t="s">
        <v>3029</v>
      </c>
      <c r="B347" t="s">
        <v>2899</v>
      </c>
    </row>
    <row r="348" spans="1:2" x14ac:dyDescent="0.25">
      <c r="A348" t="s">
        <v>2850</v>
      </c>
      <c r="B348" t="s">
        <v>2048</v>
      </c>
    </row>
    <row r="349" spans="1:2" x14ac:dyDescent="0.25">
      <c r="A349" t="s">
        <v>2874</v>
      </c>
      <c r="B349" t="s">
        <v>2048</v>
      </c>
    </row>
    <row r="350" spans="1:2" x14ac:dyDescent="0.25">
      <c r="A350" t="s">
        <v>2722</v>
      </c>
      <c r="B350" t="s">
        <v>1658</v>
      </c>
    </row>
    <row r="351" spans="1:2" x14ac:dyDescent="0.25">
      <c r="A351" t="s">
        <v>2746</v>
      </c>
      <c r="B351" t="s">
        <v>2747</v>
      </c>
    </row>
    <row r="352" spans="1:2" x14ac:dyDescent="0.25">
      <c r="A352" t="s">
        <v>2960</v>
      </c>
      <c r="B352" t="s">
        <v>2737</v>
      </c>
    </row>
    <row r="353" spans="1:2" x14ac:dyDescent="0.25">
      <c r="A353" t="s">
        <v>2749</v>
      </c>
      <c r="B353" t="s">
        <v>2737</v>
      </c>
    </row>
    <row r="354" spans="1:2" x14ac:dyDescent="0.25">
      <c r="A354" t="s">
        <v>2740</v>
      </c>
      <c r="B354" t="s">
        <v>2020</v>
      </c>
    </row>
    <row r="355" spans="1:2" x14ac:dyDescent="0.25">
      <c r="A355" t="s">
        <v>2861</v>
      </c>
      <c r="B355" t="s">
        <v>2862</v>
      </c>
    </row>
    <row r="356" spans="1:2" x14ac:dyDescent="0.25">
      <c r="A356" t="s">
        <v>3007</v>
      </c>
      <c r="B356" t="s">
        <v>3008</v>
      </c>
    </row>
    <row r="357" spans="1:2" x14ac:dyDescent="0.25">
      <c r="A357" t="s">
        <v>3926</v>
      </c>
      <c r="B357" t="s">
        <v>3927</v>
      </c>
    </row>
    <row r="358" spans="1:2" x14ac:dyDescent="0.25">
      <c r="A358" t="s">
        <v>3058</v>
      </c>
      <c r="B358" t="s">
        <v>1826</v>
      </c>
    </row>
    <row r="359" spans="1:2" x14ac:dyDescent="0.25">
      <c r="A359" t="s">
        <v>2816</v>
      </c>
      <c r="B359" t="s">
        <v>2817</v>
      </c>
    </row>
    <row r="360" spans="1:2" x14ac:dyDescent="0.25">
      <c r="A360" t="s">
        <v>2852</v>
      </c>
      <c r="B360" t="s">
        <v>2752</v>
      </c>
    </row>
    <row r="361" spans="1:2" x14ac:dyDescent="0.25">
      <c r="A361" t="s">
        <v>3018</v>
      </c>
      <c r="B361" t="s">
        <v>78</v>
      </c>
    </row>
    <row r="362" spans="1:2" x14ac:dyDescent="0.25">
      <c r="A362" t="s">
        <v>2736</v>
      </c>
      <c r="B362" t="s">
        <v>2737</v>
      </c>
    </row>
    <row r="363" spans="1:2" x14ac:dyDescent="0.25">
      <c r="A363" t="s">
        <v>2963</v>
      </c>
      <c r="B363" t="s">
        <v>2964</v>
      </c>
    </row>
    <row r="364" spans="1:2" x14ac:dyDescent="0.25">
      <c r="A364" t="s">
        <v>2764</v>
      </c>
      <c r="B364" t="s">
        <v>2765</v>
      </c>
    </row>
    <row r="365" spans="1:2" x14ac:dyDescent="0.25">
      <c r="A365" t="s">
        <v>3062</v>
      </c>
      <c r="B365" t="s">
        <v>3063</v>
      </c>
    </row>
    <row r="366" spans="1:2" x14ac:dyDescent="0.25">
      <c r="A366" t="s">
        <v>2877</v>
      </c>
      <c r="B366" t="s">
        <v>2720</v>
      </c>
    </row>
    <row r="367" spans="1:2" x14ac:dyDescent="0.25">
      <c r="A367" t="s">
        <v>2911</v>
      </c>
      <c r="B367" t="s">
        <v>2772</v>
      </c>
    </row>
    <row r="368" spans="1:2" x14ac:dyDescent="0.25">
      <c r="A368" t="s">
        <v>2836</v>
      </c>
      <c r="B368" t="s">
        <v>2772</v>
      </c>
    </row>
    <row r="369" spans="1:2" x14ac:dyDescent="0.25">
      <c r="A369" t="s">
        <v>3038</v>
      </c>
      <c r="B369" t="s">
        <v>2772</v>
      </c>
    </row>
    <row r="370" spans="1:2" x14ac:dyDescent="0.25">
      <c r="A370" t="s">
        <v>2771</v>
      </c>
      <c r="B370" t="s">
        <v>2772</v>
      </c>
    </row>
    <row r="371" spans="1:2" x14ac:dyDescent="0.25">
      <c r="A371" t="s">
        <v>2999</v>
      </c>
      <c r="B371" t="s">
        <v>1745</v>
      </c>
    </row>
    <row r="372" spans="1:2" x14ac:dyDescent="0.25">
      <c r="A372" t="s">
        <v>2789</v>
      </c>
      <c r="B372" t="s">
        <v>2790</v>
      </c>
    </row>
    <row r="373" spans="1:2" x14ac:dyDescent="0.25">
      <c r="A373" t="s">
        <v>2878</v>
      </c>
      <c r="B373" t="s">
        <v>78</v>
      </c>
    </row>
    <row r="374" spans="1:2" x14ac:dyDescent="0.25">
      <c r="A374" t="s">
        <v>2830</v>
      </c>
      <c r="B374" t="s">
        <v>2831</v>
      </c>
    </row>
    <row r="375" spans="1:2" x14ac:dyDescent="0.25">
      <c r="A375" t="s">
        <v>2971</v>
      </c>
      <c r="B375" t="s">
        <v>2862</v>
      </c>
    </row>
    <row r="376" spans="1:2" x14ac:dyDescent="0.25">
      <c r="A376" t="s">
        <v>2891</v>
      </c>
      <c r="B376" t="s">
        <v>2742</v>
      </c>
    </row>
    <row r="377" spans="1:2" x14ac:dyDescent="0.25">
      <c r="A377" t="s">
        <v>3031</v>
      </c>
      <c r="B377" t="s">
        <v>2964</v>
      </c>
    </row>
    <row r="378" spans="1:2" x14ac:dyDescent="0.25">
      <c r="A378" t="s">
        <v>3075</v>
      </c>
      <c r="B378" t="s">
        <v>2772</v>
      </c>
    </row>
    <row r="379" spans="1:2" x14ac:dyDescent="0.25">
      <c r="A379" t="s">
        <v>2808</v>
      </c>
      <c r="B379" t="s">
        <v>2809</v>
      </c>
    </row>
    <row r="380" spans="1:2" x14ac:dyDescent="0.25">
      <c r="A380" t="s">
        <v>2904</v>
      </c>
      <c r="B380" t="s">
        <v>2905</v>
      </c>
    </row>
    <row r="381" spans="1:2" x14ac:dyDescent="0.25">
      <c r="A381" t="s">
        <v>2821</v>
      </c>
      <c r="B381" t="s">
        <v>2822</v>
      </c>
    </row>
    <row r="382" spans="1:2" x14ac:dyDescent="0.25">
      <c r="A382" t="s">
        <v>3040</v>
      </c>
      <c r="B382" t="s">
        <v>2811</v>
      </c>
    </row>
    <row r="383" spans="1:2" x14ac:dyDescent="0.25">
      <c r="A383" t="s">
        <v>2956</v>
      </c>
      <c r="B383" t="s">
        <v>2883</v>
      </c>
    </row>
    <row r="384" spans="1:2" x14ac:dyDescent="0.25">
      <c r="A384" t="s">
        <v>2761</v>
      </c>
      <c r="B384" t="s">
        <v>2762</v>
      </c>
    </row>
    <row r="385" spans="1:2" x14ac:dyDescent="0.25">
      <c r="A385" t="s">
        <v>2882</v>
      </c>
      <c r="B385" t="s">
        <v>2883</v>
      </c>
    </row>
    <row r="386" spans="1:2" x14ac:dyDescent="0.25">
      <c r="A386" t="s">
        <v>3039</v>
      </c>
      <c r="B386" t="s">
        <v>2883</v>
      </c>
    </row>
    <row r="387" spans="1:2" x14ac:dyDescent="0.25">
      <c r="A387" t="s">
        <v>2996</v>
      </c>
      <c r="B387" t="s">
        <v>2757</v>
      </c>
    </row>
    <row r="388" spans="1:2" x14ac:dyDescent="0.25">
      <c r="A388" t="s">
        <v>2984</v>
      </c>
      <c r="B388" t="s">
        <v>2757</v>
      </c>
    </row>
    <row r="389" spans="1:2" x14ac:dyDescent="0.25">
      <c r="A389" t="s">
        <v>3004</v>
      </c>
      <c r="B389" t="s">
        <v>2883</v>
      </c>
    </row>
    <row r="390" spans="1:2" x14ac:dyDescent="0.25">
      <c r="A390" t="s">
        <v>2903</v>
      </c>
      <c r="B390" t="s">
        <v>2757</v>
      </c>
    </row>
    <row r="391" spans="1:2" x14ac:dyDescent="0.25">
      <c r="A391" t="s">
        <v>3047</v>
      </c>
      <c r="B391" t="s">
        <v>2757</v>
      </c>
    </row>
    <row r="392" spans="1:2" x14ac:dyDescent="0.25">
      <c r="A392" t="s">
        <v>2864</v>
      </c>
      <c r="B392" t="s">
        <v>2757</v>
      </c>
    </row>
  </sheetData>
  <autoFilter ref="A1:B361" xr:uid="{F1A621BC-A133-44E2-BBB1-C9BE32A8A6E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651B-349D-4066-B7BA-A2F8FF1E12EB}">
  <dimension ref="A1:H55"/>
  <sheetViews>
    <sheetView workbookViewId="0">
      <selection sqref="A1:H55"/>
    </sheetView>
  </sheetViews>
  <sheetFormatPr defaultRowHeight="15" x14ac:dyDescent="0.25"/>
  <cols>
    <col min="1" max="1" width="41.5703125" bestFit="1" customWidth="1"/>
    <col min="2" max="2" width="16.5703125" bestFit="1" customWidth="1"/>
    <col min="3" max="3" width="24.5703125" bestFit="1" customWidth="1"/>
    <col min="4" max="5" width="19.42578125" bestFit="1" customWidth="1"/>
    <col min="6" max="6" width="21.140625" bestFit="1" customWidth="1"/>
    <col min="7" max="7" width="6.28515625" bestFit="1" customWidth="1"/>
  </cols>
  <sheetData>
    <row r="1" spans="1:8" x14ac:dyDescent="0.25">
      <c r="A1" t="s">
        <v>3277</v>
      </c>
      <c r="B1" t="s">
        <v>3278</v>
      </c>
      <c r="C1" t="s">
        <v>3279</v>
      </c>
      <c r="D1" t="s">
        <v>3280</v>
      </c>
      <c r="E1" t="s">
        <v>3281</v>
      </c>
      <c r="F1" t="s">
        <v>3282</v>
      </c>
      <c r="G1" t="s">
        <v>3318</v>
      </c>
      <c r="H1" t="s">
        <v>3283</v>
      </c>
    </row>
    <row r="2" spans="1:8" x14ac:dyDescent="0.25">
      <c r="A2" t="s">
        <v>3187</v>
      </c>
      <c r="B2" t="s">
        <v>3284</v>
      </c>
      <c r="C2" t="s">
        <v>3284</v>
      </c>
      <c r="D2" t="s">
        <v>3285</v>
      </c>
      <c r="E2" t="s">
        <v>3286</v>
      </c>
      <c r="F2" t="s">
        <v>3319</v>
      </c>
      <c r="G2" t="s">
        <v>3287</v>
      </c>
    </row>
    <row r="3" spans="1:8" x14ac:dyDescent="0.25">
      <c r="A3" t="s">
        <v>3200</v>
      </c>
      <c r="B3" t="s">
        <v>3284</v>
      </c>
      <c r="C3" t="s">
        <v>3284</v>
      </c>
      <c r="D3" t="s">
        <v>3285</v>
      </c>
      <c r="E3" t="s">
        <v>3286</v>
      </c>
      <c r="F3" t="s">
        <v>3319</v>
      </c>
      <c r="G3" t="s">
        <v>3287</v>
      </c>
    </row>
    <row r="4" spans="1:8" x14ac:dyDescent="0.25">
      <c r="A4" t="s">
        <v>3176</v>
      </c>
      <c r="B4" t="s">
        <v>3284</v>
      </c>
      <c r="C4" t="s">
        <v>3284</v>
      </c>
      <c r="D4" t="s">
        <v>3285</v>
      </c>
      <c r="E4" t="s">
        <v>3286</v>
      </c>
      <c r="F4" t="s">
        <v>3319</v>
      </c>
      <c r="G4" t="s">
        <v>3287</v>
      </c>
    </row>
    <row r="5" spans="1:8" x14ac:dyDescent="0.25">
      <c r="A5" t="s">
        <v>3113</v>
      </c>
      <c r="B5" t="s">
        <v>3284</v>
      </c>
      <c r="C5" t="s">
        <v>3284</v>
      </c>
      <c r="D5" t="s">
        <v>3285</v>
      </c>
      <c r="E5" t="s">
        <v>3286</v>
      </c>
      <c r="F5" t="s">
        <v>3319</v>
      </c>
      <c r="G5" t="s">
        <v>3287</v>
      </c>
    </row>
    <row r="6" spans="1:8" x14ac:dyDescent="0.25">
      <c r="A6" t="s">
        <v>3191</v>
      </c>
      <c r="B6" t="s">
        <v>3284</v>
      </c>
      <c r="C6" t="s">
        <v>3284</v>
      </c>
      <c r="D6" t="s">
        <v>3285</v>
      </c>
      <c r="E6" t="s">
        <v>3286</v>
      </c>
      <c r="F6" t="s">
        <v>3319</v>
      </c>
      <c r="G6" t="s">
        <v>3287</v>
      </c>
    </row>
    <row r="7" spans="1:8" x14ac:dyDescent="0.25">
      <c r="A7" t="s">
        <v>3233</v>
      </c>
      <c r="B7" t="s">
        <v>3284</v>
      </c>
      <c r="C7" t="s">
        <v>3284</v>
      </c>
      <c r="D7" t="s">
        <v>3285</v>
      </c>
      <c r="E7" t="s">
        <v>3286</v>
      </c>
      <c r="F7" t="s">
        <v>3319</v>
      </c>
      <c r="G7" t="s">
        <v>3287</v>
      </c>
    </row>
    <row r="8" spans="1:8" x14ac:dyDescent="0.25">
      <c r="A8" t="s">
        <v>3206</v>
      </c>
      <c r="B8" t="s">
        <v>3284</v>
      </c>
      <c r="C8" t="s">
        <v>3284</v>
      </c>
      <c r="D8" t="s">
        <v>3285</v>
      </c>
      <c r="E8" t="s">
        <v>3286</v>
      </c>
      <c r="F8" t="s">
        <v>3319</v>
      </c>
      <c r="G8" t="s">
        <v>3287</v>
      </c>
    </row>
    <row r="9" spans="1:8" x14ac:dyDescent="0.25">
      <c r="A9" t="s">
        <v>3154</v>
      </c>
      <c r="B9" t="s">
        <v>3284</v>
      </c>
      <c r="C9" t="s">
        <v>3284</v>
      </c>
      <c r="D9" t="s">
        <v>3285</v>
      </c>
      <c r="E9" t="s">
        <v>3286</v>
      </c>
      <c r="F9" t="s">
        <v>3319</v>
      </c>
      <c r="G9" t="s">
        <v>3287</v>
      </c>
    </row>
    <row r="10" spans="1:8" x14ac:dyDescent="0.25">
      <c r="A10" t="s">
        <v>3264</v>
      </c>
      <c r="B10" t="s">
        <v>3284</v>
      </c>
      <c r="C10" t="s">
        <v>3284</v>
      </c>
      <c r="D10" t="s">
        <v>3285</v>
      </c>
      <c r="E10" t="s">
        <v>3286</v>
      </c>
      <c r="F10" t="s">
        <v>3319</v>
      </c>
      <c r="G10" t="s">
        <v>3287</v>
      </c>
    </row>
    <row r="11" spans="1:8" x14ac:dyDescent="0.25">
      <c r="A11" t="s">
        <v>3266</v>
      </c>
      <c r="B11" t="s">
        <v>3284</v>
      </c>
      <c r="C11" t="s">
        <v>3284</v>
      </c>
      <c r="D11" t="s">
        <v>3285</v>
      </c>
      <c r="E11" t="s">
        <v>3286</v>
      </c>
      <c r="F11" t="s">
        <v>3319</v>
      </c>
      <c r="G11" t="s">
        <v>3287</v>
      </c>
    </row>
    <row r="12" spans="1:8" x14ac:dyDescent="0.25">
      <c r="A12" t="s">
        <v>3118</v>
      </c>
      <c r="B12" t="s">
        <v>3284</v>
      </c>
      <c r="C12" t="s">
        <v>3284</v>
      </c>
      <c r="D12" t="s">
        <v>3285</v>
      </c>
      <c r="E12" t="s">
        <v>3286</v>
      </c>
      <c r="F12" t="s">
        <v>3319</v>
      </c>
      <c r="G12" t="s">
        <v>3287</v>
      </c>
    </row>
    <row r="13" spans="1:8" x14ac:dyDescent="0.25">
      <c r="A13" t="s">
        <v>3172</v>
      </c>
      <c r="B13" t="s">
        <v>3284</v>
      </c>
      <c r="C13" t="s">
        <v>3284</v>
      </c>
      <c r="D13" t="s">
        <v>3285</v>
      </c>
      <c r="E13" t="s">
        <v>3286</v>
      </c>
      <c r="F13" t="s">
        <v>3319</v>
      </c>
      <c r="G13" t="s">
        <v>3287</v>
      </c>
    </row>
    <row r="14" spans="1:8" x14ac:dyDescent="0.25">
      <c r="A14" t="s">
        <v>3260</v>
      </c>
      <c r="B14" t="s">
        <v>313</v>
      </c>
      <c r="C14" t="s">
        <v>3288</v>
      </c>
      <c r="D14" t="s">
        <v>3289</v>
      </c>
    </row>
    <row r="15" spans="1:8" x14ac:dyDescent="0.25">
      <c r="A15" t="s">
        <v>3196</v>
      </c>
      <c r="B15" t="s">
        <v>313</v>
      </c>
      <c r="C15" t="s">
        <v>3291</v>
      </c>
      <c r="D15" t="s">
        <v>3289</v>
      </c>
      <c r="E15" t="s">
        <v>3290</v>
      </c>
      <c r="F15" t="s">
        <v>3292</v>
      </c>
      <c r="G15" t="s">
        <v>3294</v>
      </c>
    </row>
    <row r="16" spans="1:8" x14ac:dyDescent="0.25">
      <c r="A16" t="s">
        <v>2119</v>
      </c>
      <c r="B16" t="s">
        <v>313</v>
      </c>
      <c r="C16" t="s">
        <v>3293</v>
      </c>
      <c r="D16" t="s">
        <v>3290</v>
      </c>
      <c r="E16" t="s">
        <v>3294</v>
      </c>
      <c r="F16" t="s">
        <v>3295</v>
      </c>
    </row>
    <row r="17" spans="1:7" x14ac:dyDescent="0.25">
      <c r="A17" t="s">
        <v>3130</v>
      </c>
      <c r="B17" t="s">
        <v>313</v>
      </c>
      <c r="C17" t="s">
        <v>3296</v>
      </c>
      <c r="D17" t="s">
        <v>3290</v>
      </c>
      <c r="E17" t="s">
        <v>3295</v>
      </c>
    </row>
    <row r="18" spans="1:7" x14ac:dyDescent="0.25">
      <c r="A18" t="s">
        <v>3212</v>
      </c>
      <c r="B18" t="s">
        <v>313</v>
      </c>
      <c r="C18" t="s">
        <v>3297</v>
      </c>
      <c r="D18" t="s">
        <v>3289</v>
      </c>
      <c r="E18" t="s">
        <v>3290</v>
      </c>
      <c r="F18" t="s">
        <v>3292</v>
      </c>
      <c r="G18" t="s">
        <v>3294</v>
      </c>
    </row>
    <row r="19" spans="1:7" x14ac:dyDescent="0.25">
      <c r="A19" t="s">
        <v>3165</v>
      </c>
      <c r="B19" t="s">
        <v>3298</v>
      </c>
      <c r="C19" t="s">
        <v>537</v>
      </c>
      <c r="D19" t="s">
        <v>3285</v>
      </c>
      <c r="E19" t="s">
        <v>3299</v>
      </c>
      <c r="F19" t="s">
        <v>3300</v>
      </c>
    </row>
    <row r="20" spans="1:7" x14ac:dyDescent="0.25">
      <c r="A20" t="s">
        <v>3160</v>
      </c>
      <c r="B20" t="s">
        <v>3298</v>
      </c>
      <c r="C20" t="s">
        <v>537</v>
      </c>
      <c r="D20" t="s">
        <v>3285</v>
      </c>
      <c r="E20" t="s">
        <v>3299</v>
      </c>
      <c r="F20" t="s">
        <v>3300</v>
      </c>
    </row>
    <row r="21" spans="1:7" x14ac:dyDescent="0.25">
      <c r="A21" t="s">
        <v>3129</v>
      </c>
      <c r="B21" t="s">
        <v>3298</v>
      </c>
      <c r="C21" t="s">
        <v>537</v>
      </c>
      <c r="D21" t="s">
        <v>3285</v>
      </c>
      <c r="E21" t="s">
        <v>3299</v>
      </c>
      <c r="F21" t="s">
        <v>3300</v>
      </c>
    </row>
    <row r="22" spans="1:7" x14ac:dyDescent="0.25">
      <c r="A22" t="s">
        <v>3159</v>
      </c>
      <c r="B22" t="s">
        <v>3298</v>
      </c>
      <c r="C22" t="s">
        <v>537</v>
      </c>
      <c r="D22" t="s">
        <v>3285</v>
      </c>
      <c r="E22" t="s">
        <v>3299</v>
      </c>
      <c r="F22" t="s">
        <v>3300</v>
      </c>
    </row>
    <row r="23" spans="1:7" x14ac:dyDescent="0.25">
      <c r="A23" t="s">
        <v>3272</v>
      </c>
      <c r="B23" t="s">
        <v>3298</v>
      </c>
      <c r="C23" t="s">
        <v>2702</v>
      </c>
      <c r="D23" t="s">
        <v>3301</v>
      </c>
      <c r="E23" t="s">
        <v>3299</v>
      </c>
    </row>
    <row r="24" spans="1:7" x14ac:dyDescent="0.25">
      <c r="A24" t="s">
        <v>3116</v>
      </c>
      <c r="B24" t="s">
        <v>3298</v>
      </c>
      <c r="C24" t="s">
        <v>2702</v>
      </c>
      <c r="D24" t="s">
        <v>3301</v>
      </c>
      <c r="E24" t="s">
        <v>3299</v>
      </c>
    </row>
    <row r="25" spans="1:7" x14ac:dyDescent="0.25">
      <c r="A25" t="s">
        <v>3152</v>
      </c>
      <c r="B25" t="s">
        <v>3298</v>
      </c>
      <c r="C25" t="s">
        <v>3152</v>
      </c>
      <c r="D25" t="s">
        <v>3302</v>
      </c>
      <c r="E25" t="s">
        <v>3300</v>
      </c>
    </row>
    <row r="26" spans="1:7" x14ac:dyDescent="0.25">
      <c r="A26" t="s">
        <v>3230</v>
      </c>
      <c r="B26" t="s">
        <v>3303</v>
      </c>
      <c r="C26" t="s">
        <v>3303</v>
      </c>
      <c r="D26" t="s">
        <v>3304</v>
      </c>
      <c r="E26" t="s">
        <v>3305</v>
      </c>
      <c r="F26" t="s">
        <v>3307</v>
      </c>
      <c r="G26" t="s">
        <v>3306</v>
      </c>
    </row>
    <row r="27" spans="1:7" x14ac:dyDescent="0.25">
      <c r="A27" t="s">
        <v>3120</v>
      </c>
      <c r="B27" t="s">
        <v>3303</v>
      </c>
      <c r="C27" t="s">
        <v>3303</v>
      </c>
      <c r="D27" t="s">
        <v>3304</v>
      </c>
      <c r="E27" t="s">
        <v>3305</v>
      </c>
      <c r="F27" t="s">
        <v>3307</v>
      </c>
      <c r="G27" t="s">
        <v>3306</v>
      </c>
    </row>
    <row r="28" spans="1:7" x14ac:dyDescent="0.25">
      <c r="A28" t="s">
        <v>3274</v>
      </c>
      <c r="B28" t="s">
        <v>3303</v>
      </c>
      <c r="C28" t="s">
        <v>3303</v>
      </c>
      <c r="D28" t="s">
        <v>3304</v>
      </c>
      <c r="E28" t="s">
        <v>3305</v>
      </c>
      <c r="F28" t="s">
        <v>3307</v>
      </c>
      <c r="G28" t="s">
        <v>3306</v>
      </c>
    </row>
    <row r="29" spans="1:7" x14ac:dyDescent="0.25">
      <c r="A29" t="s">
        <v>3133</v>
      </c>
      <c r="B29" t="s">
        <v>3303</v>
      </c>
      <c r="C29" t="s">
        <v>3303</v>
      </c>
      <c r="D29" t="s">
        <v>3304</v>
      </c>
      <c r="E29" t="s">
        <v>3305</v>
      </c>
      <c r="F29" t="s">
        <v>3307</v>
      </c>
      <c r="G29" t="s">
        <v>3306</v>
      </c>
    </row>
    <row r="30" spans="1:7" x14ac:dyDescent="0.25">
      <c r="A30" t="s">
        <v>2650</v>
      </c>
      <c r="B30" t="s">
        <v>3303</v>
      </c>
      <c r="C30" t="s">
        <v>3303</v>
      </c>
      <c r="D30" t="s">
        <v>3304</v>
      </c>
      <c r="E30" t="s">
        <v>3305</v>
      </c>
      <c r="F30" t="s">
        <v>3307</v>
      </c>
      <c r="G30" t="s">
        <v>3306</v>
      </c>
    </row>
    <row r="31" spans="1:7" x14ac:dyDescent="0.25">
      <c r="A31" t="s">
        <v>3127</v>
      </c>
      <c r="B31" t="s">
        <v>333</v>
      </c>
      <c r="C31" t="s">
        <v>3308</v>
      </c>
      <c r="D31" t="s">
        <v>3289</v>
      </c>
      <c r="E31" t="s">
        <v>3299</v>
      </c>
      <c r="F31" t="s">
        <v>3295</v>
      </c>
    </row>
    <row r="32" spans="1:7" x14ac:dyDescent="0.25">
      <c r="A32" t="s">
        <v>3162</v>
      </c>
      <c r="B32" t="s">
        <v>333</v>
      </c>
      <c r="C32" t="s">
        <v>3308</v>
      </c>
      <c r="D32" t="s">
        <v>3289</v>
      </c>
      <c r="E32" t="s">
        <v>3299</v>
      </c>
      <c r="F32" t="s">
        <v>3295</v>
      </c>
    </row>
    <row r="33" spans="1:7" x14ac:dyDescent="0.25">
      <c r="A33" t="s">
        <v>3150</v>
      </c>
      <c r="B33" t="s">
        <v>333</v>
      </c>
      <c r="C33" t="s">
        <v>3309</v>
      </c>
      <c r="D33" t="s">
        <v>3310</v>
      </c>
      <c r="E33" t="s">
        <v>3299</v>
      </c>
    </row>
    <row r="34" spans="1:7" x14ac:dyDescent="0.25">
      <c r="A34" t="s">
        <v>2655</v>
      </c>
      <c r="B34" t="s">
        <v>333</v>
      </c>
      <c r="C34" t="s">
        <v>2655</v>
      </c>
      <c r="D34" t="s">
        <v>3310</v>
      </c>
      <c r="E34" t="s">
        <v>3295</v>
      </c>
    </row>
    <row r="35" spans="1:7" x14ac:dyDescent="0.25">
      <c r="A35" t="s">
        <v>3220</v>
      </c>
      <c r="B35" t="s">
        <v>333</v>
      </c>
      <c r="C35" t="s">
        <v>3311</v>
      </c>
      <c r="D35" t="s">
        <v>3289</v>
      </c>
      <c r="E35" t="s">
        <v>3310</v>
      </c>
      <c r="F35" t="s">
        <v>3300</v>
      </c>
      <c r="G35" t="s">
        <v>3299</v>
      </c>
    </row>
    <row r="36" spans="1:7" x14ac:dyDescent="0.25">
      <c r="A36" t="s">
        <v>3198</v>
      </c>
      <c r="B36" t="s">
        <v>333</v>
      </c>
      <c r="C36" t="s">
        <v>3311</v>
      </c>
      <c r="D36" t="s">
        <v>3289</v>
      </c>
      <c r="E36" t="s">
        <v>3310</v>
      </c>
      <c r="F36" t="s">
        <v>3300</v>
      </c>
      <c r="G36" t="s">
        <v>3299</v>
      </c>
    </row>
    <row r="37" spans="1:7" x14ac:dyDescent="0.25">
      <c r="A37" t="s">
        <v>3170</v>
      </c>
      <c r="B37" t="s">
        <v>333</v>
      </c>
      <c r="C37" t="s">
        <v>3311</v>
      </c>
      <c r="D37" t="s">
        <v>3289</v>
      </c>
      <c r="E37" t="s">
        <v>3310</v>
      </c>
      <c r="F37" t="s">
        <v>3300</v>
      </c>
      <c r="G37" t="s">
        <v>3299</v>
      </c>
    </row>
    <row r="38" spans="1:7" x14ac:dyDescent="0.25">
      <c r="A38" t="s">
        <v>3226</v>
      </c>
      <c r="B38" t="s">
        <v>333</v>
      </c>
      <c r="C38" t="s">
        <v>3311</v>
      </c>
      <c r="D38" t="s">
        <v>3289</v>
      </c>
      <c r="E38" t="s">
        <v>3310</v>
      </c>
      <c r="F38" t="s">
        <v>3300</v>
      </c>
      <c r="G38" t="s">
        <v>3299</v>
      </c>
    </row>
    <row r="39" spans="1:7" x14ac:dyDescent="0.25">
      <c r="A39" t="s">
        <v>3181</v>
      </c>
      <c r="B39" t="s">
        <v>333</v>
      </c>
      <c r="C39" t="s">
        <v>3311</v>
      </c>
      <c r="D39" t="s">
        <v>3289</v>
      </c>
      <c r="E39" t="s">
        <v>3310</v>
      </c>
      <c r="F39" t="s">
        <v>3300</v>
      </c>
      <c r="G39" t="s">
        <v>3299</v>
      </c>
    </row>
    <row r="40" spans="1:7" x14ac:dyDescent="0.25">
      <c r="A40" t="s">
        <v>3255</v>
      </c>
      <c r="B40" t="s">
        <v>333</v>
      </c>
      <c r="C40" t="s">
        <v>3311</v>
      </c>
      <c r="D40" t="s">
        <v>3289</v>
      </c>
      <c r="E40" t="s">
        <v>3310</v>
      </c>
      <c r="F40" t="s">
        <v>3300</v>
      </c>
      <c r="G40" t="s">
        <v>3299</v>
      </c>
    </row>
    <row r="41" spans="1:7" x14ac:dyDescent="0.25">
      <c r="A41" t="s">
        <v>3140</v>
      </c>
      <c r="B41" t="s">
        <v>333</v>
      </c>
      <c r="C41" t="s">
        <v>3140</v>
      </c>
      <c r="D41" t="s">
        <v>3310</v>
      </c>
      <c r="E41" t="s">
        <v>3299</v>
      </c>
    </row>
    <row r="42" spans="1:7" x14ac:dyDescent="0.25">
      <c r="A42" t="s">
        <v>3137</v>
      </c>
      <c r="B42" t="s">
        <v>333</v>
      </c>
      <c r="C42" t="s">
        <v>3312</v>
      </c>
      <c r="D42" t="s">
        <v>3289</v>
      </c>
      <c r="E42" t="s">
        <v>3300</v>
      </c>
      <c r="F42" t="s">
        <v>3294</v>
      </c>
    </row>
    <row r="43" spans="1:7" x14ac:dyDescent="0.25">
      <c r="A43" t="s">
        <v>3236</v>
      </c>
      <c r="B43" t="s">
        <v>333</v>
      </c>
      <c r="C43" t="s">
        <v>3312</v>
      </c>
      <c r="D43" t="s">
        <v>3289</v>
      </c>
      <c r="E43" t="s">
        <v>3300</v>
      </c>
      <c r="F43" t="s">
        <v>3294</v>
      </c>
    </row>
    <row r="44" spans="1:7" x14ac:dyDescent="0.25">
      <c r="A44" t="s">
        <v>2654</v>
      </c>
      <c r="B44" t="s">
        <v>333</v>
      </c>
      <c r="C44" t="s">
        <v>3210</v>
      </c>
      <c r="D44" t="s">
        <v>3289</v>
      </c>
      <c r="E44" t="s">
        <v>3313</v>
      </c>
    </row>
    <row r="45" spans="1:7" x14ac:dyDescent="0.25">
      <c r="A45" t="s">
        <v>3210</v>
      </c>
      <c r="B45" t="s">
        <v>333</v>
      </c>
      <c r="C45" t="s">
        <v>3210</v>
      </c>
      <c r="D45" t="s">
        <v>3289</v>
      </c>
      <c r="E45" t="s">
        <v>3313</v>
      </c>
    </row>
    <row r="46" spans="1:7" x14ac:dyDescent="0.25">
      <c r="A46" t="s">
        <v>3135</v>
      </c>
      <c r="B46" t="s">
        <v>3314</v>
      </c>
      <c r="C46" t="s">
        <v>3320</v>
      </c>
      <c r="D46" t="s">
        <v>3301</v>
      </c>
      <c r="E46" t="s">
        <v>3315</v>
      </c>
    </row>
    <row r="47" spans="1:7" x14ac:dyDescent="0.25">
      <c r="A47" t="s">
        <v>3203</v>
      </c>
      <c r="B47" t="s">
        <v>3314</v>
      </c>
      <c r="C47" t="s">
        <v>2629</v>
      </c>
      <c r="D47" t="s">
        <v>3301</v>
      </c>
      <c r="E47" t="s">
        <v>3307</v>
      </c>
      <c r="F47" t="s">
        <v>3315</v>
      </c>
      <c r="G47" t="s">
        <v>3287</v>
      </c>
    </row>
    <row r="48" spans="1:7" x14ac:dyDescent="0.25">
      <c r="A48" t="s">
        <v>3148</v>
      </c>
      <c r="B48" t="s">
        <v>3314</v>
      </c>
      <c r="C48" t="s">
        <v>2629</v>
      </c>
      <c r="D48" t="s">
        <v>3301</v>
      </c>
      <c r="E48" t="s">
        <v>3307</v>
      </c>
      <c r="F48" t="s">
        <v>3315</v>
      </c>
      <c r="G48" t="s">
        <v>3287</v>
      </c>
    </row>
    <row r="49" spans="1:7" x14ac:dyDescent="0.25">
      <c r="A49" t="s">
        <v>3222</v>
      </c>
      <c r="B49" t="s">
        <v>3314</v>
      </c>
      <c r="C49" t="s">
        <v>2629</v>
      </c>
      <c r="D49" t="s">
        <v>3301</v>
      </c>
      <c r="E49" t="s">
        <v>3307</v>
      </c>
      <c r="F49" t="s">
        <v>3315</v>
      </c>
      <c r="G49" t="s">
        <v>3287</v>
      </c>
    </row>
    <row r="50" spans="1:7" x14ac:dyDescent="0.25">
      <c r="A50" t="s">
        <v>3106</v>
      </c>
      <c r="B50" t="s">
        <v>3314</v>
      </c>
      <c r="C50" t="s">
        <v>3316</v>
      </c>
      <c r="D50" t="s">
        <v>3310</v>
      </c>
      <c r="E50" t="s">
        <v>3307</v>
      </c>
    </row>
    <row r="51" spans="1:7" x14ac:dyDescent="0.25">
      <c r="A51" t="s">
        <v>3157</v>
      </c>
      <c r="B51" t="s">
        <v>3314</v>
      </c>
      <c r="C51" t="s">
        <v>3317</v>
      </c>
      <c r="D51" t="s">
        <v>3310</v>
      </c>
      <c r="E51" t="s">
        <v>3315</v>
      </c>
    </row>
    <row r="52" spans="1:7" x14ac:dyDescent="0.25">
      <c r="A52" t="s">
        <v>3108</v>
      </c>
      <c r="B52" t="s">
        <v>3314</v>
      </c>
      <c r="C52" t="s">
        <v>3317</v>
      </c>
      <c r="D52" t="s">
        <v>3310</v>
      </c>
      <c r="E52" t="s">
        <v>3315</v>
      </c>
    </row>
    <row r="53" spans="1:7" x14ac:dyDescent="0.25">
      <c r="A53" t="s">
        <v>3231</v>
      </c>
      <c r="B53" t="s">
        <v>15</v>
      </c>
      <c r="C53" t="s">
        <v>15</v>
      </c>
      <c r="D53" t="s">
        <v>3285</v>
      </c>
      <c r="E53" t="s">
        <v>3290</v>
      </c>
      <c r="F53" t="s">
        <v>3315</v>
      </c>
      <c r="G53" t="s">
        <v>3306</v>
      </c>
    </row>
    <row r="54" spans="1:7" x14ac:dyDescent="0.25">
      <c r="A54" t="s">
        <v>3145</v>
      </c>
      <c r="B54" t="s">
        <v>15</v>
      </c>
      <c r="C54" t="s">
        <v>15</v>
      </c>
      <c r="D54" t="s">
        <v>3285</v>
      </c>
      <c r="E54" t="s">
        <v>3290</v>
      </c>
      <c r="F54" t="s">
        <v>3315</v>
      </c>
      <c r="G54" t="s">
        <v>3306</v>
      </c>
    </row>
    <row r="55" spans="1:7" x14ac:dyDescent="0.25">
      <c r="A55" t="s">
        <v>3110</v>
      </c>
      <c r="B55" t="s">
        <v>15</v>
      </c>
      <c r="C55" t="s">
        <v>15</v>
      </c>
      <c r="D55" t="s">
        <v>3285</v>
      </c>
      <c r="E55" t="s">
        <v>3290</v>
      </c>
      <c r="F55" t="s">
        <v>3315</v>
      </c>
      <c r="G55" t="s">
        <v>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spread_px</vt:lpstr>
      <vt:lpstr>52w_px</vt:lpstr>
      <vt:lpstr>holding</vt:lpstr>
      <vt:lpstr>industry_analyst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Alex</dc:creator>
  <cp:lastModifiedBy>Zheng, Alex</cp:lastModifiedBy>
  <dcterms:created xsi:type="dcterms:W3CDTF">2023-12-14T19:24:23Z</dcterms:created>
  <dcterms:modified xsi:type="dcterms:W3CDTF">2026-07-18T00:24:05Z</dcterms:modified>
</cp:coreProperties>
</file>